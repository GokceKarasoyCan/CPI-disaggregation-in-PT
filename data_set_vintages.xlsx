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792\Gokce\GIT PROJECTS\DisaggCPI\CPI-disaggregation-in-PT\"/>
    </mc:Choice>
  </mc:AlternateContent>
  <xr:revisionPtr revIDLastSave="0" documentId="13_ncr:1_{EB47E4E8-1DB9-4F0F-80F9-660DA86F61E3}" xr6:coauthVersionLast="47" xr6:coauthVersionMax="47" xr10:uidLastSave="{00000000-0000-0000-0000-000000000000}"/>
  <bookViews>
    <workbookView xWindow="-120" yWindow="-120" windowWidth="29040" windowHeight="15720" firstSheet="1" activeTab="1" xr2:uid="{7A994B15-2DA1-442C-A8B3-44B091D65DA6}"/>
  </bookViews>
  <sheets>
    <sheet name="FAME Persistence2" sheetId="8" state="veryHidden" r:id="rId1"/>
    <sheet name="M23" sheetId="17" r:id="rId2"/>
    <sheet name="A23" sheetId="16" r:id="rId3"/>
    <sheet name="N23" sheetId="15" r:id="rId4"/>
    <sheet name="F24" sheetId="14" r:id="rId5"/>
    <sheet name="M24" sheetId="13" r:id="rId6"/>
    <sheet name="A24" sheetId="12" r:id="rId7"/>
    <sheet name="N24" sheetId="11" r:id="rId8"/>
    <sheet name="F25" sheetId="10" r:id="rId9"/>
    <sheet name="M25" sheetId="9" r:id="rId10"/>
    <sheet name="A25" sheetId="7" r:id="rId11"/>
    <sheet name="N25" sheetId="6" r:id="rId12"/>
    <sheet name="F26" sheetId="5" r:id="rId13"/>
    <sheet name="M26" sheetId="4" r:id="rId14"/>
    <sheet name="Sheet1" sheetId="1" r:id="rId15"/>
    <sheet name="Sheet2" sheetId="2" r:id="rId16"/>
    <sheet name="Sheet3" sheetId="3" r:id="rId17"/>
  </sheets>
  <externalReferences>
    <externalReference r:id="rId18"/>
    <externalReference r:id="rId19"/>
    <externalReference r:id="rId20"/>
  </externalReferences>
  <definedNames>
    <definedName name="ForecastHorizon">'[1]Controls and README'!$C$8</definedName>
    <definedName name="ForecastRound">'[1]Controls and README'!$C$4</definedName>
    <definedName name="ForecastVersion">'[1]Controls and README'!$C$5</definedName>
    <definedName name="mpc_fcst_end">[1]VAR_controls!#REF!</definedName>
    <definedName name="mpc_fcst_start">[1]VAR_controls!#REF!</definedName>
    <definedName name="StartDate">'[1]Controls and README'!$C$3</definedName>
    <definedName name="STIFHorizon">'[1]Controls and README'!$C$7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4" l="1"/>
  <c r="S12" i="4"/>
  <c r="P12" i="4"/>
  <c r="N12" i="4"/>
  <c r="K12" i="4"/>
  <c r="U12" i="4"/>
  <c r="R12" i="4"/>
  <c r="Q12" i="4"/>
  <c r="O12" i="4"/>
  <c r="L12" i="4"/>
  <c r="J12" i="4"/>
  <c r="I12" i="4"/>
  <c r="H12" i="4"/>
  <c r="G12" i="4"/>
  <c r="F12" i="4"/>
  <c r="E12" i="4"/>
  <c r="D12" i="4"/>
  <c r="C12" i="4"/>
  <c r="B12" i="4"/>
  <c r="S12" i="5"/>
  <c r="T12" i="5"/>
  <c r="R12" i="5"/>
  <c r="Q12" i="5"/>
  <c r="P12" i="5"/>
  <c r="L12" i="5"/>
  <c r="K12" i="5"/>
  <c r="U12" i="5"/>
  <c r="O12" i="5"/>
  <c r="J12" i="5"/>
  <c r="N12" i="5"/>
  <c r="I12" i="5"/>
  <c r="H12" i="5"/>
  <c r="G12" i="5"/>
  <c r="F12" i="5"/>
  <c r="E12" i="5"/>
  <c r="D12" i="5"/>
  <c r="C12" i="5"/>
  <c r="B12" i="5"/>
  <c r="U12" i="6"/>
  <c r="S12" i="6"/>
  <c r="R12" i="6"/>
  <c r="P12" i="6"/>
  <c r="N12" i="6"/>
  <c r="J12" i="6"/>
  <c r="T12" i="6"/>
  <c r="Q12" i="6"/>
  <c r="O12" i="6"/>
  <c r="K12" i="6"/>
  <c r="L12" i="6"/>
  <c r="I12" i="6"/>
  <c r="H12" i="6"/>
  <c r="G12" i="6"/>
  <c r="F12" i="6"/>
  <c r="E12" i="6"/>
  <c r="D12" i="6"/>
  <c r="C12" i="6"/>
  <c r="B12" i="6"/>
  <c r="U12" i="7"/>
  <c r="S12" i="7"/>
  <c r="L12" i="7"/>
  <c r="T12" i="7"/>
  <c r="R12" i="7"/>
  <c r="O12" i="7"/>
  <c r="K12" i="7"/>
  <c r="Q12" i="7"/>
  <c r="P12" i="7"/>
  <c r="N12" i="7"/>
  <c r="J12" i="7"/>
  <c r="I12" i="7"/>
  <c r="H12" i="7"/>
  <c r="G12" i="7"/>
  <c r="F12" i="7"/>
  <c r="E12" i="7"/>
  <c r="D12" i="7"/>
  <c r="C12" i="7"/>
  <c r="B12" i="7"/>
  <c r="T12" i="9"/>
  <c r="R12" i="9"/>
  <c r="Q12" i="9"/>
  <c r="P12" i="9"/>
  <c r="O12" i="9"/>
  <c r="K12" i="9"/>
  <c r="J12" i="9"/>
  <c r="S12" i="9"/>
  <c r="U12" i="9"/>
  <c r="N12" i="9"/>
  <c r="L12" i="9"/>
  <c r="I12" i="9"/>
  <c r="H12" i="9"/>
  <c r="G12" i="9"/>
  <c r="F12" i="9"/>
  <c r="E12" i="9"/>
  <c r="D12" i="9"/>
  <c r="C12" i="9"/>
  <c r="B12" i="9"/>
  <c r="S12" i="10"/>
  <c r="P12" i="10"/>
  <c r="O12" i="10"/>
  <c r="N12" i="10"/>
  <c r="L12" i="10"/>
  <c r="J12" i="10"/>
  <c r="U12" i="10"/>
  <c r="T12" i="10"/>
  <c r="R12" i="10"/>
  <c r="Q12" i="10"/>
  <c r="K12" i="10"/>
  <c r="I12" i="10"/>
  <c r="H12" i="10"/>
  <c r="G12" i="10"/>
  <c r="F12" i="10"/>
  <c r="E12" i="10"/>
  <c r="D12" i="10"/>
  <c r="C12" i="10"/>
  <c r="B12" i="10"/>
  <c r="U12" i="11"/>
  <c r="R12" i="11"/>
  <c r="T12" i="11"/>
  <c r="S12" i="11"/>
  <c r="P12" i="11"/>
  <c r="Q12" i="11"/>
  <c r="O12" i="11"/>
  <c r="N12" i="11"/>
  <c r="J12" i="11"/>
  <c r="L12" i="11"/>
  <c r="K12" i="11"/>
  <c r="I12" i="11"/>
  <c r="H12" i="11"/>
  <c r="G12" i="11"/>
  <c r="F12" i="11"/>
  <c r="E12" i="11"/>
  <c r="D12" i="11"/>
  <c r="C12" i="11"/>
  <c r="B12" i="11"/>
  <c r="U12" i="12"/>
  <c r="Q12" i="12"/>
  <c r="T12" i="12"/>
  <c r="S12" i="12"/>
  <c r="R12" i="12"/>
  <c r="P12" i="12"/>
  <c r="O12" i="12"/>
  <c r="N12" i="12"/>
  <c r="L12" i="12"/>
  <c r="K12" i="12"/>
  <c r="J12" i="12"/>
  <c r="I12" i="12"/>
  <c r="H12" i="12"/>
  <c r="G12" i="12"/>
  <c r="F12" i="12"/>
  <c r="E12" i="12"/>
  <c r="D12" i="12"/>
  <c r="C12" i="12"/>
  <c r="B12" i="12"/>
  <c r="U12" i="13"/>
  <c r="S12" i="13"/>
  <c r="T12" i="13"/>
  <c r="R12" i="13"/>
  <c r="Q12" i="13"/>
  <c r="P12" i="13"/>
  <c r="O12" i="13"/>
  <c r="N12" i="13"/>
  <c r="L12" i="13"/>
  <c r="K12" i="13"/>
  <c r="J12" i="13"/>
  <c r="I12" i="13"/>
  <c r="H12" i="13"/>
  <c r="G12" i="13"/>
  <c r="F12" i="13"/>
  <c r="E12" i="13"/>
  <c r="D12" i="13"/>
  <c r="C12" i="13"/>
  <c r="B12" i="13"/>
  <c r="U12" i="14"/>
  <c r="T12" i="14"/>
  <c r="S12" i="14"/>
  <c r="Q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B12" i="14"/>
  <c r="U12" i="15"/>
  <c r="P12" i="15"/>
  <c r="T12" i="15"/>
  <c r="S12" i="15"/>
  <c r="R12" i="15"/>
  <c r="Q12" i="15"/>
  <c r="O12" i="15"/>
  <c r="N12" i="15"/>
  <c r="L12" i="15"/>
  <c r="K12" i="15"/>
  <c r="J12" i="15"/>
  <c r="I12" i="15"/>
  <c r="H12" i="15"/>
  <c r="G12" i="15"/>
  <c r="F12" i="15"/>
  <c r="E12" i="15"/>
  <c r="D12" i="15"/>
  <c r="C12" i="15"/>
  <c r="B12" i="15"/>
  <c r="U12" i="16"/>
  <c r="T12" i="16"/>
  <c r="S12" i="16"/>
  <c r="R12" i="16"/>
  <c r="Q12" i="16"/>
  <c r="P12" i="16"/>
  <c r="O12" i="16"/>
  <c r="N12" i="16"/>
  <c r="L12" i="16"/>
  <c r="K12" i="16"/>
  <c r="J12" i="16"/>
  <c r="I12" i="16"/>
  <c r="H12" i="16"/>
  <c r="G12" i="16"/>
  <c r="F12" i="16"/>
  <c r="E12" i="16"/>
  <c r="D12" i="16"/>
  <c r="C12" i="16"/>
  <c r="B12" i="16"/>
  <c r="S12" i="17"/>
  <c r="R12" i="17"/>
  <c r="Q12" i="17"/>
  <c r="P12" i="17"/>
  <c r="T12" i="17"/>
  <c r="U12" i="17"/>
  <c r="O12" i="17"/>
  <c r="L12" i="17"/>
  <c r="J12" i="17"/>
  <c r="N12" i="17"/>
  <c r="K12" i="17"/>
  <c r="I12" i="17"/>
  <c r="H12" i="17"/>
  <c r="G12" i="17"/>
  <c r="F12" i="17"/>
  <c r="E12" i="17"/>
  <c r="D12" i="17"/>
  <c r="C12" i="17"/>
  <c r="B12" i="17"/>
  <c r="B10" i="4" l="1"/>
  <c r="B10" i="5"/>
  <c r="V145" i="17"/>
  <c r="M145" i="17"/>
  <c r="V144" i="17"/>
  <c r="M144" i="17"/>
  <c r="V143" i="17"/>
  <c r="M143" i="17"/>
  <c r="V142" i="17"/>
  <c r="M142" i="17"/>
  <c r="V141" i="17"/>
  <c r="M141" i="17"/>
  <c r="V140" i="17"/>
  <c r="M140" i="17"/>
  <c r="V139" i="17"/>
  <c r="M139" i="17"/>
  <c r="V138" i="17"/>
  <c r="M138" i="17"/>
  <c r="V137" i="17"/>
  <c r="M137" i="17"/>
  <c r="V136" i="17"/>
  <c r="M136" i="17"/>
  <c r="V135" i="17"/>
  <c r="M135" i="17"/>
  <c r="V134" i="17"/>
  <c r="M134" i="17"/>
  <c r="V133" i="17"/>
  <c r="M133" i="17"/>
  <c r="V132" i="17"/>
  <c r="M132" i="17"/>
  <c r="V131" i="17"/>
  <c r="M131" i="17"/>
  <c r="V130" i="17"/>
  <c r="M130" i="17"/>
  <c r="V129" i="17"/>
  <c r="M129" i="17"/>
  <c r="V128" i="17"/>
  <c r="M128" i="17"/>
  <c r="V127" i="17"/>
  <c r="M127" i="17"/>
  <c r="V126" i="17"/>
  <c r="M126" i="17"/>
  <c r="V125" i="17"/>
  <c r="M125" i="17"/>
  <c r="V124" i="17"/>
  <c r="M124" i="17"/>
  <c r="V123" i="17"/>
  <c r="M123" i="17"/>
  <c r="V122" i="17"/>
  <c r="M122" i="17"/>
  <c r="V121" i="17"/>
  <c r="M121" i="17"/>
  <c r="V120" i="17"/>
  <c r="M120" i="17"/>
  <c r="V119" i="17"/>
  <c r="M119" i="17"/>
  <c r="V118" i="17"/>
  <c r="M118" i="17"/>
  <c r="V117" i="17"/>
  <c r="M117" i="17"/>
  <c r="V116" i="17"/>
  <c r="M116" i="17"/>
  <c r="V115" i="17"/>
  <c r="M115" i="17"/>
  <c r="V114" i="17"/>
  <c r="M114" i="17"/>
  <c r="V113" i="17"/>
  <c r="M113" i="17"/>
  <c r="V112" i="17"/>
  <c r="M112" i="17"/>
  <c r="V111" i="17"/>
  <c r="M111" i="17"/>
  <c r="V110" i="17"/>
  <c r="M110" i="17"/>
  <c r="V109" i="17"/>
  <c r="M109" i="17"/>
  <c r="V108" i="17"/>
  <c r="M108" i="17"/>
  <c r="V107" i="17"/>
  <c r="M107" i="17"/>
  <c r="V106" i="17"/>
  <c r="M106" i="17"/>
  <c r="V105" i="17"/>
  <c r="M105" i="17"/>
  <c r="V104" i="17"/>
  <c r="M104" i="17"/>
  <c r="V103" i="17"/>
  <c r="M103" i="17"/>
  <c r="V102" i="17"/>
  <c r="M102" i="17"/>
  <c r="V101" i="17"/>
  <c r="M101" i="17"/>
  <c r="V100" i="17"/>
  <c r="M100" i="17"/>
  <c r="V99" i="17"/>
  <c r="M99" i="17"/>
  <c r="V98" i="17"/>
  <c r="M98" i="17"/>
  <c r="V97" i="17"/>
  <c r="M97" i="17"/>
  <c r="V96" i="17"/>
  <c r="M96" i="17"/>
  <c r="V95" i="17"/>
  <c r="M95" i="17"/>
  <c r="V94" i="17"/>
  <c r="M94" i="17"/>
  <c r="V93" i="17"/>
  <c r="M93" i="17"/>
  <c r="V92" i="17"/>
  <c r="M92" i="17"/>
  <c r="V91" i="17"/>
  <c r="M91" i="17"/>
  <c r="V90" i="17"/>
  <c r="M90" i="17"/>
  <c r="V89" i="17"/>
  <c r="M89" i="17"/>
  <c r="V88" i="17"/>
  <c r="M88" i="17"/>
  <c r="V87" i="17"/>
  <c r="M87" i="17"/>
  <c r="V86" i="17"/>
  <c r="M86" i="17"/>
  <c r="V85" i="17"/>
  <c r="M85" i="17"/>
  <c r="V84" i="17"/>
  <c r="M84" i="17"/>
  <c r="V83" i="17"/>
  <c r="M83" i="17"/>
  <c r="V82" i="17"/>
  <c r="M82" i="17"/>
  <c r="V81" i="17"/>
  <c r="M81" i="17"/>
  <c r="V80" i="17"/>
  <c r="M80" i="17"/>
  <c r="V79" i="17"/>
  <c r="M79" i="17"/>
  <c r="V78" i="17"/>
  <c r="M78" i="17"/>
  <c r="V77" i="17"/>
  <c r="M77" i="17"/>
  <c r="V76" i="17"/>
  <c r="M76" i="17"/>
  <c r="V75" i="17"/>
  <c r="M75" i="17"/>
  <c r="V74" i="17"/>
  <c r="M74" i="17"/>
  <c r="V73" i="17"/>
  <c r="M73" i="17"/>
  <c r="V72" i="17"/>
  <c r="M72" i="17"/>
  <c r="V71" i="17"/>
  <c r="M71" i="17"/>
  <c r="V70" i="17"/>
  <c r="M70" i="17"/>
  <c r="V69" i="17"/>
  <c r="M69" i="17"/>
  <c r="V68" i="17"/>
  <c r="M68" i="17"/>
  <c r="V67" i="17"/>
  <c r="M67" i="17"/>
  <c r="V66" i="17"/>
  <c r="M66" i="17"/>
  <c r="V65" i="17"/>
  <c r="M65" i="17"/>
  <c r="V64" i="17"/>
  <c r="M64" i="17"/>
  <c r="V63" i="17"/>
  <c r="M63" i="17"/>
  <c r="V62" i="17"/>
  <c r="M62" i="17"/>
  <c r="V61" i="17"/>
  <c r="M61" i="17"/>
  <c r="V60" i="17"/>
  <c r="M60" i="17"/>
  <c r="V59" i="17"/>
  <c r="M59" i="17"/>
  <c r="V58" i="17"/>
  <c r="M58" i="17"/>
  <c r="V57" i="17"/>
  <c r="M57" i="17"/>
  <c r="V56" i="17"/>
  <c r="M56" i="17"/>
  <c r="V55" i="17"/>
  <c r="M55" i="17"/>
  <c r="V54" i="17"/>
  <c r="M54" i="17"/>
  <c r="V53" i="17"/>
  <c r="M53" i="17"/>
  <c r="V52" i="17"/>
  <c r="M52" i="17"/>
  <c r="V51" i="17"/>
  <c r="M51" i="17"/>
  <c r="V50" i="17"/>
  <c r="M50" i="17"/>
  <c r="V49" i="17"/>
  <c r="M49" i="17"/>
  <c r="V48" i="17"/>
  <c r="M48" i="17"/>
  <c r="V47" i="17"/>
  <c r="M47" i="17"/>
  <c r="V46" i="17"/>
  <c r="M46" i="17"/>
  <c r="V45" i="17"/>
  <c r="M45" i="17"/>
  <c r="V44" i="17"/>
  <c r="M44" i="17"/>
  <c r="V43" i="17"/>
  <c r="M43" i="17"/>
  <c r="V42" i="17"/>
  <c r="M42" i="17"/>
  <c r="V41" i="17"/>
  <c r="M41" i="17"/>
  <c r="V40" i="17"/>
  <c r="M40" i="17"/>
  <c r="V39" i="17"/>
  <c r="M39" i="17"/>
  <c r="V38" i="17"/>
  <c r="M38" i="17"/>
  <c r="V37" i="17"/>
  <c r="M37" i="17"/>
  <c r="V36" i="17"/>
  <c r="M36" i="17"/>
  <c r="V35" i="17"/>
  <c r="M35" i="17"/>
  <c r="V34" i="17"/>
  <c r="M34" i="17"/>
  <c r="V33" i="17"/>
  <c r="M33" i="17"/>
  <c r="V32" i="17"/>
  <c r="M32" i="17"/>
  <c r="V31" i="17"/>
  <c r="M31" i="17"/>
  <c r="V30" i="17"/>
  <c r="M30" i="17"/>
  <c r="V29" i="17"/>
  <c r="M29" i="17"/>
  <c r="V28" i="17"/>
  <c r="M28" i="17"/>
  <c r="V27" i="17"/>
  <c r="M27" i="17"/>
  <c r="V26" i="17"/>
  <c r="M26" i="17"/>
  <c r="V25" i="17"/>
  <c r="M25" i="17"/>
  <c r="V24" i="17"/>
  <c r="M24" i="17"/>
  <c r="V23" i="17"/>
  <c r="M23" i="17"/>
  <c r="V22" i="17"/>
  <c r="M22" i="17"/>
  <c r="V21" i="17"/>
  <c r="M21" i="17"/>
  <c r="V20" i="17"/>
  <c r="M20" i="17"/>
  <c r="V19" i="17"/>
  <c r="M19" i="17"/>
  <c r="V18" i="17"/>
  <c r="M18" i="17"/>
  <c r="V17" i="17"/>
  <c r="M17" i="17"/>
  <c r="V16" i="17"/>
  <c r="M16" i="17"/>
  <c r="V15" i="17"/>
  <c r="M15" i="17"/>
  <c r="V14" i="17"/>
  <c r="M14" i="17"/>
  <c r="V13" i="17"/>
  <c r="M13" i="17"/>
  <c r="M12" i="17"/>
  <c r="I10" i="17"/>
  <c r="H10" i="17"/>
  <c r="G10" i="17"/>
  <c r="F10" i="17"/>
  <c r="E10" i="17"/>
  <c r="D10" i="17"/>
  <c r="C10" i="17"/>
  <c r="B10" i="17"/>
  <c r="V12" i="17" l="1"/>
  <c r="V145" i="16"/>
  <c r="M145" i="16"/>
  <c r="V144" i="16"/>
  <c r="M144" i="16"/>
  <c r="V143" i="16"/>
  <c r="M143" i="16"/>
  <c r="V142" i="16"/>
  <c r="M142" i="16"/>
  <c r="V141" i="16"/>
  <c r="M141" i="16"/>
  <c r="V140" i="16"/>
  <c r="M140" i="16"/>
  <c r="V139" i="16"/>
  <c r="M139" i="16"/>
  <c r="V138" i="16"/>
  <c r="M138" i="16"/>
  <c r="V137" i="16"/>
  <c r="M137" i="16"/>
  <c r="V136" i="16"/>
  <c r="M136" i="16"/>
  <c r="V135" i="16"/>
  <c r="M135" i="16"/>
  <c r="V134" i="16"/>
  <c r="M134" i="16"/>
  <c r="V133" i="16"/>
  <c r="M133" i="16"/>
  <c r="V132" i="16"/>
  <c r="M132" i="16"/>
  <c r="V131" i="16"/>
  <c r="M131" i="16"/>
  <c r="V130" i="16"/>
  <c r="M130" i="16"/>
  <c r="V129" i="16"/>
  <c r="M129" i="16"/>
  <c r="V128" i="16"/>
  <c r="M128" i="16"/>
  <c r="V127" i="16"/>
  <c r="M127" i="16"/>
  <c r="V126" i="16"/>
  <c r="M126" i="16"/>
  <c r="V125" i="16"/>
  <c r="M125" i="16"/>
  <c r="V124" i="16"/>
  <c r="M124" i="16"/>
  <c r="V123" i="16"/>
  <c r="M123" i="16"/>
  <c r="V122" i="16"/>
  <c r="M122" i="16"/>
  <c r="V121" i="16"/>
  <c r="M121" i="16"/>
  <c r="V120" i="16"/>
  <c r="M120" i="16"/>
  <c r="V119" i="16"/>
  <c r="M119" i="16"/>
  <c r="V118" i="16"/>
  <c r="M118" i="16"/>
  <c r="V117" i="16"/>
  <c r="M117" i="16"/>
  <c r="V116" i="16"/>
  <c r="M116" i="16"/>
  <c r="V115" i="16"/>
  <c r="M115" i="16"/>
  <c r="V114" i="16"/>
  <c r="M114" i="16"/>
  <c r="V113" i="16"/>
  <c r="M113" i="16"/>
  <c r="V112" i="16"/>
  <c r="M112" i="16"/>
  <c r="V111" i="16"/>
  <c r="M111" i="16"/>
  <c r="V110" i="16"/>
  <c r="M110" i="16"/>
  <c r="V109" i="16"/>
  <c r="M109" i="16"/>
  <c r="V108" i="16"/>
  <c r="M108" i="16"/>
  <c r="V107" i="16"/>
  <c r="M107" i="16"/>
  <c r="V106" i="16"/>
  <c r="M106" i="16"/>
  <c r="V105" i="16"/>
  <c r="M105" i="16"/>
  <c r="V104" i="16"/>
  <c r="M104" i="16"/>
  <c r="V103" i="16"/>
  <c r="M103" i="16"/>
  <c r="V102" i="16"/>
  <c r="M102" i="16"/>
  <c r="V101" i="16"/>
  <c r="M101" i="16"/>
  <c r="V100" i="16"/>
  <c r="M100" i="16"/>
  <c r="V99" i="16"/>
  <c r="M99" i="16"/>
  <c r="V98" i="16"/>
  <c r="M98" i="16"/>
  <c r="V97" i="16"/>
  <c r="M97" i="16"/>
  <c r="V96" i="16"/>
  <c r="M96" i="16"/>
  <c r="V95" i="16"/>
  <c r="M95" i="16"/>
  <c r="V94" i="16"/>
  <c r="M94" i="16"/>
  <c r="V93" i="16"/>
  <c r="M93" i="16"/>
  <c r="V92" i="16"/>
  <c r="M92" i="16"/>
  <c r="V91" i="16"/>
  <c r="M91" i="16"/>
  <c r="V90" i="16"/>
  <c r="M90" i="16"/>
  <c r="V89" i="16"/>
  <c r="M89" i="16"/>
  <c r="V88" i="16"/>
  <c r="M88" i="16"/>
  <c r="V87" i="16"/>
  <c r="M87" i="16"/>
  <c r="V86" i="16"/>
  <c r="M86" i="16"/>
  <c r="V85" i="16"/>
  <c r="M85" i="16"/>
  <c r="V84" i="16"/>
  <c r="M84" i="16"/>
  <c r="V83" i="16"/>
  <c r="M83" i="16"/>
  <c r="V82" i="16"/>
  <c r="M82" i="16"/>
  <c r="V81" i="16"/>
  <c r="M81" i="16"/>
  <c r="V80" i="16"/>
  <c r="M80" i="16"/>
  <c r="V79" i="16"/>
  <c r="M79" i="16"/>
  <c r="V78" i="16"/>
  <c r="M78" i="16"/>
  <c r="V77" i="16"/>
  <c r="M77" i="16"/>
  <c r="V76" i="16"/>
  <c r="M76" i="16"/>
  <c r="V75" i="16"/>
  <c r="M75" i="16"/>
  <c r="V74" i="16"/>
  <c r="M74" i="16"/>
  <c r="V73" i="16"/>
  <c r="M73" i="16"/>
  <c r="V72" i="16"/>
  <c r="M72" i="16"/>
  <c r="V71" i="16"/>
  <c r="M71" i="16"/>
  <c r="V70" i="16"/>
  <c r="M70" i="16"/>
  <c r="V69" i="16"/>
  <c r="M69" i="16"/>
  <c r="V68" i="16"/>
  <c r="M68" i="16"/>
  <c r="V67" i="16"/>
  <c r="M67" i="16"/>
  <c r="V66" i="16"/>
  <c r="M66" i="16"/>
  <c r="V65" i="16"/>
  <c r="M65" i="16"/>
  <c r="V64" i="16"/>
  <c r="M64" i="16"/>
  <c r="V63" i="16"/>
  <c r="M63" i="16"/>
  <c r="V62" i="16"/>
  <c r="M62" i="16"/>
  <c r="V61" i="16"/>
  <c r="M61" i="16"/>
  <c r="V60" i="16"/>
  <c r="M60" i="16"/>
  <c r="V59" i="16"/>
  <c r="M59" i="16"/>
  <c r="V58" i="16"/>
  <c r="M58" i="16"/>
  <c r="V57" i="16"/>
  <c r="M57" i="16"/>
  <c r="V56" i="16"/>
  <c r="M56" i="16"/>
  <c r="V55" i="16"/>
  <c r="M55" i="16"/>
  <c r="V54" i="16"/>
  <c r="M54" i="16"/>
  <c r="V53" i="16"/>
  <c r="M53" i="16"/>
  <c r="V52" i="16"/>
  <c r="M52" i="16"/>
  <c r="V51" i="16"/>
  <c r="M51" i="16"/>
  <c r="V50" i="16"/>
  <c r="M50" i="16"/>
  <c r="V49" i="16"/>
  <c r="M49" i="16"/>
  <c r="V48" i="16"/>
  <c r="M48" i="16"/>
  <c r="V47" i="16"/>
  <c r="M47" i="16"/>
  <c r="V46" i="16"/>
  <c r="M46" i="16"/>
  <c r="V45" i="16"/>
  <c r="M45" i="16"/>
  <c r="V44" i="16"/>
  <c r="M44" i="16"/>
  <c r="V43" i="16"/>
  <c r="M43" i="16"/>
  <c r="V42" i="16"/>
  <c r="M42" i="16"/>
  <c r="V41" i="16"/>
  <c r="M41" i="16"/>
  <c r="V40" i="16"/>
  <c r="M40" i="16"/>
  <c r="V39" i="16"/>
  <c r="M39" i="16"/>
  <c r="V38" i="16"/>
  <c r="M38" i="16"/>
  <c r="V37" i="16"/>
  <c r="M37" i="16"/>
  <c r="V36" i="16"/>
  <c r="M36" i="16"/>
  <c r="V35" i="16"/>
  <c r="M35" i="16"/>
  <c r="V34" i="16"/>
  <c r="M34" i="16"/>
  <c r="V33" i="16"/>
  <c r="M33" i="16"/>
  <c r="V32" i="16"/>
  <c r="M32" i="16"/>
  <c r="V31" i="16"/>
  <c r="M31" i="16"/>
  <c r="V30" i="16"/>
  <c r="M30" i="16"/>
  <c r="V29" i="16"/>
  <c r="M29" i="16"/>
  <c r="V28" i="16"/>
  <c r="M28" i="16"/>
  <c r="V27" i="16"/>
  <c r="M27" i="16"/>
  <c r="V26" i="16"/>
  <c r="M26" i="16"/>
  <c r="V25" i="16"/>
  <c r="M25" i="16"/>
  <c r="V24" i="16"/>
  <c r="M24" i="16"/>
  <c r="V23" i="16"/>
  <c r="M23" i="16"/>
  <c r="V22" i="16"/>
  <c r="M22" i="16"/>
  <c r="V21" i="16"/>
  <c r="M21" i="16"/>
  <c r="V20" i="16"/>
  <c r="M20" i="16"/>
  <c r="V19" i="16"/>
  <c r="M19" i="16"/>
  <c r="V18" i="16"/>
  <c r="M18" i="16"/>
  <c r="V17" i="16"/>
  <c r="M17" i="16"/>
  <c r="V16" i="16"/>
  <c r="M16" i="16"/>
  <c r="V15" i="16"/>
  <c r="M15" i="16"/>
  <c r="V14" i="16"/>
  <c r="M14" i="16"/>
  <c r="V13" i="16"/>
  <c r="M13" i="16"/>
  <c r="M12" i="16"/>
  <c r="I10" i="16"/>
  <c r="H10" i="16"/>
  <c r="G10" i="16"/>
  <c r="F10" i="16"/>
  <c r="E10" i="16"/>
  <c r="D10" i="16"/>
  <c r="C10" i="16"/>
  <c r="B10" i="16"/>
  <c r="V145" i="15"/>
  <c r="M145" i="15"/>
  <c r="V144" i="15"/>
  <c r="M144" i="15"/>
  <c r="V143" i="15"/>
  <c r="M143" i="15"/>
  <c r="V142" i="15"/>
  <c r="M142" i="15"/>
  <c r="V141" i="15"/>
  <c r="M141" i="15"/>
  <c r="V140" i="15"/>
  <c r="M140" i="15"/>
  <c r="V139" i="15"/>
  <c r="M139" i="15"/>
  <c r="V138" i="15"/>
  <c r="M138" i="15"/>
  <c r="V137" i="15"/>
  <c r="M137" i="15"/>
  <c r="V136" i="15"/>
  <c r="M136" i="15"/>
  <c r="V135" i="15"/>
  <c r="M135" i="15"/>
  <c r="V134" i="15"/>
  <c r="M134" i="15"/>
  <c r="V133" i="15"/>
  <c r="M133" i="15"/>
  <c r="V132" i="15"/>
  <c r="M132" i="15"/>
  <c r="V131" i="15"/>
  <c r="M131" i="15"/>
  <c r="V130" i="15"/>
  <c r="M130" i="15"/>
  <c r="V129" i="15"/>
  <c r="M129" i="15"/>
  <c r="V128" i="15"/>
  <c r="M128" i="15"/>
  <c r="V127" i="15"/>
  <c r="M127" i="15"/>
  <c r="V126" i="15"/>
  <c r="M126" i="15"/>
  <c r="V125" i="15"/>
  <c r="M125" i="15"/>
  <c r="V124" i="15"/>
  <c r="M124" i="15"/>
  <c r="V123" i="15"/>
  <c r="M123" i="15"/>
  <c r="V122" i="15"/>
  <c r="M122" i="15"/>
  <c r="V121" i="15"/>
  <c r="M121" i="15"/>
  <c r="V120" i="15"/>
  <c r="M120" i="15"/>
  <c r="V119" i="15"/>
  <c r="M119" i="15"/>
  <c r="V118" i="15"/>
  <c r="M118" i="15"/>
  <c r="V117" i="15"/>
  <c r="M117" i="15"/>
  <c r="V116" i="15"/>
  <c r="M116" i="15"/>
  <c r="V115" i="15"/>
  <c r="M115" i="15"/>
  <c r="V114" i="15"/>
  <c r="M114" i="15"/>
  <c r="V113" i="15"/>
  <c r="M113" i="15"/>
  <c r="V112" i="15"/>
  <c r="M112" i="15"/>
  <c r="V111" i="15"/>
  <c r="M111" i="15"/>
  <c r="V110" i="15"/>
  <c r="M110" i="15"/>
  <c r="V109" i="15"/>
  <c r="M109" i="15"/>
  <c r="V108" i="15"/>
  <c r="M108" i="15"/>
  <c r="V107" i="15"/>
  <c r="M107" i="15"/>
  <c r="V106" i="15"/>
  <c r="M106" i="15"/>
  <c r="V105" i="15"/>
  <c r="M105" i="15"/>
  <c r="V104" i="15"/>
  <c r="M104" i="15"/>
  <c r="V103" i="15"/>
  <c r="M103" i="15"/>
  <c r="V102" i="15"/>
  <c r="M102" i="15"/>
  <c r="V101" i="15"/>
  <c r="M101" i="15"/>
  <c r="V100" i="15"/>
  <c r="M100" i="15"/>
  <c r="V99" i="15"/>
  <c r="M99" i="15"/>
  <c r="V98" i="15"/>
  <c r="M98" i="15"/>
  <c r="V97" i="15"/>
  <c r="M97" i="15"/>
  <c r="V96" i="15"/>
  <c r="M96" i="15"/>
  <c r="V95" i="15"/>
  <c r="M95" i="15"/>
  <c r="V94" i="15"/>
  <c r="M94" i="15"/>
  <c r="V93" i="15"/>
  <c r="M93" i="15"/>
  <c r="V92" i="15"/>
  <c r="M92" i="15"/>
  <c r="V91" i="15"/>
  <c r="M91" i="15"/>
  <c r="V90" i="15"/>
  <c r="M90" i="15"/>
  <c r="V89" i="15"/>
  <c r="M89" i="15"/>
  <c r="V88" i="15"/>
  <c r="M88" i="15"/>
  <c r="V87" i="15"/>
  <c r="M87" i="15"/>
  <c r="V86" i="15"/>
  <c r="M86" i="15"/>
  <c r="V85" i="15"/>
  <c r="M85" i="15"/>
  <c r="V84" i="15"/>
  <c r="M84" i="15"/>
  <c r="V83" i="15"/>
  <c r="M83" i="15"/>
  <c r="V82" i="15"/>
  <c r="M82" i="15"/>
  <c r="V81" i="15"/>
  <c r="M81" i="15"/>
  <c r="V80" i="15"/>
  <c r="M80" i="15"/>
  <c r="V79" i="15"/>
  <c r="M79" i="15"/>
  <c r="V78" i="15"/>
  <c r="M78" i="15"/>
  <c r="V77" i="15"/>
  <c r="M77" i="15"/>
  <c r="V76" i="15"/>
  <c r="M76" i="15"/>
  <c r="V75" i="15"/>
  <c r="M75" i="15"/>
  <c r="V74" i="15"/>
  <c r="M74" i="15"/>
  <c r="V73" i="15"/>
  <c r="M73" i="15"/>
  <c r="V72" i="15"/>
  <c r="M72" i="15"/>
  <c r="V71" i="15"/>
  <c r="M71" i="15"/>
  <c r="V70" i="15"/>
  <c r="M70" i="15"/>
  <c r="V69" i="15"/>
  <c r="M69" i="15"/>
  <c r="V68" i="15"/>
  <c r="M68" i="15"/>
  <c r="V67" i="15"/>
  <c r="M67" i="15"/>
  <c r="V66" i="15"/>
  <c r="M66" i="15"/>
  <c r="V65" i="15"/>
  <c r="M65" i="15"/>
  <c r="V64" i="15"/>
  <c r="M64" i="15"/>
  <c r="V63" i="15"/>
  <c r="M63" i="15"/>
  <c r="V62" i="15"/>
  <c r="M62" i="15"/>
  <c r="V61" i="15"/>
  <c r="M61" i="15"/>
  <c r="V60" i="15"/>
  <c r="M60" i="15"/>
  <c r="V59" i="15"/>
  <c r="M59" i="15"/>
  <c r="V58" i="15"/>
  <c r="M58" i="15"/>
  <c r="V57" i="15"/>
  <c r="M57" i="15"/>
  <c r="V56" i="15"/>
  <c r="M56" i="15"/>
  <c r="V55" i="15"/>
  <c r="M55" i="15"/>
  <c r="V54" i="15"/>
  <c r="M54" i="15"/>
  <c r="V53" i="15"/>
  <c r="M53" i="15"/>
  <c r="V52" i="15"/>
  <c r="M52" i="15"/>
  <c r="V51" i="15"/>
  <c r="M51" i="15"/>
  <c r="V50" i="15"/>
  <c r="M50" i="15"/>
  <c r="V49" i="15"/>
  <c r="M49" i="15"/>
  <c r="V48" i="15"/>
  <c r="M48" i="15"/>
  <c r="V47" i="15"/>
  <c r="M47" i="15"/>
  <c r="V46" i="15"/>
  <c r="M46" i="15"/>
  <c r="V45" i="15"/>
  <c r="M45" i="15"/>
  <c r="V44" i="15"/>
  <c r="M44" i="15"/>
  <c r="V43" i="15"/>
  <c r="M43" i="15"/>
  <c r="V42" i="15"/>
  <c r="M42" i="15"/>
  <c r="V41" i="15"/>
  <c r="M41" i="15"/>
  <c r="V40" i="15"/>
  <c r="M40" i="15"/>
  <c r="V39" i="15"/>
  <c r="M39" i="15"/>
  <c r="V38" i="15"/>
  <c r="M38" i="15"/>
  <c r="V37" i="15"/>
  <c r="M37" i="15"/>
  <c r="V36" i="15"/>
  <c r="M36" i="15"/>
  <c r="V35" i="15"/>
  <c r="M35" i="15"/>
  <c r="V34" i="15"/>
  <c r="M34" i="15"/>
  <c r="V33" i="15"/>
  <c r="M33" i="15"/>
  <c r="V32" i="15"/>
  <c r="M32" i="15"/>
  <c r="V31" i="15"/>
  <c r="M31" i="15"/>
  <c r="V30" i="15"/>
  <c r="M30" i="15"/>
  <c r="V29" i="15"/>
  <c r="M29" i="15"/>
  <c r="V28" i="15"/>
  <c r="M28" i="15"/>
  <c r="V27" i="15"/>
  <c r="M27" i="15"/>
  <c r="V26" i="15"/>
  <c r="M26" i="15"/>
  <c r="V25" i="15"/>
  <c r="M25" i="15"/>
  <c r="V24" i="15"/>
  <c r="M24" i="15"/>
  <c r="V23" i="15"/>
  <c r="M23" i="15"/>
  <c r="V22" i="15"/>
  <c r="M22" i="15"/>
  <c r="V21" i="15"/>
  <c r="M21" i="15"/>
  <c r="V20" i="15"/>
  <c r="M20" i="15"/>
  <c r="V19" i="15"/>
  <c r="M19" i="15"/>
  <c r="V18" i="15"/>
  <c r="M18" i="15"/>
  <c r="V17" i="15"/>
  <c r="M17" i="15"/>
  <c r="V16" i="15"/>
  <c r="M16" i="15"/>
  <c r="V15" i="15"/>
  <c r="M15" i="15"/>
  <c r="V14" i="15"/>
  <c r="M14" i="15"/>
  <c r="V13" i="15"/>
  <c r="M13" i="15"/>
  <c r="M12" i="15"/>
  <c r="I10" i="15"/>
  <c r="H10" i="15"/>
  <c r="G10" i="15"/>
  <c r="F10" i="15"/>
  <c r="E10" i="15"/>
  <c r="D10" i="15"/>
  <c r="C10" i="15"/>
  <c r="B10" i="15"/>
  <c r="V145" i="14"/>
  <c r="M145" i="14"/>
  <c r="V144" i="14"/>
  <c r="M144" i="14"/>
  <c r="V143" i="14"/>
  <c r="M143" i="14"/>
  <c r="V142" i="14"/>
  <c r="M142" i="14"/>
  <c r="V141" i="14"/>
  <c r="M141" i="14"/>
  <c r="V140" i="14"/>
  <c r="M140" i="14"/>
  <c r="V139" i="14"/>
  <c r="M139" i="14"/>
  <c r="V138" i="14"/>
  <c r="M138" i="14"/>
  <c r="V137" i="14"/>
  <c r="M137" i="14"/>
  <c r="V136" i="14"/>
  <c r="M136" i="14"/>
  <c r="V135" i="14"/>
  <c r="M135" i="14"/>
  <c r="V134" i="14"/>
  <c r="M134" i="14"/>
  <c r="V133" i="14"/>
  <c r="M133" i="14"/>
  <c r="V132" i="14"/>
  <c r="M132" i="14"/>
  <c r="V131" i="14"/>
  <c r="M131" i="14"/>
  <c r="V130" i="14"/>
  <c r="M130" i="14"/>
  <c r="V129" i="14"/>
  <c r="M129" i="14"/>
  <c r="V128" i="14"/>
  <c r="M128" i="14"/>
  <c r="V127" i="14"/>
  <c r="M127" i="14"/>
  <c r="V126" i="14"/>
  <c r="M126" i="14"/>
  <c r="V125" i="14"/>
  <c r="M125" i="14"/>
  <c r="V124" i="14"/>
  <c r="M124" i="14"/>
  <c r="V123" i="14"/>
  <c r="M123" i="14"/>
  <c r="V122" i="14"/>
  <c r="M122" i="14"/>
  <c r="V121" i="14"/>
  <c r="M121" i="14"/>
  <c r="V120" i="14"/>
  <c r="M120" i="14"/>
  <c r="V119" i="14"/>
  <c r="M119" i="14"/>
  <c r="V118" i="14"/>
  <c r="M118" i="14"/>
  <c r="V117" i="14"/>
  <c r="M117" i="14"/>
  <c r="V116" i="14"/>
  <c r="M116" i="14"/>
  <c r="V115" i="14"/>
  <c r="M115" i="14"/>
  <c r="V114" i="14"/>
  <c r="M114" i="14"/>
  <c r="V113" i="14"/>
  <c r="M113" i="14"/>
  <c r="V112" i="14"/>
  <c r="M112" i="14"/>
  <c r="V111" i="14"/>
  <c r="M111" i="14"/>
  <c r="V110" i="14"/>
  <c r="M110" i="14"/>
  <c r="V109" i="14"/>
  <c r="M109" i="14"/>
  <c r="V108" i="14"/>
  <c r="M108" i="14"/>
  <c r="V107" i="14"/>
  <c r="M107" i="14"/>
  <c r="V106" i="14"/>
  <c r="M106" i="14"/>
  <c r="V105" i="14"/>
  <c r="M105" i="14"/>
  <c r="V104" i="14"/>
  <c r="M104" i="14"/>
  <c r="V103" i="14"/>
  <c r="M103" i="14"/>
  <c r="V102" i="14"/>
  <c r="M102" i="14"/>
  <c r="V101" i="14"/>
  <c r="M101" i="14"/>
  <c r="V100" i="14"/>
  <c r="M100" i="14"/>
  <c r="V99" i="14"/>
  <c r="M99" i="14"/>
  <c r="V98" i="14"/>
  <c r="M98" i="14"/>
  <c r="V97" i="14"/>
  <c r="M97" i="14"/>
  <c r="V96" i="14"/>
  <c r="M96" i="14"/>
  <c r="V95" i="14"/>
  <c r="M95" i="14"/>
  <c r="V94" i="14"/>
  <c r="M94" i="14"/>
  <c r="V93" i="14"/>
  <c r="M93" i="14"/>
  <c r="V92" i="14"/>
  <c r="M92" i="14"/>
  <c r="V91" i="14"/>
  <c r="M91" i="14"/>
  <c r="V90" i="14"/>
  <c r="M90" i="14"/>
  <c r="V89" i="14"/>
  <c r="M89" i="14"/>
  <c r="V88" i="14"/>
  <c r="M88" i="14"/>
  <c r="V87" i="14"/>
  <c r="M87" i="14"/>
  <c r="V86" i="14"/>
  <c r="M86" i="14"/>
  <c r="V85" i="14"/>
  <c r="M85" i="14"/>
  <c r="V84" i="14"/>
  <c r="M84" i="14"/>
  <c r="V83" i="14"/>
  <c r="M83" i="14"/>
  <c r="V82" i="14"/>
  <c r="M82" i="14"/>
  <c r="V81" i="14"/>
  <c r="M81" i="14"/>
  <c r="V80" i="14"/>
  <c r="M80" i="14"/>
  <c r="V79" i="14"/>
  <c r="M79" i="14"/>
  <c r="V78" i="14"/>
  <c r="M78" i="14"/>
  <c r="V77" i="14"/>
  <c r="M77" i="14"/>
  <c r="V76" i="14"/>
  <c r="M76" i="14"/>
  <c r="V75" i="14"/>
  <c r="M75" i="14"/>
  <c r="V74" i="14"/>
  <c r="M74" i="14"/>
  <c r="V73" i="14"/>
  <c r="M73" i="14"/>
  <c r="V72" i="14"/>
  <c r="M72" i="14"/>
  <c r="V71" i="14"/>
  <c r="M71" i="14"/>
  <c r="V70" i="14"/>
  <c r="M70" i="14"/>
  <c r="V69" i="14"/>
  <c r="M69" i="14"/>
  <c r="V68" i="14"/>
  <c r="M68" i="14"/>
  <c r="V67" i="14"/>
  <c r="M67" i="14"/>
  <c r="V66" i="14"/>
  <c r="M66" i="14"/>
  <c r="V65" i="14"/>
  <c r="M65" i="14"/>
  <c r="V64" i="14"/>
  <c r="M64" i="14"/>
  <c r="V63" i="14"/>
  <c r="M63" i="14"/>
  <c r="V62" i="14"/>
  <c r="M62" i="14"/>
  <c r="V61" i="14"/>
  <c r="M61" i="14"/>
  <c r="V60" i="14"/>
  <c r="M60" i="14"/>
  <c r="V59" i="14"/>
  <c r="M59" i="14"/>
  <c r="V58" i="14"/>
  <c r="M58" i="14"/>
  <c r="V57" i="14"/>
  <c r="M57" i="14"/>
  <c r="V56" i="14"/>
  <c r="M56" i="14"/>
  <c r="V55" i="14"/>
  <c r="M55" i="14"/>
  <c r="V54" i="14"/>
  <c r="M54" i="14"/>
  <c r="V53" i="14"/>
  <c r="M53" i="14"/>
  <c r="V52" i="14"/>
  <c r="M52" i="14"/>
  <c r="V51" i="14"/>
  <c r="M51" i="14"/>
  <c r="V50" i="14"/>
  <c r="M50" i="14"/>
  <c r="V49" i="14"/>
  <c r="M49" i="14"/>
  <c r="V48" i="14"/>
  <c r="M48" i="14"/>
  <c r="V47" i="14"/>
  <c r="M47" i="14"/>
  <c r="V46" i="14"/>
  <c r="M46" i="14"/>
  <c r="V45" i="14"/>
  <c r="M45" i="14"/>
  <c r="V44" i="14"/>
  <c r="M44" i="14"/>
  <c r="V43" i="14"/>
  <c r="M43" i="14"/>
  <c r="V42" i="14"/>
  <c r="M42" i="14"/>
  <c r="V41" i="14"/>
  <c r="M41" i="14"/>
  <c r="V40" i="14"/>
  <c r="M40" i="14"/>
  <c r="V39" i="14"/>
  <c r="M39" i="14"/>
  <c r="V38" i="14"/>
  <c r="M38" i="14"/>
  <c r="V37" i="14"/>
  <c r="M37" i="14"/>
  <c r="V36" i="14"/>
  <c r="M36" i="14"/>
  <c r="V35" i="14"/>
  <c r="M35" i="14"/>
  <c r="V34" i="14"/>
  <c r="M34" i="14"/>
  <c r="V33" i="14"/>
  <c r="M33" i="14"/>
  <c r="V32" i="14"/>
  <c r="M32" i="14"/>
  <c r="V31" i="14"/>
  <c r="M31" i="14"/>
  <c r="V30" i="14"/>
  <c r="M30" i="14"/>
  <c r="V29" i="14"/>
  <c r="M29" i="14"/>
  <c r="V28" i="14"/>
  <c r="M28" i="14"/>
  <c r="V27" i="14"/>
  <c r="M27" i="14"/>
  <c r="V26" i="14"/>
  <c r="M26" i="14"/>
  <c r="V25" i="14"/>
  <c r="M25" i="14"/>
  <c r="V24" i="14"/>
  <c r="M24" i="14"/>
  <c r="V23" i="14"/>
  <c r="M23" i="14"/>
  <c r="V22" i="14"/>
  <c r="M22" i="14"/>
  <c r="V21" i="14"/>
  <c r="M21" i="14"/>
  <c r="V20" i="14"/>
  <c r="M20" i="14"/>
  <c r="V19" i="14"/>
  <c r="M19" i="14"/>
  <c r="V18" i="14"/>
  <c r="M18" i="14"/>
  <c r="V17" i="14"/>
  <c r="M17" i="14"/>
  <c r="V16" i="14"/>
  <c r="M16" i="14"/>
  <c r="V15" i="14"/>
  <c r="M15" i="14"/>
  <c r="V14" i="14"/>
  <c r="M14" i="14"/>
  <c r="V13" i="14"/>
  <c r="M13" i="14"/>
  <c r="M12" i="14"/>
  <c r="I10" i="14"/>
  <c r="H10" i="14"/>
  <c r="G10" i="14"/>
  <c r="F10" i="14"/>
  <c r="E10" i="14"/>
  <c r="D10" i="14"/>
  <c r="C10" i="14"/>
  <c r="B10" i="14"/>
  <c r="V145" i="13"/>
  <c r="M145" i="13"/>
  <c r="V144" i="13"/>
  <c r="M144" i="13"/>
  <c r="V143" i="13"/>
  <c r="M143" i="13"/>
  <c r="V142" i="13"/>
  <c r="M142" i="13"/>
  <c r="V141" i="13"/>
  <c r="M141" i="13"/>
  <c r="V140" i="13"/>
  <c r="M140" i="13"/>
  <c r="V139" i="13"/>
  <c r="M139" i="13"/>
  <c r="V138" i="13"/>
  <c r="M138" i="13"/>
  <c r="V137" i="13"/>
  <c r="M137" i="13"/>
  <c r="V136" i="13"/>
  <c r="M136" i="13"/>
  <c r="V135" i="13"/>
  <c r="M135" i="13"/>
  <c r="V134" i="13"/>
  <c r="M134" i="13"/>
  <c r="V133" i="13"/>
  <c r="M133" i="13"/>
  <c r="V132" i="13"/>
  <c r="M132" i="13"/>
  <c r="V131" i="13"/>
  <c r="M131" i="13"/>
  <c r="V130" i="13"/>
  <c r="M130" i="13"/>
  <c r="V129" i="13"/>
  <c r="M129" i="13"/>
  <c r="V128" i="13"/>
  <c r="M128" i="13"/>
  <c r="V127" i="13"/>
  <c r="M127" i="13"/>
  <c r="V126" i="13"/>
  <c r="M126" i="13"/>
  <c r="V125" i="13"/>
  <c r="M125" i="13"/>
  <c r="V124" i="13"/>
  <c r="M124" i="13"/>
  <c r="V123" i="13"/>
  <c r="M123" i="13"/>
  <c r="V122" i="13"/>
  <c r="M122" i="13"/>
  <c r="V121" i="13"/>
  <c r="M121" i="13"/>
  <c r="V120" i="13"/>
  <c r="M120" i="13"/>
  <c r="V119" i="13"/>
  <c r="M119" i="13"/>
  <c r="V118" i="13"/>
  <c r="M118" i="13"/>
  <c r="V117" i="13"/>
  <c r="M117" i="13"/>
  <c r="V116" i="13"/>
  <c r="M116" i="13"/>
  <c r="V115" i="13"/>
  <c r="M115" i="13"/>
  <c r="V114" i="13"/>
  <c r="M114" i="13"/>
  <c r="V113" i="13"/>
  <c r="M113" i="13"/>
  <c r="V112" i="13"/>
  <c r="M112" i="13"/>
  <c r="V111" i="13"/>
  <c r="M111" i="13"/>
  <c r="V110" i="13"/>
  <c r="M110" i="13"/>
  <c r="V109" i="13"/>
  <c r="M109" i="13"/>
  <c r="V108" i="13"/>
  <c r="M108" i="13"/>
  <c r="V107" i="13"/>
  <c r="M107" i="13"/>
  <c r="V106" i="13"/>
  <c r="M106" i="13"/>
  <c r="V105" i="13"/>
  <c r="M105" i="13"/>
  <c r="V104" i="13"/>
  <c r="M104" i="13"/>
  <c r="V103" i="13"/>
  <c r="M103" i="13"/>
  <c r="V102" i="13"/>
  <c r="M102" i="13"/>
  <c r="V101" i="13"/>
  <c r="M101" i="13"/>
  <c r="V100" i="13"/>
  <c r="M100" i="13"/>
  <c r="V99" i="13"/>
  <c r="M99" i="13"/>
  <c r="V98" i="13"/>
  <c r="M98" i="13"/>
  <c r="V97" i="13"/>
  <c r="M97" i="13"/>
  <c r="V96" i="13"/>
  <c r="M96" i="13"/>
  <c r="V95" i="13"/>
  <c r="M95" i="13"/>
  <c r="V94" i="13"/>
  <c r="M94" i="13"/>
  <c r="V93" i="13"/>
  <c r="M93" i="13"/>
  <c r="V92" i="13"/>
  <c r="M92" i="13"/>
  <c r="V91" i="13"/>
  <c r="M91" i="13"/>
  <c r="V90" i="13"/>
  <c r="M90" i="13"/>
  <c r="V89" i="13"/>
  <c r="M89" i="13"/>
  <c r="V88" i="13"/>
  <c r="M88" i="13"/>
  <c r="V87" i="13"/>
  <c r="M87" i="13"/>
  <c r="V86" i="13"/>
  <c r="M86" i="13"/>
  <c r="V85" i="13"/>
  <c r="M85" i="13"/>
  <c r="V84" i="13"/>
  <c r="M84" i="13"/>
  <c r="V83" i="13"/>
  <c r="M83" i="13"/>
  <c r="V82" i="13"/>
  <c r="M82" i="13"/>
  <c r="V81" i="13"/>
  <c r="M81" i="13"/>
  <c r="V80" i="13"/>
  <c r="M80" i="13"/>
  <c r="V79" i="13"/>
  <c r="M79" i="13"/>
  <c r="V78" i="13"/>
  <c r="M78" i="13"/>
  <c r="V77" i="13"/>
  <c r="M77" i="13"/>
  <c r="V76" i="13"/>
  <c r="M76" i="13"/>
  <c r="V75" i="13"/>
  <c r="M75" i="13"/>
  <c r="V74" i="13"/>
  <c r="M74" i="13"/>
  <c r="V73" i="13"/>
  <c r="M73" i="13"/>
  <c r="V72" i="13"/>
  <c r="M72" i="13"/>
  <c r="V71" i="13"/>
  <c r="M71" i="13"/>
  <c r="V70" i="13"/>
  <c r="M70" i="13"/>
  <c r="V69" i="13"/>
  <c r="M69" i="13"/>
  <c r="V68" i="13"/>
  <c r="M68" i="13"/>
  <c r="V67" i="13"/>
  <c r="M67" i="13"/>
  <c r="V66" i="13"/>
  <c r="M66" i="13"/>
  <c r="V65" i="13"/>
  <c r="M65" i="13"/>
  <c r="V64" i="13"/>
  <c r="M64" i="13"/>
  <c r="V63" i="13"/>
  <c r="M63" i="13"/>
  <c r="V62" i="13"/>
  <c r="M62" i="13"/>
  <c r="V61" i="13"/>
  <c r="M61" i="13"/>
  <c r="V60" i="13"/>
  <c r="M60" i="13"/>
  <c r="V59" i="13"/>
  <c r="M59" i="13"/>
  <c r="V58" i="13"/>
  <c r="M58" i="13"/>
  <c r="V57" i="13"/>
  <c r="M57" i="13"/>
  <c r="V56" i="13"/>
  <c r="M56" i="13"/>
  <c r="V55" i="13"/>
  <c r="M55" i="13"/>
  <c r="V54" i="13"/>
  <c r="M54" i="13"/>
  <c r="V53" i="13"/>
  <c r="M53" i="13"/>
  <c r="V52" i="13"/>
  <c r="M52" i="13"/>
  <c r="V51" i="13"/>
  <c r="M51" i="13"/>
  <c r="V50" i="13"/>
  <c r="M50" i="13"/>
  <c r="V49" i="13"/>
  <c r="M49" i="13"/>
  <c r="V48" i="13"/>
  <c r="M48" i="13"/>
  <c r="V47" i="13"/>
  <c r="M47" i="13"/>
  <c r="V46" i="13"/>
  <c r="M46" i="13"/>
  <c r="V45" i="13"/>
  <c r="M45" i="13"/>
  <c r="V44" i="13"/>
  <c r="M44" i="13"/>
  <c r="V43" i="13"/>
  <c r="M43" i="13"/>
  <c r="V42" i="13"/>
  <c r="M42" i="13"/>
  <c r="V41" i="13"/>
  <c r="M41" i="13"/>
  <c r="V40" i="13"/>
  <c r="M40" i="13"/>
  <c r="V39" i="13"/>
  <c r="M39" i="13"/>
  <c r="V38" i="13"/>
  <c r="M38" i="13"/>
  <c r="V37" i="13"/>
  <c r="M37" i="13"/>
  <c r="V36" i="13"/>
  <c r="M36" i="13"/>
  <c r="V35" i="13"/>
  <c r="M35" i="13"/>
  <c r="V34" i="13"/>
  <c r="M34" i="13"/>
  <c r="V33" i="13"/>
  <c r="M33" i="13"/>
  <c r="V32" i="13"/>
  <c r="M32" i="13"/>
  <c r="V31" i="13"/>
  <c r="M31" i="13"/>
  <c r="V30" i="13"/>
  <c r="M30" i="13"/>
  <c r="V29" i="13"/>
  <c r="M29" i="13"/>
  <c r="V28" i="13"/>
  <c r="M28" i="13"/>
  <c r="V27" i="13"/>
  <c r="M27" i="13"/>
  <c r="V26" i="13"/>
  <c r="M26" i="13"/>
  <c r="V25" i="13"/>
  <c r="M25" i="13"/>
  <c r="V24" i="13"/>
  <c r="M24" i="13"/>
  <c r="V23" i="13"/>
  <c r="M23" i="13"/>
  <c r="V22" i="13"/>
  <c r="M22" i="13"/>
  <c r="V21" i="13"/>
  <c r="M21" i="13"/>
  <c r="V20" i="13"/>
  <c r="M20" i="13"/>
  <c r="V19" i="13"/>
  <c r="M19" i="13"/>
  <c r="V18" i="13"/>
  <c r="M18" i="13"/>
  <c r="V17" i="13"/>
  <c r="M17" i="13"/>
  <c r="V16" i="13"/>
  <c r="M16" i="13"/>
  <c r="V15" i="13"/>
  <c r="M15" i="13"/>
  <c r="V14" i="13"/>
  <c r="M14" i="13"/>
  <c r="V13" i="13"/>
  <c r="M13" i="13"/>
  <c r="M12" i="13"/>
  <c r="I10" i="13"/>
  <c r="H10" i="13"/>
  <c r="G10" i="13"/>
  <c r="F10" i="13"/>
  <c r="E10" i="13"/>
  <c r="D10" i="13"/>
  <c r="C10" i="13"/>
  <c r="B10" i="13"/>
  <c r="V145" i="12"/>
  <c r="M145" i="12"/>
  <c r="V144" i="12"/>
  <c r="M144" i="12"/>
  <c r="V143" i="12"/>
  <c r="M143" i="12"/>
  <c r="V142" i="12"/>
  <c r="M142" i="12"/>
  <c r="V141" i="12"/>
  <c r="M141" i="12"/>
  <c r="V140" i="12"/>
  <c r="M140" i="12"/>
  <c r="V139" i="12"/>
  <c r="M139" i="12"/>
  <c r="V138" i="12"/>
  <c r="M138" i="12"/>
  <c r="V137" i="12"/>
  <c r="M137" i="12"/>
  <c r="V136" i="12"/>
  <c r="M136" i="12"/>
  <c r="V135" i="12"/>
  <c r="M135" i="12"/>
  <c r="V134" i="12"/>
  <c r="M134" i="12"/>
  <c r="V133" i="12"/>
  <c r="M133" i="12"/>
  <c r="V132" i="12"/>
  <c r="M132" i="12"/>
  <c r="V131" i="12"/>
  <c r="M131" i="12"/>
  <c r="V130" i="12"/>
  <c r="M130" i="12"/>
  <c r="V129" i="12"/>
  <c r="M129" i="12"/>
  <c r="V128" i="12"/>
  <c r="M128" i="12"/>
  <c r="V127" i="12"/>
  <c r="M127" i="12"/>
  <c r="V126" i="12"/>
  <c r="M126" i="12"/>
  <c r="V125" i="12"/>
  <c r="M125" i="12"/>
  <c r="V124" i="12"/>
  <c r="M124" i="12"/>
  <c r="V123" i="12"/>
  <c r="M123" i="12"/>
  <c r="V122" i="12"/>
  <c r="M122" i="12"/>
  <c r="V121" i="12"/>
  <c r="M121" i="12"/>
  <c r="V120" i="12"/>
  <c r="M120" i="12"/>
  <c r="V119" i="12"/>
  <c r="M119" i="12"/>
  <c r="V118" i="12"/>
  <c r="M118" i="12"/>
  <c r="V117" i="12"/>
  <c r="M117" i="12"/>
  <c r="V116" i="12"/>
  <c r="M116" i="12"/>
  <c r="V115" i="12"/>
  <c r="M115" i="12"/>
  <c r="V114" i="12"/>
  <c r="M114" i="12"/>
  <c r="V113" i="12"/>
  <c r="M113" i="12"/>
  <c r="V112" i="12"/>
  <c r="M112" i="12"/>
  <c r="V111" i="12"/>
  <c r="M111" i="12"/>
  <c r="V110" i="12"/>
  <c r="M110" i="12"/>
  <c r="V109" i="12"/>
  <c r="M109" i="12"/>
  <c r="V108" i="12"/>
  <c r="M108" i="12"/>
  <c r="V107" i="12"/>
  <c r="M107" i="12"/>
  <c r="V106" i="12"/>
  <c r="M106" i="12"/>
  <c r="V105" i="12"/>
  <c r="M105" i="12"/>
  <c r="V104" i="12"/>
  <c r="M104" i="12"/>
  <c r="V103" i="12"/>
  <c r="M103" i="12"/>
  <c r="V102" i="12"/>
  <c r="M102" i="12"/>
  <c r="V101" i="12"/>
  <c r="M101" i="12"/>
  <c r="V100" i="12"/>
  <c r="M100" i="12"/>
  <c r="V99" i="12"/>
  <c r="M99" i="12"/>
  <c r="V98" i="12"/>
  <c r="M98" i="12"/>
  <c r="V97" i="12"/>
  <c r="M97" i="12"/>
  <c r="V96" i="12"/>
  <c r="M96" i="12"/>
  <c r="V95" i="12"/>
  <c r="M95" i="12"/>
  <c r="V94" i="12"/>
  <c r="M94" i="12"/>
  <c r="V93" i="12"/>
  <c r="M93" i="12"/>
  <c r="V92" i="12"/>
  <c r="M92" i="12"/>
  <c r="V91" i="12"/>
  <c r="M91" i="12"/>
  <c r="V90" i="12"/>
  <c r="M90" i="12"/>
  <c r="V89" i="12"/>
  <c r="M89" i="12"/>
  <c r="V88" i="12"/>
  <c r="M88" i="12"/>
  <c r="V87" i="12"/>
  <c r="M87" i="12"/>
  <c r="V86" i="12"/>
  <c r="M86" i="12"/>
  <c r="V85" i="12"/>
  <c r="M85" i="12"/>
  <c r="V84" i="12"/>
  <c r="M84" i="12"/>
  <c r="V83" i="12"/>
  <c r="M83" i="12"/>
  <c r="V82" i="12"/>
  <c r="M82" i="12"/>
  <c r="V81" i="12"/>
  <c r="M81" i="12"/>
  <c r="V80" i="12"/>
  <c r="M80" i="12"/>
  <c r="V79" i="12"/>
  <c r="M79" i="12"/>
  <c r="V78" i="12"/>
  <c r="M78" i="12"/>
  <c r="V77" i="12"/>
  <c r="M77" i="12"/>
  <c r="V76" i="12"/>
  <c r="M76" i="12"/>
  <c r="V75" i="12"/>
  <c r="M75" i="12"/>
  <c r="V74" i="12"/>
  <c r="M74" i="12"/>
  <c r="V73" i="12"/>
  <c r="M73" i="12"/>
  <c r="V72" i="12"/>
  <c r="M72" i="12"/>
  <c r="V71" i="12"/>
  <c r="M71" i="12"/>
  <c r="V70" i="12"/>
  <c r="M70" i="12"/>
  <c r="V69" i="12"/>
  <c r="M69" i="12"/>
  <c r="V68" i="12"/>
  <c r="M68" i="12"/>
  <c r="V67" i="12"/>
  <c r="M67" i="12"/>
  <c r="V66" i="12"/>
  <c r="M66" i="12"/>
  <c r="V65" i="12"/>
  <c r="M65" i="12"/>
  <c r="V64" i="12"/>
  <c r="M64" i="12"/>
  <c r="V63" i="12"/>
  <c r="M63" i="12"/>
  <c r="V62" i="12"/>
  <c r="M62" i="12"/>
  <c r="V61" i="12"/>
  <c r="M61" i="12"/>
  <c r="V60" i="12"/>
  <c r="M60" i="12"/>
  <c r="V59" i="12"/>
  <c r="M59" i="12"/>
  <c r="V58" i="12"/>
  <c r="M58" i="12"/>
  <c r="V57" i="12"/>
  <c r="M57" i="12"/>
  <c r="V56" i="12"/>
  <c r="M56" i="12"/>
  <c r="V55" i="12"/>
  <c r="M55" i="12"/>
  <c r="V54" i="12"/>
  <c r="M54" i="12"/>
  <c r="V53" i="12"/>
  <c r="M53" i="12"/>
  <c r="V52" i="12"/>
  <c r="M52" i="12"/>
  <c r="V51" i="12"/>
  <c r="M51" i="12"/>
  <c r="V50" i="12"/>
  <c r="M50" i="12"/>
  <c r="V49" i="12"/>
  <c r="M49" i="12"/>
  <c r="V48" i="12"/>
  <c r="M48" i="12"/>
  <c r="V47" i="12"/>
  <c r="M47" i="12"/>
  <c r="V46" i="12"/>
  <c r="M46" i="12"/>
  <c r="V45" i="12"/>
  <c r="M45" i="12"/>
  <c r="V44" i="12"/>
  <c r="M44" i="12"/>
  <c r="V43" i="12"/>
  <c r="M43" i="12"/>
  <c r="V42" i="12"/>
  <c r="M42" i="12"/>
  <c r="V41" i="12"/>
  <c r="M41" i="12"/>
  <c r="V40" i="12"/>
  <c r="M40" i="12"/>
  <c r="V39" i="12"/>
  <c r="M39" i="12"/>
  <c r="V38" i="12"/>
  <c r="M38" i="12"/>
  <c r="V37" i="12"/>
  <c r="M37" i="12"/>
  <c r="V36" i="12"/>
  <c r="M36" i="12"/>
  <c r="V35" i="12"/>
  <c r="M35" i="12"/>
  <c r="V34" i="12"/>
  <c r="M34" i="12"/>
  <c r="V33" i="12"/>
  <c r="M33" i="12"/>
  <c r="V32" i="12"/>
  <c r="M32" i="12"/>
  <c r="V31" i="12"/>
  <c r="M31" i="12"/>
  <c r="V30" i="12"/>
  <c r="M30" i="12"/>
  <c r="V29" i="12"/>
  <c r="M29" i="12"/>
  <c r="V28" i="12"/>
  <c r="M28" i="12"/>
  <c r="V27" i="12"/>
  <c r="M27" i="12"/>
  <c r="V26" i="12"/>
  <c r="M26" i="12"/>
  <c r="V25" i="12"/>
  <c r="M25" i="12"/>
  <c r="V24" i="12"/>
  <c r="M24" i="12"/>
  <c r="V23" i="12"/>
  <c r="M23" i="12"/>
  <c r="V22" i="12"/>
  <c r="M22" i="12"/>
  <c r="V21" i="12"/>
  <c r="M21" i="12"/>
  <c r="V20" i="12"/>
  <c r="M20" i="12"/>
  <c r="V19" i="12"/>
  <c r="M19" i="12"/>
  <c r="V18" i="12"/>
  <c r="M18" i="12"/>
  <c r="V17" i="12"/>
  <c r="M17" i="12"/>
  <c r="V16" i="12"/>
  <c r="M16" i="12"/>
  <c r="V15" i="12"/>
  <c r="M15" i="12"/>
  <c r="V14" i="12"/>
  <c r="M14" i="12"/>
  <c r="V13" i="12"/>
  <c r="M13" i="12"/>
  <c r="M12" i="12"/>
  <c r="I10" i="12"/>
  <c r="H10" i="12"/>
  <c r="G10" i="12"/>
  <c r="F10" i="12"/>
  <c r="E10" i="12"/>
  <c r="D10" i="12"/>
  <c r="C10" i="12"/>
  <c r="B10" i="12"/>
  <c r="V145" i="11"/>
  <c r="M145" i="11"/>
  <c r="V144" i="11"/>
  <c r="M144" i="11"/>
  <c r="V143" i="11"/>
  <c r="M143" i="11"/>
  <c r="V142" i="11"/>
  <c r="M142" i="11"/>
  <c r="V141" i="11"/>
  <c r="M141" i="11"/>
  <c r="V140" i="11"/>
  <c r="M140" i="11"/>
  <c r="V139" i="11"/>
  <c r="M139" i="11"/>
  <c r="V138" i="11"/>
  <c r="M138" i="11"/>
  <c r="V137" i="11"/>
  <c r="M137" i="11"/>
  <c r="V136" i="11"/>
  <c r="M136" i="11"/>
  <c r="V135" i="11"/>
  <c r="M135" i="11"/>
  <c r="V134" i="11"/>
  <c r="M134" i="11"/>
  <c r="V133" i="11"/>
  <c r="M133" i="11"/>
  <c r="V132" i="11"/>
  <c r="M132" i="11"/>
  <c r="V131" i="11"/>
  <c r="M131" i="11"/>
  <c r="V130" i="11"/>
  <c r="M130" i="11"/>
  <c r="V129" i="11"/>
  <c r="M129" i="11"/>
  <c r="V128" i="11"/>
  <c r="M128" i="11"/>
  <c r="V127" i="11"/>
  <c r="M127" i="11"/>
  <c r="V126" i="11"/>
  <c r="M126" i="11"/>
  <c r="V125" i="11"/>
  <c r="M125" i="11"/>
  <c r="V124" i="11"/>
  <c r="M124" i="11"/>
  <c r="V123" i="11"/>
  <c r="M123" i="11"/>
  <c r="V122" i="11"/>
  <c r="M122" i="11"/>
  <c r="V121" i="11"/>
  <c r="M121" i="11"/>
  <c r="V120" i="11"/>
  <c r="M120" i="11"/>
  <c r="V119" i="11"/>
  <c r="M119" i="11"/>
  <c r="V118" i="11"/>
  <c r="M118" i="11"/>
  <c r="V117" i="11"/>
  <c r="M117" i="11"/>
  <c r="V116" i="11"/>
  <c r="M116" i="11"/>
  <c r="V115" i="11"/>
  <c r="M115" i="11"/>
  <c r="V114" i="11"/>
  <c r="M114" i="11"/>
  <c r="V113" i="11"/>
  <c r="M113" i="11"/>
  <c r="V112" i="11"/>
  <c r="M112" i="11"/>
  <c r="V111" i="11"/>
  <c r="M111" i="11"/>
  <c r="V110" i="11"/>
  <c r="M110" i="11"/>
  <c r="V109" i="11"/>
  <c r="M109" i="11"/>
  <c r="V108" i="11"/>
  <c r="M108" i="11"/>
  <c r="V107" i="11"/>
  <c r="M107" i="11"/>
  <c r="V106" i="11"/>
  <c r="M106" i="11"/>
  <c r="V105" i="11"/>
  <c r="M105" i="11"/>
  <c r="V104" i="11"/>
  <c r="M104" i="11"/>
  <c r="V103" i="11"/>
  <c r="M103" i="11"/>
  <c r="V102" i="11"/>
  <c r="M102" i="11"/>
  <c r="V101" i="11"/>
  <c r="M101" i="11"/>
  <c r="V100" i="11"/>
  <c r="M100" i="11"/>
  <c r="V99" i="11"/>
  <c r="M99" i="11"/>
  <c r="V98" i="11"/>
  <c r="M98" i="11"/>
  <c r="V97" i="11"/>
  <c r="M97" i="11"/>
  <c r="V96" i="11"/>
  <c r="M96" i="11"/>
  <c r="V95" i="11"/>
  <c r="M95" i="11"/>
  <c r="V94" i="11"/>
  <c r="M94" i="11"/>
  <c r="V93" i="11"/>
  <c r="M93" i="11"/>
  <c r="V92" i="11"/>
  <c r="M92" i="11"/>
  <c r="V91" i="11"/>
  <c r="M91" i="11"/>
  <c r="V90" i="11"/>
  <c r="M90" i="11"/>
  <c r="V89" i="11"/>
  <c r="M89" i="11"/>
  <c r="V88" i="11"/>
  <c r="M88" i="11"/>
  <c r="V87" i="11"/>
  <c r="M87" i="11"/>
  <c r="V86" i="11"/>
  <c r="M86" i="11"/>
  <c r="V85" i="11"/>
  <c r="M85" i="11"/>
  <c r="V84" i="11"/>
  <c r="M84" i="11"/>
  <c r="V83" i="11"/>
  <c r="M83" i="11"/>
  <c r="V82" i="11"/>
  <c r="M82" i="11"/>
  <c r="V81" i="11"/>
  <c r="M81" i="11"/>
  <c r="V80" i="11"/>
  <c r="M80" i="11"/>
  <c r="V79" i="11"/>
  <c r="M79" i="11"/>
  <c r="V78" i="11"/>
  <c r="M78" i="11"/>
  <c r="V77" i="11"/>
  <c r="M77" i="11"/>
  <c r="V76" i="11"/>
  <c r="M76" i="11"/>
  <c r="V75" i="11"/>
  <c r="M75" i="11"/>
  <c r="V74" i="11"/>
  <c r="M74" i="11"/>
  <c r="V73" i="11"/>
  <c r="M73" i="11"/>
  <c r="V72" i="11"/>
  <c r="M72" i="11"/>
  <c r="V71" i="11"/>
  <c r="M71" i="11"/>
  <c r="V70" i="11"/>
  <c r="M70" i="11"/>
  <c r="V69" i="11"/>
  <c r="M69" i="11"/>
  <c r="V68" i="11"/>
  <c r="M68" i="11"/>
  <c r="V67" i="11"/>
  <c r="M67" i="11"/>
  <c r="V66" i="11"/>
  <c r="M66" i="11"/>
  <c r="V65" i="11"/>
  <c r="M65" i="11"/>
  <c r="V64" i="11"/>
  <c r="M64" i="11"/>
  <c r="V63" i="11"/>
  <c r="M63" i="11"/>
  <c r="V62" i="11"/>
  <c r="M62" i="11"/>
  <c r="V61" i="11"/>
  <c r="M61" i="11"/>
  <c r="V60" i="11"/>
  <c r="M60" i="11"/>
  <c r="V59" i="11"/>
  <c r="M59" i="11"/>
  <c r="V58" i="11"/>
  <c r="M58" i="11"/>
  <c r="V57" i="11"/>
  <c r="M57" i="11"/>
  <c r="V56" i="11"/>
  <c r="M56" i="11"/>
  <c r="V55" i="11"/>
  <c r="M55" i="11"/>
  <c r="V54" i="11"/>
  <c r="M54" i="11"/>
  <c r="V53" i="11"/>
  <c r="M53" i="11"/>
  <c r="V52" i="11"/>
  <c r="M52" i="11"/>
  <c r="V51" i="11"/>
  <c r="M51" i="11"/>
  <c r="V50" i="11"/>
  <c r="M50" i="11"/>
  <c r="V49" i="11"/>
  <c r="M49" i="11"/>
  <c r="V48" i="11"/>
  <c r="M48" i="11"/>
  <c r="V47" i="11"/>
  <c r="M47" i="11"/>
  <c r="V46" i="11"/>
  <c r="M46" i="11"/>
  <c r="V45" i="11"/>
  <c r="M45" i="11"/>
  <c r="V44" i="11"/>
  <c r="M44" i="11"/>
  <c r="V43" i="11"/>
  <c r="M43" i="11"/>
  <c r="V42" i="11"/>
  <c r="M42" i="11"/>
  <c r="V41" i="11"/>
  <c r="M41" i="11"/>
  <c r="V40" i="11"/>
  <c r="M40" i="11"/>
  <c r="V39" i="11"/>
  <c r="M39" i="11"/>
  <c r="V38" i="11"/>
  <c r="M38" i="11"/>
  <c r="V37" i="11"/>
  <c r="M37" i="11"/>
  <c r="V36" i="11"/>
  <c r="M36" i="11"/>
  <c r="V35" i="11"/>
  <c r="M35" i="11"/>
  <c r="V34" i="11"/>
  <c r="M34" i="11"/>
  <c r="V33" i="11"/>
  <c r="M33" i="11"/>
  <c r="V32" i="11"/>
  <c r="M32" i="11"/>
  <c r="V31" i="11"/>
  <c r="M31" i="11"/>
  <c r="V30" i="11"/>
  <c r="M30" i="11"/>
  <c r="V29" i="11"/>
  <c r="M29" i="11"/>
  <c r="V28" i="11"/>
  <c r="M28" i="11"/>
  <c r="V27" i="11"/>
  <c r="M27" i="11"/>
  <c r="V26" i="11"/>
  <c r="M26" i="11"/>
  <c r="V25" i="11"/>
  <c r="M25" i="11"/>
  <c r="V24" i="11"/>
  <c r="M24" i="11"/>
  <c r="V23" i="11"/>
  <c r="M23" i="11"/>
  <c r="V22" i="11"/>
  <c r="M22" i="11"/>
  <c r="V21" i="11"/>
  <c r="M21" i="11"/>
  <c r="V20" i="11"/>
  <c r="M20" i="11"/>
  <c r="V19" i="11"/>
  <c r="M19" i="11"/>
  <c r="V18" i="11"/>
  <c r="M18" i="11"/>
  <c r="V17" i="11"/>
  <c r="M17" i="11"/>
  <c r="V16" i="11"/>
  <c r="M16" i="11"/>
  <c r="V15" i="11"/>
  <c r="M15" i="11"/>
  <c r="V14" i="11"/>
  <c r="M14" i="11"/>
  <c r="V13" i="11"/>
  <c r="M13" i="11"/>
  <c r="M12" i="11"/>
  <c r="I10" i="11"/>
  <c r="H10" i="11"/>
  <c r="G10" i="11"/>
  <c r="F10" i="11"/>
  <c r="E10" i="11"/>
  <c r="D10" i="11"/>
  <c r="C10" i="11"/>
  <c r="B10" i="11"/>
  <c r="V145" i="10"/>
  <c r="M145" i="10"/>
  <c r="V144" i="10"/>
  <c r="M144" i="10"/>
  <c r="V143" i="10"/>
  <c r="M143" i="10"/>
  <c r="V142" i="10"/>
  <c r="M142" i="10"/>
  <c r="V141" i="10"/>
  <c r="M141" i="10"/>
  <c r="V140" i="10"/>
  <c r="M140" i="10"/>
  <c r="V139" i="10"/>
  <c r="M139" i="10"/>
  <c r="V138" i="10"/>
  <c r="M138" i="10"/>
  <c r="V137" i="10"/>
  <c r="M137" i="10"/>
  <c r="V136" i="10"/>
  <c r="M136" i="10"/>
  <c r="V135" i="10"/>
  <c r="M135" i="10"/>
  <c r="V134" i="10"/>
  <c r="M134" i="10"/>
  <c r="V133" i="10"/>
  <c r="M133" i="10"/>
  <c r="V132" i="10"/>
  <c r="M132" i="10"/>
  <c r="V131" i="10"/>
  <c r="M131" i="10"/>
  <c r="V130" i="10"/>
  <c r="M130" i="10"/>
  <c r="V129" i="10"/>
  <c r="M129" i="10"/>
  <c r="V128" i="10"/>
  <c r="M128" i="10"/>
  <c r="V127" i="10"/>
  <c r="M127" i="10"/>
  <c r="V126" i="10"/>
  <c r="M126" i="10"/>
  <c r="V125" i="10"/>
  <c r="M125" i="10"/>
  <c r="V124" i="10"/>
  <c r="M124" i="10"/>
  <c r="V123" i="10"/>
  <c r="M123" i="10"/>
  <c r="V122" i="10"/>
  <c r="M122" i="10"/>
  <c r="V121" i="10"/>
  <c r="M121" i="10"/>
  <c r="V120" i="10"/>
  <c r="M120" i="10"/>
  <c r="V119" i="10"/>
  <c r="M119" i="10"/>
  <c r="V118" i="10"/>
  <c r="M118" i="10"/>
  <c r="V117" i="10"/>
  <c r="M117" i="10"/>
  <c r="V116" i="10"/>
  <c r="M116" i="10"/>
  <c r="V115" i="10"/>
  <c r="M115" i="10"/>
  <c r="V114" i="10"/>
  <c r="M114" i="10"/>
  <c r="V113" i="10"/>
  <c r="M113" i="10"/>
  <c r="V112" i="10"/>
  <c r="M112" i="10"/>
  <c r="V111" i="10"/>
  <c r="M111" i="10"/>
  <c r="V110" i="10"/>
  <c r="M110" i="10"/>
  <c r="V109" i="10"/>
  <c r="M109" i="10"/>
  <c r="V108" i="10"/>
  <c r="M108" i="10"/>
  <c r="V107" i="10"/>
  <c r="M107" i="10"/>
  <c r="V106" i="10"/>
  <c r="M106" i="10"/>
  <c r="V105" i="10"/>
  <c r="M105" i="10"/>
  <c r="V104" i="10"/>
  <c r="M104" i="10"/>
  <c r="V103" i="10"/>
  <c r="M103" i="10"/>
  <c r="V102" i="10"/>
  <c r="M102" i="10"/>
  <c r="V101" i="10"/>
  <c r="M101" i="10"/>
  <c r="V100" i="10"/>
  <c r="M100" i="10"/>
  <c r="V99" i="10"/>
  <c r="M99" i="10"/>
  <c r="V98" i="10"/>
  <c r="M98" i="10"/>
  <c r="V97" i="10"/>
  <c r="M97" i="10"/>
  <c r="V96" i="10"/>
  <c r="M96" i="10"/>
  <c r="V95" i="10"/>
  <c r="M95" i="10"/>
  <c r="V94" i="10"/>
  <c r="M94" i="10"/>
  <c r="V93" i="10"/>
  <c r="M93" i="10"/>
  <c r="V92" i="10"/>
  <c r="M92" i="10"/>
  <c r="V91" i="10"/>
  <c r="M91" i="10"/>
  <c r="V90" i="10"/>
  <c r="M90" i="10"/>
  <c r="V89" i="10"/>
  <c r="M89" i="10"/>
  <c r="V88" i="10"/>
  <c r="M88" i="10"/>
  <c r="V87" i="10"/>
  <c r="M87" i="10"/>
  <c r="V86" i="10"/>
  <c r="M86" i="10"/>
  <c r="V85" i="10"/>
  <c r="M85" i="10"/>
  <c r="V84" i="10"/>
  <c r="M84" i="10"/>
  <c r="V83" i="10"/>
  <c r="M83" i="10"/>
  <c r="V82" i="10"/>
  <c r="M82" i="10"/>
  <c r="V81" i="10"/>
  <c r="M81" i="10"/>
  <c r="V80" i="10"/>
  <c r="M80" i="10"/>
  <c r="V79" i="10"/>
  <c r="M79" i="10"/>
  <c r="V78" i="10"/>
  <c r="M78" i="10"/>
  <c r="V77" i="10"/>
  <c r="M77" i="10"/>
  <c r="V76" i="10"/>
  <c r="M76" i="10"/>
  <c r="V75" i="10"/>
  <c r="M75" i="10"/>
  <c r="V74" i="10"/>
  <c r="M74" i="10"/>
  <c r="V73" i="10"/>
  <c r="M73" i="10"/>
  <c r="V72" i="10"/>
  <c r="M72" i="10"/>
  <c r="V71" i="10"/>
  <c r="M71" i="10"/>
  <c r="V70" i="10"/>
  <c r="M70" i="10"/>
  <c r="V69" i="10"/>
  <c r="M69" i="10"/>
  <c r="V68" i="10"/>
  <c r="M68" i="10"/>
  <c r="V67" i="10"/>
  <c r="M67" i="10"/>
  <c r="V66" i="10"/>
  <c r="M66" i="10"/>
  <c r="V65" i="10"/>
  <c r="M65" i="10"/>
  <c r="V64" i="10"/>
  <c r="M64" i="10"/>
  <c r="V63" i="10"/>
  <c r="M63" i="10"/>
  <c r="V62" i="10"/>
  <c r="M62" i="10"/>
  <c r="V61" i="10"/>
  <c r="M61" i="10"/>
  <c r="V60" i="10"/>
  <c r="M60" i="10"/>
  <c r="V59" i="10"/>
  <c r="M59" i="10"/>
  <c r="V58" i="10"/>
  <c r="M58" i="10"/>
  <c r="V57" i="10"/>
  <c r="M57" i="10"/>
  <c r="V56" i="10"/>
  <c r="M56" i="10"/>
  <c r="V55" i="10"/>
  <c r="M55" i="10"/>
  <c r="V54" i="10"/>
  <c r="M54" i="10"/>
  <c r="V53" i="10"/>
  <c r="M53" i="10"/>
  <c r="V52" i="10"/>
  <c r="M52" i="10"/>
  <c r="V51" i="10"/>
  <c r="M51" i="10"/>
  <c r="V50" i="10"/>
  <c r="M50" i="10"/>
  <c r="V49" i="10"/>
  <c r="M49" i="10"/>
  <c r="V48" i="10"/>
  <c r="M48" i="10"/>
  <c r="V47" i="10"/>
  <c r="M47" i="10"/>
  <c r="V46" i="10"/>
  <c r="M46" i="10"/>
  <c r="V45" i="10"/>
  <c r="M45" i="10"/>
  <c r="V44" i="10"/>
  <c r="M44" i="10"/>
  <c r="V43" i="10"/>
  <c r="M43" i="10"/>
  <c r="V42" i="10"/>
  <c r="M42" i="10"/>
  <c r="V41" i="10"/>
  <c r="M41" i="10"/>
  <c r="V40" i="10"/>
  <c r="M40" i="10"/>
  <c r="V39" i="10"/>
  <c r="M39" i="10"/>
  <c r="V38" i="10"/>
  <c r="M38" i="10"/>
  <c r="V37" i="10"/>
  <c r="M37" i="10"/>
  <c r="V36" i="10"/>
  <c r="M36" i="10"/>
  <c r="V35" i="10"/>
  <c r="M35" i="10"/>
  <c r="V34" i="10"/>
  <c r="M34" i="10"/>
  <c r="V33" i="10"/>
  <c r="M33" i="10"/>
  <c r="V32" i="10"/>
  <c r="M32" i="10"/>
  <c r="V31" i="10"/>
  <c r="M31" i="10"/>
  <c r="V30" i="10"/>
  <c r="M30" i="10"/>
  <c r="V29" i="10"/>
  <c r="M29" i="10"/>
  <c r="V28" i="10"/>
  <c r="M28" i="10"/>
  <c r="V27" i="10"/>
  <c r="M27" i="10"/>
  <c r="V26" i="10"/>
  <c r="M26" i="10"/>
  <c r="V25" i="10"/>
  <c r="M25" i="10"/>
  <c r="V24" i="10"/>
  <c r="M24" i="10"/>
  <c r="V23" i="10"/>
  <c r="M23" i="10"/>
  <c r="V22" i="10"/>
  <c r="M22" i="10"/>
  <c r="V21" i="10"/>
  <c r="M21" i="10"/>
  <c r="V20" i="10"/>
  <c r="M20" i="10"/>
  <c r="V19" i="10"/>
  <c r="M19" i="10"/>
  <c r="V18" i="10"/>
  <c r="M18" i="10"/>
  <c r="V17" i="10"/>
  <c r="M17" i="10"/>
  <c r="V16" i="10"/>
  <c r="M16" i="10"/>
  <c r="V15" i="10"/>
  <c r="M15" i="10"/>
  <c r="V14" i="10"/>
  <c r="M14" i="10"/>
  <c r="V13" i="10"/>
  <c r="M13" i="10"/>
  <c r="M12" i="10"/>
  <c r="I10" i="10"/>
  <c r="H10" i="10"/>
  <c r="G10" i="10"/>
  <c r="F10" i="10"/>
  <c r="E10" i="10"/>
  <c r="D10" i="10"/>
  <c r="C10" i="10"/>
  <c r="B10" i="10"/>
  <c r="V145" i="9"/>
  <c r="M145" i="9"/>
  <c r="V144" i="9"/>
  <c r="M144" i="9"/>
  <c r="V143" i="9"/>
  <c r="M143" i="9"/>
  <c r="V142" i="9"/>
  <c r="M142" i="9"/>
  <c r="V141" i="9"/>
  <c r="M141" i="9"/>
  <c r="V140" i="9"/>
  <c r="M140" i="9"/>
  <c r="V139" i="9"/>
  <c r="M139" i="9"/>
  <c r="V138" i="9"/>
  <c r="M138" i="9"/>
  <c r="V137" i="9"/>
  <c r="M137" i="9"/>
  <c r="V136" i="9"/>
  <c r="M136" i="9"/>
  <c r="V135" i="9"/>
  <c r="M135" i="9"/>
  <c r="V134" i="9"/>
  <c r="M134" i="9"/>
  <c r="V133" i="9"/>
  <c r="M133" i="9"/>
  <c r="V132" i="9"/>
  <c r="M132" i="9"/>
  <c r="V131" i="9"/>
  <c r="M131" i="9"/>
  <c r="V130" i="9"/>
  <c r="M130" i="9"/>
  <c r="V129" i="9"/>
  <c r="M129" i="9"/>
  <c r="V128" i="9"/>
  <c r="M128" i="9"/>
  <c r="V127" i="9"/>
  <c r="M127" i="9"/>
  <c r="V126" i="9"/>
  <c r="M126" i="9"/>
  <c r="V125" i="9"/>
  <c r="M125" i="9"/>
  <c r="V124" i="9"/>
  <c r="M124" i="9"/>
  <c r="V123" i="9"/>
  <c r="M123" i="9"/>
  <c r="V122" i="9"/>
  <c r="M122" i="9"/>
  <c r="V121" i="9"/>
  <c r="M121" i="9"/>
  <c r="V120" i="9"/>
  <c r="M120" i="9"/>
  <c r="V119" i="9"/>
  <c r="M119" i="9"/>
  <c r="V118" i="9"/>
  <c r="M118" i="9"/>
  <c r="V117" i="9"/>
  <c r="M117" i="9"/>
  <c r="V116" i="9"/>
  <c r="M116" i="9"/>
  <c r="V115" i="9"/>
  <c r="M115" i="9"/>
  <c r="V114" i="9"/>
  <c r="M114" i="9"/>
  <c r="V113" i="9"/>
  <c r="M113" i="9"/>
  <c r="V112" i="9"/>
  <c r="M112" i="9"/>
  <c r="V111" i="9"/>
  <c r="M111" i="9"/>
  <c r="V110" i="9"/>
  <c r="M110" i="9"/>
  <c r="V109" i="9"/>
  <c r="M109" i="9"/>
  <c r="V108" i="9"/>
  <c r="M108" i="9"/>
  <c r="V107" i="9"/>
  <c r="M107" i="9"/>
  <c r="V106" i="9"/>
  <c r="M106" i="9"/>
  <c r="V105" i="9"/>
  <c r="M105" i="9"/>
  <c r="V104" i="9"/>
  <c r="M104" i="9"/>
  <c r="V103" i="9"/>
  <c r="M103" i="9"/>
  <c r="V102" i="9"/>
  <c r="M102" i="9"/>
  <c r="V101" i="9"/>
  <c r="M101" i="9"/>
  <c r="V100" i="9"/>
  <c r="M100" i="9"/>
  <c r="V99" i="9"/>
  <c r="M99" i="9"/>
  <c r="V98" i="9"/>
  <c r="M98" i="9"/>
  <c r="V97" i="9"/>
  <c r="M97" i="9"/>
  <c r="V96" i="9"/>
  <c r="M96" i="9"/>
  <c r="V95" i="9"/>
  <c r="M95" i="9"/>
  <c r="V94" i="9"/>
  <c r="M94" i="9"/>
  <c r="V93" i="9"/>
  <c r="M93" i="9"/>
  <c r="V92" i="9"/>
  <c r="M92" i="9"/>
  <c r="V91" i="9"/>
  <c r="M91" i="9"/>
  <c r="V90" i="9"/>
  <c r="M90" i="9"/>
  <c r="V89" i="9"/>
  <c r="M89" i="9"/>
  <c r="V88" i="9"/>
  <c r="M88" i="9"/>
  <c r="V87" i="9"/>
  <c r="M87" i="9"/>
  <c r="V86" i="9"/>
  <c r="M86" i="9"/>
  <c r="V85" i="9"/>
  <c r="M85" i="9"/>
  <c r="V84" i="9"/>
  <c r="M84" i="9"/>
  <c r="V83" i="9"/>
  <c r="M83" i="9"/>
  <c r="V82" i="9"/>
  <c r="M82" i="9"/>
  <c r="V81" i="9"/>
  <c r="M81" i="9"/>
  <c r="V80" i="9"/>
  <c r="M80" i="9"/>
  <c r="V79" i="9"/>
  <c r="M79" i="9"/>
  <c r="V78" i="9"/>
  <c r="M78" i="9"/>
  <c r="V77" i="9"/>
  <c r="M77" i="9"/>
  <c r="V76" i="9"/>
  <c r="M76" i="9"/>
  <c r="V75" i="9"/>
  <c r="M75" i="9"/>
  <c r="V74" i="9"/>
  <c r="M74" i="9"/>
  <c r="V73" i="9"/>
  <c r="M73" i="9"/>
  <c r="V72" i="9"/>
  <c r="M72" i="9"/>
  <c r="V71" i="9"/>
  <c r="M71" i="9"/>
  <c r="V70" i="9"/>
  <c r="M70" i="9"/>
  <c r="V69" i="9"/>
  <c r="M69" i="9"/>
  <c r="V68" i="9"/>
  <c r="M68" i="9"/>
  <c r="V67" i="9"/>
  <c r="M67" i="9"/>
  <c r="V66" i="9"/>
  <c r="M66" i="9"/>
  <c r="V65" i="9"/>
  <c r="M65" i="9"/>
  <c r="V64" i="9"/>
  <c r="M64" i="9"/>
  <c r="V63" i="9"/>
  <c r="M63" i="9"/>
  <c r="V62" i="9"/>
  <c r="M62" i="9"/>
  <c r="V61" i="9"/>
  <c r="M61" i="9"/>
  <c r="V60" i="9"/>
  <c r="M60" i="9"/>
  <c r="V59" i="9"/>
  <c r="M59" i="9"/>
  <c r="V58" i="9"/>
  <c r="M58" i="9"/>
  <c r="V57" i="9"/>
  <c r="M57" i="9"/>
  <c r="V56" i="9"/>
  <c r="M56" i="9"/>
  <c r="V55" i="9"/>
  <c r="M55" i="9"/>
  <c r="V54" i="9"/>
  <c r="M54" i="9"/>
  <c r="V53" i="9"/>
  <c r="M53" i="9"/>
  <c r="V52" i="9"/>
  <c r="M52" i="9"/>
  <c r="V51" i="9"/>
  <c r="M51" i="9"/>
  <c r="V50" i="9"/>
  <c r="M50" i="9"/>
  <c r="V49" i="9"/>
  <c r="M49" i="9"/>
  <c r="V48" i="9"/>
  <c r="M48" i="9"/>
  <c r="V47" i="9"/>
  <c r="M47" i="9"/>
  <c r="V46" i="9"/>
  <c r="M46" i="9"/>
  <c r="V45" i="9"/>
  <c r="M45" i="9"/>
  <c r="V44" i="9"/>
  <c r="M44" i="9"/>
  <c r="V43" i="9"/>
  <c r="M43" i="9"/>
  <c r="V42" i="9"/>
  <c r="M42" i="9"/>
  <c r="V41" i="9"/>
  <c r="M41" i="9"/>
  <c r="V40" i="9"/>
  <c r="M40" i="9"/>
  <c r="V39" i="9"/>
  <c r="M39" i="9"/>
  <c r="V38" i="9"/>
  <c r="M38" i="9"/>
  <c r="V37" i="9"/>
  <c r="M37" i="9"/>
  <c r="V36" i="9"/>
  <c r="M36" i="9"/>
  <c r="V35" i="9"/>
  <c r="M35" i="9"/>
  <c r="V34" i="9"/>
  <c r="M34" i="9"/>
  <c r="V33" i="9"/>
  <c r="M33" i="9"/>
  <c r="V32" i="9"/>
  <c r="M32" i="9"/>
  <c r="V31" i="9"/>
  <c r="M31" i="9"/>
  <c r="V30" i="9"/>
  <c r="M30" i="9"/>
  <c r="V29" i="9"/>
  <c r="M29" i="9"/>
  <c r="V28" i="9"/>
  <c r="M28" i="9"/>
  <c r="V27" i="9"/>
  <c r="M27" i="9"/>
  <c r="V26" i="9"/>
  <c r="M26" i="9"/>
  <c r="V25" i="9"/>
  <c r="M25" i="9"/>
  <c r="V24" i="9"/>
  <c r="M24" i="9"/>
  <c r="V23" i="9"/>
  <c r="M23" i="9"/>
  <c r="V22" i="9"/>
  <c r="M22" i="9"/>
  <c r="V21" i="9"/>
  <c r="M21" i="9"/>
  <c r="V20" i="9"/>
  <c r="M20" i="9"/>
  <c r="V19" i="9"/>
  <c r="M19" i="9"/>
  <c r="V18" i="9"/>
  <c r="M18" i="9"/>
  <c r="V17" i="9"/>
  <c r="M17" i="9"/>
  <c r="V16" i="9"/>
  <c r="M16" i="9"/>
  <c r="V15" i="9"/>
  <c r="M15" i="9"/>
  <c r="V14" i="9"/>
  <c r="M14" i="9"/>
  <c r="V13" i="9"/>
  <c r="M13" i="9"/>
  <c r="M12" i="9"/>
  <c r="I10" i="9"/>
  <c r="H10" i="9"/>
  <c r="G10" i="9"/>
  <c r="F10" i="9"/>
  <c r="E10" i="9"/>
  <c r="D10" i="9"/>
  <c r="C10" i="9"/>
  <c r="B10" i="9"/>
  <c r="V12" i="16" l="1"/>
  <c r="V12" i="15"/>
  <c r="V12" i="14"/>
  <c r="V12" i="13"/>
  <c r="V12" i="12"/>
  <c r="V12" i="11"/>
  <c r="V12" i="10"/>
  <c r="V12" i="9"/>
  <c r="AE98" i="3"/>
  <c r="AR69" i="3"/>
  <c r="Y1" i="3"/>
  <c r="Z1" i="3"/>
  <c r="AA1" i="3"/>
  <c r="AB1" i="3"/>
  <c r="AC1" i="3"/>
  <c r="AD1" i="3"/>
  <c r="AE1" i="3"/>
  <c r="AF1" i="3"/>
  <c r="AG1" i="3"/>
  <c r="AH1" i="3"/>
  <c r="AJ1" i="3"/>
  <c r="AK1" i="3"/>
  <c r="AL1" i="3"/>
  <c r="AM1" i="3"/>
  <c r="AN1" i="3"/>
  <c r="AO1" i="3"/>
  <c r="AP1" i="3"/>
  <c r="AQ1" i="3"/>
  <c r="AR1" i="3"/>
  <c r="Y2" i="3"/>
  <c r="Z2" i="3"/>
  <c r="AA2" i="3"/>
  <c r="AB2" i="3"/>
  <c r="AC2" i="3"/>
  <c r="AD2" i="3"/>
  <c r="AE2" i="3"/>
  <c r="AF2" i="3"/>
  <c r="AG2" i="3"/>
  <c r="AH2" i="3"/>
  <c r="AJ2" i="3"/>
  <c r="AK2" i="3"/>
  <c r="AL2" i="3"/>
  <c r="AM2" i="3"/>
  <c r="AN2" i="3"/>
  <c r="AO2" i="3"/>
  <c r="AP2" i="3"/>
  <c r="AQ2" i="3"/>
  <c r="AR2" i="3"/>
  <c r="Y3" i="3"/>
  <c r="Z3" i="3"/>
  <c r="AA3" i="3"/>
  <c r="AB3" i="3"/>
  <c r="AC3" i="3"/>
  <c r="AD3" i="3"/>
  <c r="AE3" i="3"/>
  <c r="AF3" i="3"/>
  <c r="AG3" i="3"/>
  <c r="AH3" i="3"/>
  <c r="AJ3" i="3"/>
  <c r="AK3" i="3"/>
  <c r="AL3" i="3"/>
  <c r="AM3" i="3"/>
  <c r="AN3" i="3"/>
  <c r="AO3" i="3"/>
  <c r="AP3" i="3"/>
  <c r="AQ3" i="3"/>
  <c r="AR3" i="3"/>
  <c r="Y4" i="3"/>
  <c r="Z4" i="3"/>
  <c r="AA4" i="3"/>
  <c r="AB4" i="3"/>
  <c r="AC4" i="3"/>
  <c r="AD4" i="3"/>
  <c r="AE4" i="3"/>
  <c r="AF4" i="3"/>
  <c r="AG4" i="3"/>
  <c r="AH4" i="3"/>
  <c r="AJ4" i="3"/>
  <c r="AK4" i="3"/>
  <c r="AL4" i="3"/>
  <c r="AM4" i="3"/>
  <c r="AN4" i="3"/>
  <c r="AO4" i="3"/>
  <c r="AP4" i="3"/>
  <c r="AQ4" i="3"/>
  <c r="AR4" i="3"/>
  <c r="Y5" i="3"/>
  <c r="Z5" i="3"/>
  <c r="AA5" i="3"/>
  <c r="AB5" i="3"/>
  <c r="AC5" i="3"/>
  <c r="AD5" i="3"/>
  <c r="AE5" i="3"/>
  <c r="AF5" i="3"/>
  <c r="AG5" i="3"/>
  <c r="AH5" i="3"/>
  <c r="AJ5" i="3"/>
  <c r="AK5" i="3"/>
  <c r="AL5" i="3"/>
  <c r="AM5" i="3"/>
  <c r="AN5" i="3"/>
  <c r="AO5" i="3"/>
  <c r="AP5" i="3"/>
  <c r="AQ5" i="3"/>
  <c r="AR5" i="3"/>
  <c r="Y6" i="3"/>
  <c r="Z6" i="3"/>
  <c r="AA6" i="3"/>
  <c r="AB6" i="3"/>
  <c r="AC6" i="3"/>
  <c r="AD6" i="3"/>
  <c r="AE6" i="3"/>
  <c r="AF6" i="3"/>
  <c r="AG6" i="3"/>
  <c r="AH6" i="3"/>
  <c r="AJ6" i="3"/>
  <c r="AK6" i="3"/>
  <c r="AL6" i="3"/>
  <c r="AM6" i="3"/>
  <c r="AN6" i="3"/>
  <c r="AO6" i="3"/>
  <c r="AP6" i="3"/>
  <c r="AQ6" i="3"/>
  <c r="AR6" i="3"/>
  <c r="Y7" i="3"/>
  <c r="Z7" i="3"/>
  <c r="AA7" i="3"/>
  <c r="AB7" i="3"/>
  <c r="AC7" i="3"/>
  <c r="AD7" i="3"/>
  <c r="AE7" i="3"/>
  <c r="AF7" i="3"/>
  <c r="AG7" i="3"/>
  <c r="AH7" i="3"/>
  <c r="AJ7" i="3"/>
  <c r="AK7" i="3"/>
  <c r="AL7" i="3"/>
  <c r="AM7" i="3"/>
  <c r="AN7" i="3"/>
  <c r="AO7" i="3"/>
  <c r="AP7" i="3"/>
  <c r="AQ7" i="3"/>
  <c r="AR7" i="3"/>
  <c r="Y8" i="3"/>
  <c r="Z8" i="3"/>
  <c r="AA8" i="3"/>
  <c r="AB8" i="3"/>
  <c r="AC8" i="3"/>
  <c r="AD8" i="3"/>
  <c r="AE8" i="3"/>
  <c r="AF8" i="3"/>
  <c r="AG8" i="3"/>
  <c r="AH8" i="3"/>
  <c r="AJ8" i="3"/>
  <c r="AK8" i="3"/>
  <c r="AL8" i="3"/>
  <c r="AM8" i="3"/>
  <c r="AN8" i="3"/>
  <c r="AO8" i="3"/>
  <c r="AP8" i="3"/>
  <c r="AQ8" i="3"/>
  <c r="AR8" i="3"/>
  <c r="Y9" i="3"/>
  <c r="Z9" i="3"/>
  <c r="AA9" i="3"/>
  <c r="AB9" i="3"/>
  <c r="AC9" i="3"/>
  <c r="AD9" i="3"/>
  <c r="AE9" i="3"/>
  <c r="AF9" i="3"/>
  <c r="AG9" i="3"/>
  <c r="AH9" i="3"/>
  <c r="AJ9" i="3"/>
  <c r="AK9" i="3"/>
  <c r="AL9" i="3"/>
  <c r="AM9" i="3"/>
  <c r="AN9" i="3"/>
  <c r="AO9" i="3"/>
  <c r="AP9" i="3"/>
  <c r="AQ9" i="3"/>
  <c r="AR9" i="3"/>
  <c r="Y10" i="3"/>
  <c r="Z10" i="3"/>
  <c r="AA10" i="3"/>
  <c r="AB10" i="3"/>
  <c r="AC10" i="3"/>
  <c r="AD10" i="3"/>
  <c r="AE10" i="3"/>
  <c r="AF10" i="3"/>
  <c r="AG10" i="3"/>
  <c r="AH10" i="3"/>
  <c r="AJ10" i="3"/>
  <c r="AK10" i="3"/>
  <c r="AL10" i="3"/>
  <c r="AM10" i="3"/>
  <c r="AN10" i="3"/>
  <c r="AO10" i="3"/>
  <c r="AP10" i="3"/>
  <c r="AQ10" i="3"/>
  <c r="AR10" i="3"/>
  <c r="Y11" i="3"/>
  <c r="Z11" i="3"/>
  <c r="AA11" i="3"/>
  <c r="AB11" i="3"/>
  <c r="AC11" i="3"/>
  <c r="AD11" i="3"/>
  <c r="AE11" i="3"/>
  <c r="AF11" i="3"/>
  <c r="AG11" i="3"/>
  <c r="AH11" i="3"/>
  <c r="AJ11" i="3"/>
  <c r="AK11" i="3"/>
  <c r="AL11" i="3"/>
  <c r="AM11" i="3"/>
  <c r="AN11" i="3"/>
  <c r="AO11" i="3"/>
  <c r="AP11" i="3"/>
  <c r="AQ11" i="3"/>
  <c r="AR11" i="3"/>
  <c r="Y12" i="3"/>
  <c r="Z12" i="3"/>
  <c r="AA12" i="3"/>
  <c r="AB12" i="3"/>
  <c r="AC12" i="3"/>
  <c r="AD12" i="3"/>
  <c r="AE12" i="3"/>
  <c r="AF12" i="3"/>
  <c r="AG12" i="3"/>
  <c r="AH12" i="3"/>
  <c r="AJ12" i="3"/>
  <c r="AK12" i="3"/>
  <c r="AL12" i="3"/>
  <c r="AM12" i="3"/>
  <c r="AN12" i="3"/>
  <c r="AO12" i="3"/>
  <c r="AP12" i="3"/>
  <c r="AQ12" i="3"/>
  <c r="AR12" i="3"/>
  <c r="Y13" i="3"/>
  <c r="Z13" i="3"/>
  <c r="AA13" i="3"/>
  <c r="AB13" i="3"/>
  <c r="AC13" i="3"/>
  <c r="AD13" i="3"/>
  <c r="AE13" i="3"/>
  <c r="AF13" i="3"/>
  <c r="AG13" i="3"/>
  <c r="AH13" i="3"/>
  <c r="AJ13" i="3"/>
  <c r="AK13" i="3"/>
  <c r="AL13" i="3"/>
  <c r="AM13" i="3"/>
  <c r="AN13" i="3"/>
  <c r="AO13" i="3"/>
  <c r="AP13" i="3"/>
  <c r="AQ13" i="3"/>
  <c r="AR13" i="3"/>
  <c r="Y14" i="3"/>
  <c r="Z14" i="3"/>
  <c r="AA14" i="3"/>
  <c r="AB14" i="3"/>
  <c r="AC14" i="3"/>
  <c r="AD14" i="3"/>
  <c r="AE14" i="3"/>
  <c r="AF14" i="3"/>
  <c r="AG14" i="3"/>
  <c r="AH14" i="3"/>
  <c r="AJ14" i="3"/>
  <c r="AK14" i="3"/>
  <c r="AL14" i="3"/>
  <c r="AM14" i="3"/>
  <c r="AN14" i="3"/>
  <c r="AO14" i="3"/>
  <c r="AP14" i="3"/>
  <c r="AQ14" i="3"/>
  <c r="AR14" i="3"/>
  <c r="Y15" i="3"/>
  <c r="Z15" i="3"/>
  <c r="AA15" i="3"/>
  <c r="AB15" i="3"/>
  <c r="AC15" i="3"/>
  <c r="AD15" i="3"/>
  <c r="AE15" i="3"/>
  <c r="AF15" i="3"/>
  <c r="AG15" i="3"/>
  <c r="AH15" i="3"/>
  <c r="AJ15" i="3"/>
  <c r="AK15" i="3"/>
  <c r="AL15" i="3"/>
  <c r="AM15" i="3"/>
  <c r="AN15" i="3"/>
  <c r="AO15" i="3"/>
  <c r="AP15" i="3"/>
  <c r="AQ15" i="3"/>
  <c r="AR15" i="3"/>
  <c r="Y16" i="3"/>
  <c r="Z16" i="3"/>
  <c r="AA16" i="3"/>
  <c r="AB16" i="3"/>
  <c r="AC16" i="3"/>
  <c r="AD16" i="3"/>
  <c r="AE16" i="3"/>
  <c r="AF16" i="3"/>
  <c r="AG16" i="3"/>
  <c r="AH16" i="3"/>
  <c r="AJ16" i="3"/>
  <c r="AK16" i="3"/>
  <c r="AL16" i="3"/>
  <c r="AM16" i="3"/>
  <c r="AN16" i="3"/>
  <c r="AO16" i="3"/>
  <c r="AP16" i="3"/>
  <c r="AQ16" i="3"/>
  <c r="AR16" i="3"/>
  <c r="Y17" i="3"/>
  <c r="Z17" i="3"/>
  <c r="AA17" i="3"/>
  <c r="AB17" i="3"/>
  <c r="AC17" i="3"/>
  <c r="AD17" i="3"/>
  <c r="AE17" i="3"/>
  <c r="AF17" i="3"/>
  <c r="AG17" i="3"/>
  <c r="AH17" i="3"/>
  <c r="AJ17" i="3"/>
  <c r="AK17" i="3"/>
  <c r="AL17" i="3"/>
  <c r="AM17" i="3"/>
  <c r="AN17" i="3"/>
  <c r="AO17" i="3"/>
  <c r="AP17" i="3"/>
  <c r="AQ17" i="3"/>
  <c r="AR17" i="3"/>
  <c r="Y18" i="3"/>
  <c r="Z18" i="3"/>
  <c r="AA18" i="3"/>
  <c r="AB18" i="3"/>
  <c r="AC18" i="3"/>
  <c r="AD18" i="3"/>
  <c r="AE18" i="3"/>
  <c r="AF18" i="3"/>
  <c r="AG18" i="3"/>
  <c r="AH18" i="3"/>
  <c r="AJ18" i="3"/>
  <c r="AK18" i="3"/>
  <c r="AL18" i="3"/>
  <c r="AM18" i="3"/>
  <c r="AN18" i="3"/>
  <c r="AO18" i="3"/>
  <c r="AP18" i="3"/>
  <c r="AQ18" i="3"/>
  <c r="AR18" i="3"/>
  <c r="Y19" i="3"/>
  <c r="Z19" i="3"/>
  <c r="AA19" i="3"/>
  <c r="AB19" i="3"/>
  <c r="AC19" i="3"/>
  <c r="AD19" i="3"/>
  <c r="AE19" i="3"/>
  <c r="AF19" i="3"/>
  <c r="AG19" i="3"/>
  <c r="AH19" i="3"/>
  <c r="AJ19" i="3"/>
  <c r="AK19" i="3"/>
  <c r="AL19" i="3"/>
  <c r="AM19" i="3"/>
  <c r="AN19" i="3"/>
  <c r="AO19" i="3"/>
  <c r="AP19" i="3"/>
  <c r="AQ19" i="3"/>
  <c r="AR19" i="3"/>
  <c r="Y20" i="3"/>
  <c r="Z20" i="3"/>
  <c r="AA20" i="3"/>
  <c r="AB20" i="3"/>
  <c r="AC20" i="3"/>
  <c r="AD20" i="3"/>
  <c r="AE20" i="3"/>
  <c r="AF20" i="3"/>
  <c r="AG20" i="3"/>
  <c r="AH20" i="3"/>
  <c r="AJ20" i="3"/>
  <c r="AK20" i="3"/>
  <c r="AL20" i="3"/>
  <c r="AM20" i="3"/>
  <c r="AN20" i="3"/>
  <c r="AO20" i="3"/>
  <c r="AP20" i="3"/>
  <c r="AQ20" i="3"/>
  <c r="AR20" i="3"/>
  <c r="Y21" i="3"/>
  <c r="Z21" i="3"/>
  <c r="AA21" i="3"/>
  <c r="AB21" i="3"/>
  <c r="AC21" i="3"/>
  <c r="AD21" i="3"/>
  <c r="AE21" i="3"/>
  <c r="AF21" i="3"/>
  <c r="AG21" i="3"/>
  <c r="AH21" i="3"/>
  <c r="AJ21" i="3"/>
  <c r="AK21" i="3"/>
  <c r="AL21" i="3"/>
  <c r="AM21" i="3"/>
  <c r="AN21" i="3"/>
  <c r="AO21" i="3"/>
  <c r="AP21" i="3"/>
  <c r="AQ21" i="3"/>
  <c r="AR21" i="3"/>
  <c r="Y22" i="3"/>
  <c r="Z22" i="3"/>
  <c r="AA22" i="3"/>
  <c r="AB22" i="3"/>
  <c r="AC22" i="3"/>
  <c r="AD22" i="3"/>
  <c r="AE22" i="3"/>
  <c r="AF22" i="3"/>
  <c r="AG22" i="3"/>
  <c r="AH22" i="3"/>
  <c r="AJ22" i="3"/>
  <c r="AK22" i="3"/>
  <c r="AL22" i="3"/>
  <c r="AM22" i="3"/>
  <c r="AN22" i="3"/>
  <c r="AO22" i="3"/>
  <c r="AP22" i="3"/>
  <c r="AQ22" i="3"/>
  <c r="AR22" i="3"/>
  <c r="Y23" i="3"/>
  <c r="Z23" i="3"/>
  <c r="AA23" i="3"/>
  <c r="AB23" i="3"/>
  <c r="AC23" i="3"/>
  <c r="AD23" i="3"/>
  <c r="AE23" i="3"/>
  <c r="AF23" i="3"/>
  <c r="AG23" i="3"/>
  <c r="AH23" i="3"/>
  <c r="AJ23" i="3"/>
  <c r="AK23" i="3"/>
  <c r="AL23" i="3"/>
  <c r="AM23" i="3"/>
  <c r="AN23" i="3"/>
  <c r="AO23" i="3"/>
  <c r="AP23" i="3"/>
  <c r="AQ23" i="3"/>
  <c r="AR23" i="3"/>
  <c r="Y24" i="3"/>
  <c r="Z24" i="3"/>
  <c r="AA24" i="3"/>
  <c r="AB24" i="3"/>
  <c r="AC24" i="3"/>
  <c r="AD24" i="3"/>
  <c r="AE24" i="3"/>
  <c r="AF24" i="3"/>
  <c r="AG24" i="3"/>
  <c r="AH24" i="3"/>
  <c r="AJ24" i="3"/>
  <c r="AK24" i="3"/>
  <c r="AL24" i="3"/>
  <c r="AM24" i="3"/>
  <c r="AN24" i="3"/>
  <c r="AO24" i="3"/>
  <c r="AP24" i="3"/>
  <c r="AQ24" i="3"/>
  <c r="AR24" i="3"/>
  <c r="Y25" i="3"/>
  <c r="Z25" i="3"/>
  <c r="AA25" i="3"/>
  <c r="AB25" i="3"/>
  <c r="AC25" i="3"/>
  <c r="AD25" i="3"/>
  <c r="AE25" i="3"/>
  <c r="AF25" i="3"/>
  <c r="AG25" i="3"/>
  <c r="AH25" i="3"/>
  <c r="AJ25" i="3"/>
  <c r="AK25" i="3"/>
  <c r="AL25" i="3"/>
  <c r="AM25" i="3"/>
  <c r="AN25" i="3"/>
  <c r="AO25" i="3"/>
  <c r="AP25" i="3"/>
  <c r="AQ25" i="3"/>
  <c r="AR25" i="3"/>
  <c r="Y26" i="3"/>
  <c r="Z26" i="3"/>
  <c r="AA26" i="3"/>
  <c r="AB26" i="3"/>
  <c r="AC26" i="3"/>
  <c r="AD26" i="3"/>
  <c r="AE26" i="3"/>
  <c r="AF26" i="3"/>
  <c r="AG26" i="3"/>
  <c r="AH26" i="3"/>
  <c r="AJ26" i="3"/>
  <c r="AK26" i="3"/>
  <c r="AL26" i="3"/>
  <c r="AM26" i="3"/>
  <c r="AN26" i="3"/>
  <c r="AO26" i="3"/>
  <c r="AP26" i="3"/>
  <c r="AQ26" i="3"/>
  <c r="AR26" i="3"/>
  <c r="Y27" i="3"/>
  <c r="Z27" i="3"/>
  <c r="AA27" i="3"/>
  <c r="AB27" i="3"/>
  <c r="AC27" i="3"/>
  <c r="AD27" i="3"/>
  <c r="AE27" i="3"/>
  <c r="AF27" i="3"/>
  <c r="AG27" i="3"/>
  <c r="AH27" i="3"/>
  <c r="AJ27" i="3"/>
  <c r="AK27" i="3"/>
  <c r="AL27" i="3"/>
  <c r="AM27" i="3"/>
  <c r="AN27" i="3"/>
  <c r="AO27" i="3"/>
  <c r="AP27" i="3"/>
  <c r="AQ27" i="3"/>
  <c r="AR27" i="3"/>
  <c r="Y28" i="3"/>
  <c r="Z28" i="3"/>
  <c r="AA28" i="3"/>
  <c r="AB28" i="3"/>
  <c r="AC28" i="3"/>
  <c r="AD28" i="3"/>
  <c r="AE28" i="3"/>
  <c r="AF28" i="3"/>
  <c r="AG28" i="3"/>
  <c r="AH28" i="3"/>
  <c r="AJ28" i="3"/>
  <c r="AK28" i="3"/>
  <c r="AL28" i="3"/>
  <c r="AM28" i="3"/>
  <c r="AN28" i="3"/>
  <c r="AO28" i="3"/>
  <c r="AP28" i="3"/>
  <c r="AQ28" i="3"/>
  <c r="AR28" i="3"/>
  <c r="Y29" i="3"/>
  <c r="Z29" i="3"/>
  <c r="AA29" i="3"/>
  <c r="AB29" i="3"/>
  <c r="AC29" i="3"/>
  <c r="AD29" i="3"/>
  <c r="AE29" i="3"/>
  <c r="AF29" i="3"/>
  <c r="AG29" i="3"/>
  <c r="AH29" i="3"/>
  <c r="AJ29" i="3"/>
  <c r="AK29" i="3"/>
  <c r="AL29" i="3"/>
  <c r="AM29" i="3"/>
  <c r="AN29" i="3"/>
  <c r="AO29" i="3"/>
  <c r="AP29" i="3"/>
  <c r="AQ29" i="3"/>
  <c r="AR29" i="3"/>
  <c r="Y30" i="3"/>
  <c r="Z30" i="3"/>
  <c r="AA30" i="3"/>
  <c r="AB30" i="3"/>
  <c r="AC30" i="3"/>
  <c r="AD30" i="3"/>
  <c r="AE30" i="3"/>
  <c r="AF30" i="3"/>
  <c r="AG30" i="3"/>
  <c r="AH30" i="3"/>
  <c r="AJ30" i="3"/>
  <c r="AK30" i="3"/>
  <c r="AL30" i="3"/>
  <c r="AM30" i="3"/>
  <c r="AN30" i="3"/>
  <c r="AO30" i="3"/>
  <c r="AP30" i="3"/>
  <c r="AQ30" i="3"/>
  <c r="AR30" i="3"/>
  <c r="Y31" i="3"/>
  <c r="Z31" i="3"/>
  <c r="AA31" i="3"/>
  <c r="AB31" i="3"/>
  <c r="AC31" i="3"/>
  <c r="AD31" i="3"/>
  <c r="AE31" i="3"/>
  <c r="AF31" i="3"/>
  <c r="AG31" i="3"/>
  <c r="AH31" i="3"/>
  <c r="AJ31" i="3"/>
  <c r="AK31" i="3"/>
  <c r="AL31" i="3"/>
  <c r="AM31" i="3"/>
  <c r="AN31" i="3"/>
  <c r="AO31" i="3"/>
  <c r="AP31" i="3"/>
  <c r="AQ31" i="3"/>
  <c r="AR31" i="3"/>
  <c r="Y32" i="3"/>
  <c r="Z32" i="3"/>
  <c r="AA32" i="3"/>
  <c r="AB32" i="3"/>
  <c r="AC32" i="3"/>
  <c r="AD32" i="3"/>
  <c r="AE32" i="3"/>
  <c r="AF32" i="3"/>
  <c r="AG32" i="3"/>
  <c r="AH32" i="3"/>
  <c r="AJ32" i="3"/>
  <c r="AK32" i="3"/>
  <c r="AL32" i="3"/>
  <c r="AM32" i="3"/>
  <c r="AN32" i="3"/>
  <c r="AO32" i="3"/>
  <c r="AP32" i="3"/>
  <c r="AQ32" i="3"/>
  <c r="AR32" i="3"/>
  <c r="Y33" i="3"/>
  <c r="Z33" i="3"/>
  <c r="AA33" i="3"/>
  <c r="AB33" i="3"/>
  <c r="AC33" i="3"/>
  <c r="AD33" i="3"/>
  <c r="AE33" i="3"/>
  <c r="AF33" i="3"/>
  <c r="AG33" i="3"/>
  <c r="AH33" i="3"/>
  <c r="AJ33" i="3"/>
  <c r="AK33" i="3"/>
  <c r="AL33" i="3"/>
  <c r="AM33" i="3"/>
  <c r="AN33" i="3"/>
  <c r="AO33" i="3"/>
  <c r="AP33" i="3"/>
  <c r="AQ33" i="3"/>
  <c r="AR33" i="3"/>
  <c r="Y34" i="3"/>
  <c r="Z34" i="3"/>
  <c r="AA34" i="3"/>
  <c r="AB34" i="3"/>
  <c r="AC34" i="3"/>
  <c r="AD34" i="3"/>
  <c r="AE34" i="3"/>
  <c r="AF34" i="3"/>
  <c r="AG34" i="3"/>
  <c r="AH34" i="3"/>
  <c r="AJ34" i="3"/>
  <c r="AK34" i="3"/>
  <c r="AL34" i="3"/>
  <c r="AM34" i="3"/>
  <c r="AN34" i="3"/>
  <c r="AO34" i="3"/>
  <c r="AP34" i="3"/>
  <c r="AQ34" i="3"/>
  <c r="AR34" i="3"/>
  <c r="Y35" i="3"/>
  <c r="Z35" i="3"/>
  <c r="AA35" i="3"/>
  <c r="AB35" i="3"/>
  <c r="AC35" i="3"/>
  <c r="AD35" i="3"/>
  <c r="AE35" i="3"/>
  <c r="AF35" i="3"/>
  <c r="AG35" i="3"/>
  <c r="AH35" i="3"/>
  <c r="AJ35" i="3"/>
  <c r="AK35" i="3"/>
  <c r="AL35" i="3"/>
  <c r="AM35" i="3"/>
  <c r="AN35" i="3"/>
  <c r="AO35" i="3"/>
  <c r="AP35" i="3"/>
  <c r="AQ35" i="3"/>
  <c r="AR35" i="3"/>
  <c r="Y36" i="3"/>
  <c r="Z36" i="3"/>
  <c r="AA36" i="3"/>
  <c r="AB36" i="3"/>
  <c r="AC36" i="3"/>
  <c r="AD36" i="3"/>
  <c r="AE36" i="3"/>
  <c r="AF36" i="3"/>
  <c r="AG36" i="3"/>
  <c r="AH36" i="3"/>
  <c r="AJ36" i="3"/>
  <c r="AK36" i="3"/>
  <c r="AL36" i="3"/>
  <c r="AM36" i="3"/>
  <c r="AN36" i="3"/>
  <c r="AO36" i="3"/>
  <c r="AP36" i="3"/>
  <c r="AQ36" i="3"/>
  <c r="AR36" i="3"/>
  <c r="Y37" i="3"/>
  <c r="Z37" i="3"/>
  <c r="AA37" i="3"/>
  <c r="AB37" i="3"/>
  <c r="AC37" i="3"/>
  <c r="AD37" i="3"/>
  <c r="AE37" i="3"/>
  <c r="AF37" i="3"/>
  <c r="AG37" i="3"/>
  <c r="AH37" i="3"/>
  <c r="AJ37" i="3"/>
  <c r="AK37" i="3"/>
  <c r="AL37" i="3"/>
  <c r="AM37" i="3"/>
  <c r="AN37" i="3"/>
  <c r="AO37" i="3"/>
  <c r="AP37" i="3"/>
  <c r="AQ37" i="3"/>
  <c r="AR37" i="3"/>
  <c r="Y38" i="3"/>
  <c r="Z38" i="3"/>
  <c r="AA38" i="3"/>
  <c r="AB38" i="3"/>
  <c r="AC38" i="3"/>
  <c r="AD38" i="3"/>
  <c r="AE38" i="3"/>
  <c r="AF38" i="3"/>
  <c r="AG38" i="3"/>
  <c r="AH38" i="3"/>
  <c r="AJ38" i="3"/>
  <c r="AK38" i="3"/>
  <c r="AL38" i="3"/>
  <c r="AM38" i="3"/>
  <c r="AN38" i="3"/>
  <c r="AO38" i="3"/>
  <c r="AP38" i="3"/>
  <c r="AQ38" i="3"/>
  <c r="AR38" i="3"/>
  <c r="Y39" i="3"/>
  <c r="Z39" i="3"/>
  <c r="AA39" i="3"/>
  <c r="AB39" i="3"/>
  <c r="AC39" i="3"/>
  <c r="AD39" i="3"/>
  <c r="AE39" i="3"/>
  <c r="AF39" i="3"/>
  <c r="AG39" i="3"/>
  <c r="AH39" i="3"/>
  <c r="AJ39" i="3"/>
  <c r="AK39" i="3"/>
  <c r="AL39" i="3"/>
  <c r="AM39" i="3"/>
  <c r="AN39" i="3"/>
  <c r="AO39" i="3"/>
  <c r="AP39" i="3"/>
  <c r="AQ39" i="3"/>
  <c r="AR39" i="3"/>
  <c r="Y40" i="3"/>
  <c r="Z40" i="3"/>
  <c r="AA40" i="3"/>
  <c r="AB40" i="3"/>
  <c r="AC40" i="3"/>
  <c r="AD40" i="3"/>
  <c r="AE40" i="3"/>
  <c r="AF40" i="3"/>
  <c r="AG40" i="3"/>
  <c r="AH40" i="3"/>
  <c r="AJ40" i="3"/>
  <c r="AK40" i="3"/>
  <c r="AL40" i="3"/>
  <c r="AM40" i="3"/>
  <c r="AN40" i="3"/>
  <c r="AO40" i="3"/>
  <c r="AP40" i="3"/>
  <c r="AQ40" i="3"/>
  <c r="AR40" i="3"/>
  <c r="Y41" i="3"/>
  <c r="Z41" i="3"/>
  <c r="AA41" i="3"/>
  <c r="AB41" i="3"/>
  <c r="AC41" i="3"/>
  <c r="AD41" i="3"/>
  <c r="AE41" i="3"/>
  <c r="AF41" i="3"/>
  <c r="AG41" i="3"/>
  <c r="AH41" i="3"/>
  <c r="AJ41" i="3"/>
  <c r="AK41" i="3"/>
  <c r="AL41" i="3"/>
  <c r="AM41" i="3"/>
  <c r="AN41" i="3"/>
  <c r="AO41" i="3"/>
  <c r="AP41" i="3"/>
  <c r="AQ41" i="3"/>
  <c r="AR41" i="3"/>
  <c r="Y42" i="3"/>
  <c r="Z42" i="3"/>
  <c r="AA42" i="3"/>
  <c r="AB42" i="3"/>
  <c r="AC42" i="3"/>
  <c r="AD42" i="3"/>
  <c r="AE42" i="3"/>
  <c r="AF42" i="3"/>
  <c r="AG42" i="3"/>
  <c r="AH42" i="3"/>
  <c r="AJ42" i="3"/>
  <c r="AK42" i="3"/>
  <c r="AL42" i="3"/>
  <c r="AM42" i="3"/>
  <c r="AN42" i="3"/>
  <c r="AO42" i="3"/>
  <c r="AP42" i="3"/>
  <c r="AQ42" i="3"/>
  <c r="AR42" i="3"/>
  <c r="Y43" i="3"/>
  <c r="Z43" i="3"/>
  <c r="AA43" i="3"/>
  <c r="AB43" i="3"/>
  <c r="AC43" i="3"/>
  <c r="AD43" i="3"/>
  <c r="AE43" i="3"/>
  <c r="AF43" i="3"/>
  <c r="AG43" i="3"/>
  <c r="AH43" i="3"/>
  <c r="AJ43" i="3"/>
  <c r="AK43" i="3"/>
  <c r="AL43" i="3"/>
  <c r="AM43" i="3"/>
  <c r="AN43" i="3"/>
  <c r="AO43" i="3"/>
  <c r="AP43" i="3"/>
  <c r="AQ43" i="3"/>
  <c r="AR43" i="3"/>
  <c r="Y44" i="3"/>
  <c r="Z44" i="3"/>
  <c r="AA44" i="3"/>
  <c r="AB44" i="3"/>
  <c r="AC44" i="3"/>
  <c r="AD44" i="3"/>
  <c r="AE44" i="3"/>
  <c r="AF44" i="3"/>
  <c r="AG44" i="3"/>
  <c r="AH44" i="3"/>
  <c r="AJ44" i="3"/>
  <c r="AK44" i="3"/>
  <c r="AL44" i="3"/>
  <c r="AM44" i="3"/>
  <c r="AN44" i="3"/>
  <c r="AO44" i="3"/>
  <c r="AP44" i="3"/>
  <c r="AQ44" i="3"/>
  <c r="AR44" i="3"/>
  <c r="Y45" i="3"/>
  <c r="Z45" i="3"/>
  <c r="AA45" i="3"/>
  <c r="AB45" i="3"/>
  <c r="AC45" i="3"/>
  <c r="AD45" i="3"/>
  <c r="AE45" i="3"/>
  <c r="AF45" i="3"/>
  <c r="AG45" i="3"/>
  <c r="AH45" i="3"/>
  <c r="AJ45" i="3"/>
  <c r="AK45" i="3"/>
  <c r="AL45" i="3"/>
  <c r="AM45" i="3"/>
  <c r="AN45" i="3"/>
  <c r="AO45" i="3"/>
  <c r="AP45" i="3"/>
  <c r="AQ45" i="3"/>
  <c r="AR45" i="3"/>
  <c r="Y46" i="3"/>
  <c r="Z46" i="3"/>
  <c r="AA46" i="3"/>
  <c r="AB46" i="3"/>
  <c r="AC46" i="3"/>
  <c r="AD46" i="3"/>
  <c r="AE46" i="3"/>
  <c r="AF46" i="3"/>
  <c r="AG46" i="3"/>
  <c r="AH46" i="3"/>
  <c r="AJ46" i="3"/>
  <c r="AK46" i="3"/>
  <c r="AL46" i="3"/>
  <c r="AM46" i="3"/>
  <c r="AN46" i="3"/>
  <c r="AO46" i="3"/>
  <c r="AP46" i="3"/>
  <c r="AQ46" i="3"/>
  <c r="AR46" i="3"/>
  <c r="Y47" i="3"/>
  <c r="Z47" i="3"/>
  <c r="AA47" i="3"/>
  <c r="AB47" i="3"/>
  <c r="AC47" i="3"/>
  <c r="AD47" i="3"/>
  <c r="AE47" i="3"/>
  <c r="AF47" i="3"/>
  <c r="AG47" i="3"/>
  <c r="AH47" i="3"/>
  <c r="AJ47" i="3"/>
  <c r="AK47" i="3"/>
  <c r="AL47" i="3"/>
  <c r="AM47" i="3"/>
  <c r="AN47" i="3"/>
  <c r="AO47" i="3"/>
  <c r="AP47" i="3"/>
  <c r="AQ47" i="3"/>
  <c r="AR47" i="3"/>
  <c r="Y48" i="3"/>
  <c r="Z48" i="3"/>
  <c r="AA48" i="3"/>
  <c r="AB48" i="3"/>
  <c r="AC48" i="3"/>
  <c r="AD48" i="3"/>
  <c r="AE48" i="3"/>
  <c r="AF48" i="3"/>
  <c r="AG48" i="3"/>
  <c r="AH48" i="3"/>
  <c r="AJ48" i="3"/>
  <c r="AK48" i="3"/>
  <c r="AL48" i="3"/>
  <c r="AM48" i="3"/>
  <c r="AN48" i="3"/>
  <c r="AO48" i="3"/>
  <c r="AP48" i="3"/>
  <c r="AQ48" i="3"/>
  <c r="AR48" i="3"/>
  <c r="Y49" i="3"/>
  <c r="Z49" i="3"/>
  <c r="AA49" i="3"/>
  <c r="AB49" i="3"/>
  <c r="AC49" i="3"/>
  <c r="AD49" i="3"/>
  <c r="AE49" i="3"/>
  <c r="AF49" i="3"/>
  <c r="AG49" i="3"/>
  <c r="AH49" i="3"/>
  <c r="AJ49" i="3"/>
  <c r="AK49" i="3"/>
  <c r="AL49" i="3"/>
  <c r="AM49" i="3"/>
  <c r="AN49" i="3"/>
  <c r="AO49" i="3"/>
  <c r="AP49" i="3"/>
  <c r="AQ49" i="3"/>
  <c r="AR49" i="3"/>
  <c r="Y50" i="3"/>
  <c r="Z50" i="3"/>
  <c r="AA50" i="3"/>
  <c r="AB50" i="3"/>
  <c r="AC50" i="3"/>
  <c r="AD50" i="3"/>
  <c r="AE50" i="3"/>
  <c r="AF50" i="3"/>
  <c r="AG50" i="3"/>
  <c r="AH50" i="3"/>
  <c r="AJ50" i="3"/>
  <c r="AK50" i="3"/>
  <c r="AL50" i="3"/>
  <c r="AM50" i="3"/>
  <c r="AN50" i="3"/>
  <c r="AO50" i="3"/>
  <c r="AP50" i="3"/>
  <c r="AQ50" i="3"/>
  <c r="AR50" i="3"/>
  <c r="Y51" i="3"/>
  <c r="Z51" i="3"/>
  <c r="AA51" i="3"/>
  <c r="AB51" i="3"/>
  <c r="AC51" i="3"/>
  <c r="AD51" i="3"/>
  <c r="AE51" i="3"/>
  <c r="AF51" i="3"/>
  <c r="AG51" i="3"/>
  <c r="AH51" i="3"/>
  <c r="AJ51" i="3"/>
  <c r="AK51" i="3"/>
  <c r="AL51" i="3"/>
  <c r="AM51" i="3"/>
  <c r="AN51" i="3"/>
  <c r="AO51" i="3"/>
  <c r="AP51" i="3"/>
  <c r="AQ51" i="3"/>
  <c r="AR51" i="3"/>
  <c r="Y52" i="3"/>
  <c r="Z52" i="3"/>
  <c r="AA52" i="3"/>
  <c r="AB52" i="3"/>
  <c r="AC52" i="3"/>
  <c r="AD52" i="3"/>
  <c r="AE52" i="3"/>
  <c r="AF52" i="3"/>
  <c r="AG52" i="3"/>
  <c r="AH52" i="3"/>
  <c r="AJ52" i="3"/>
  <c r="AK52" i="3"/>
  <c r="AL52" i="3"/>
  <c r="AM52" i="3"/>
  <c r="AN52" i="3"/>
  <c r="AO52" i="3"/>
  <c r="AP52" i="3"/>
  <c r="AQ52" i="3"/>
  <c r="AR52" i="3"/>
  <c r="Y53" i="3"/>
  <c r="Z53" i="3"/>
  <c r="AA53" i="3"/>
  <c r="AB53" i="3"/>
  <c r="AC53" i="3"/>
  <c r="AD53" i="3"/>
  <c r="AE53" i="3"/>
  <c r="AF53" i="3"/>
  <c r="AG53" i="3"/>
  <c r="AH53" i="3"/>
  <c r="AJ53" i="3"/>
  <c r="AK53" i="3"/>
  <c r="AL53" i="3"/>
  <c r="AM53" i="3"/>
  <c r="AN53" i="3"/>
  <c r="AO53" i="3"/>
  <c r="AP53" i="3"/>
  <c r="AQ53" i="3"/>
  <c r="AR53" i="3"/>
  <c r="Y54" i="3"/>
  <c r="Z54" i="3"/>
  <c r="AA54" i="3"/>
  <c r="AB54" i="3"/>
  <c r="AC54" i="3"/>
  <c r="AD54" i="3"/>
  <c r="AE54" i="3"/>
  <c r="AF54" i="3"/>
  <c r="AG54" i="3"/>
  <c r="AH54" i="3"/>
  <c r="AJ54" i="3"/>
  <c r="AK54" i="3"/>
  <c r="AL54" i="3"/>
  <c r="AM54" i="3"/>
  <c r="AN54" i="3"/>
  <c r="AO54" i="3"/>
  <c r="AP54" i="3"/>
  <c r="AQ54" i="3"/>
  <c r="AR54" i="3"/>
  <c r="Y55" i="3"/>
  <c r="Z55" i="3"/>
  <c r="AA55" i="3"/>
  <c r="AB55" i="3"/>
  <c r="AC55" i="3"/>
  <c r="AD55" i="3"/>
  <c r="AE55" i="3"/>
  <c r="AF55" i="3"/>
  <c r="AG55" i="3"/>
  <c r="AH55" i="3"/>
  <c r="AJ55" i="3"/>
  <c r="AK55" i="3"/>
  <c r="AL55" i="3"/>
  <c r="AM55" i="3"/>
  <c r="AN55" i="3"/>
  <c r="AO55" i="3"/>
  <c r="AP55" i="3"/>
  <c r="AQ55" i="3"/>
  <c r="AR55" i="3"/>
  <c r="Y56" i="3"/>
  <c r="Z56" i="3"/>
  <c r="AA56" i="3"/>
  <c r="AB56" i="3"/>
  <c r="AC56" i="3"/>
  <c r="AD56" i="3"/>
  <c r="AE56" i="3"/>
  <c r="AF56" i="3"/>
  <c r="AG56" i="3"/>
  <c r="AH56" i="3"/>
  <c r="AJ56" i="3"/>
  <c r="AK56" i="3"/>
  <c r="AL56" i="3"/>
  <c r="AM56" i="3"/>
  <c r="AN56" i="3"/>
  <c r="AO56" i="3"/>
  <c r="AP56" i="3"/>
  <c r="AQ56" i="3"/>
  <c r="AR56" i="3"/>
  <c r="Y57" i="3"/>
  <c r="Z57" i="3"/>
  <c r="AA57" i="3"/>
  <c r="AB57" i="3"/>
  <c r="AC57" i="3"/>
  <c r="AD57" i="3"/>
  <c r="AE57" i="3"/>
  <c r="AF57" i="3"/>
  <c r="AG57" i="3"/>
  <c r="AH57" i="3"/>
  <c r="AJ57" i="3"/>
  <c r="AK57" i="3"/>
  <c r="AL57" i="3"/>
  <c r="AM57" i="3"/>
  <c r="AN57" i="3"/>
  <c r="AO57" i="3"/>
  <c r="AP57" i="3"/>
  <c r="AQ57" i="3"/>
  <c r="AR57" i="3"/>
  <c r="Y58" i="3"/>
  <c r="Z58" i="3"/>
  <c r="AA58" i="3"/>
  <c r="AB58" i="3"/>
  <c r="AC58" i="3"/>
  <c r="AD58" i="3"/>
  <c r="AE58" i="3"/>
  <c r="AF58" i="3"/>
  <c r="AG58" i="3"/>
  <c r="AH58" i="3"/>
  <c r="AJ58" i="3"/>
  <c r="AK58" i="3"/>
  <c r="AL58" i="3"/>
  <c r="AM58" i="3"/>
  <c r="AN58" i="3"/>
  <c r="AO58" i="3"/>
  <c r="AP58" i="3"/>
  <c r="AQ58" i="3"/>
  <c r="AR58" i="3"/>
  <c r="Y59" i="3"/>
  <c r="Z59" i="3"/>
  <c r="AA59" i="3"/>
  <c r="AB59" i="3"/>
  <c r="AC59" i="3"/>
  <c r="AD59" i="3"/>
  <c r="AE59" i="3"/>
  <c r="AF59" i="3"/>
  <c r="AG59" i="3"/>
  <c r="AH59" i="3"/>
  <c r="AJ59" i="3"/>
  <c r="AK59" i="3"/>
  <c r="AL59" i="3"/>
  <c r="AM59" i="3"/>
  <c r="AN59" i="3"/>
  <c r="AO59" i="3"/>
  <c r="AP59" i="3"/>
  <c r="AQ59" i="3"/>
  <c r="AR59" i="3"/>
  <c r="Y60" i="3"/>
  <c r="Z60" i="3"/>
  <c r="AA60" i="3"/>
  <c r="AB60" i="3"/>
  <c r="AC60" i="3"/>
  <c r="AD60" i="3"/>
  <c r="AE60" i="3"/>
  <c r="AF60" i="3"/>
  <c r="AG60" i="3"/>
  <c r="AH60" i="3"/>
  <c r="AJ60" i="3"/>
  <c r="AK60" i="3"/>
  <c r="AL60" i="3"/>
  <c r="AM60" i="3"/>
  <c r="AN60" i="3"/>
  <c r="AO60" i="3"/>
  <c r="AP60" i="3"/>
  <c r="AQ60" i="3"/>
  <c r="AR60" i="3"/>
  <c r="Y61" i="3"/>
  <c r="Z61" i="3"/>
  <c r="AA61" i="3"/>
  <c r="AB61" i="3"/>
  <c r="AC61" i="3"/>
  <c r="AD61" i="3"/>
  <c r="AE61" i="3"/>
  <c r="AF61" i="3"/>
  <c r="AG61" i="3"/>
  <c r="AH61" i="3"/>
  <c r="AJ61" i="3"/>
  <c r="AK61" i="3"/>
  <c r="AL61" i="3"/>
  <c r="AM61" i="3"/>
  <c r="AN61" i="3"/>
  <c r="AO61" i="3"/>
  <c r="AP61" i="3"/>
  <c r="AQ61" i="3"/>
  <c r="AR61" i="3"/>
  <c r="Y62" i="3"/>
  <c r="Z62" i="3"/>
  <c r="AA62" i="3"/>
  <c r="AB62" i="3"/>
  <c r="AC62" i="3"/>
  <c r="AD62" i="3"/>
  <c r="AE62" i="3"/>
  <c r="AF62" i="3"/>
  <c r="AG62" i="3"/>
  <c r="AH62" i="3"/>
  <c r="AJ62" i="3"/>
  <c r="AK62" i="3"/>
  <c r="AL62" i="3"/>
  <c r="AM62" i="3"/>
  <c r="AN62" i="3"/>
  <c r="AO62" i="3"/>
  <c r="AP62" i="3"/>
  <c r="AQ62" i="3"/>
  <c r="AR62" i="3"/>
  <c r="Y63" i="3"/>
  <c r="Z63" i="3"/>
  <c r="AA63" i="3"/>
  <c r="AB63" i="3"/>
  <c r="AC63" i="3"/>
  <c r="AD63" i="3"/>
  <c r="AE63" i="3"/>
  <c r="AF63" i="3"/>
  <c r="AG63" i="3"/>
  <c r="AH63" i="3"/>
  <c r="AJ63" i="3"/>
  <c r="AK63" i="3"/>
  <c r="AL63" i="3"/>
  <c r="AM63" i="3"/>
  <c r="AN63" i="3"/>
  <c r="AO63" i="3"/>
  <c r="AP63" i="3"/>
  <c r="AQ63" i="3"/>
  <c r="AR63" i="3"/>
  <c r="Y64" i="3"/>
  <c r="Z64" i="3"/>
  <c r="AA64" i="3"/>
  <c r="AB64" i="3"/>
  <c r="AC64" i="3"/>
  <c r="AD64" i="3"/>
  <c r="AE64" i="3"/>
  <c r="AF64" i="3"/>
  <c r="AG64" i="3"/>
  <c r="AH64" i="3"/>
  <c r="AJ64" i="3"/>
  <c r="AK64" i="3"/>
  <c r="AL64" i="3"/>
  <c r="AM64" i="3"/>
  <c r="AN64" i="3"/>
  <c r="AO64" i="3"/>
  <c r="AP64" i="3"/>
  <c r="AQ64" i="3"/>
  <c r="AR64" i="3"/>
  <c r="Y65" i="3"/>
  <c r="Z65" i="3"/>
  <c r="AA65" i="3"/>
  <c r="AB65" i="3"/>
  <c r="AC65" i="3"/>
  <c r="AD65" i="3"/>
  <c r="AE65" i="3"/>
  <c r="AF65" i="3"/>
  <c r="AG65" i="3"/>
  <c r="AH65" i="3"/>
  <c r="AJ65" i="3"/>
  <c r="AK65" i="3"/>
  <c r="AL65" i="3"/>
  <c r="AM65" i="3"/>
  <c r="AN65" i="3"/>
  <c r="AO65" i="3"/>
  <c r="AP65" i="3"/>
  <c r="AQ65" i="3"/>
  <c r="AR65" i="3"/>
  <c r="Y66" i="3"/>
  <c r="Z66" i="3"/>
  <c r="AA66" i="3"/>
  <c r="AB66" i="3"/>
  <c r="AC66" i="3"/>
  <c r="AD66" i="3"/>
  <c r="AE66" i="3"/>
  <c r="AF66" i="3"/>
  <c r="AG66" i="3"/>
  <c r="AH66" i="3"/>
  <c r="AJ66" i="3"/>
  <c r="AK66" i="3"/>
  <c r="AL66" i="3"/>
  <c r="AM66" i="3"/>
  <c r="AN66" i="3"/>
  <c r="AO66" i="3"/>
  <c r="AP66" i="3"/>
  <c r="AQ66" i="3"/>
  <c r="AR66" i="3"/>
  <c r="Y67" i="3"/>
  <c r="Z67" i="3"/>
  <c r="AA67" i="3"/>
  <c r="AB67" i="3"/>
  <c r="AC67" i="3"/>
  <c r="AD67" i="3"/>
  <c r="AE67" i="3"/>
  <c r="AF67" i="3"/>
  <c r="AG67" i="3"/>
  <c r="AH67" i="3"/>
  <c r="AJ67" i="3"/>
  <c r="AK67" i="3"/>
  <c r="AL67" i="3"/>
  <c r="AM67" i="3"/>
  <c r="AN67" i="3"/>
  <c r="AO67" i="3"/>
  <c r="AP67" i="3"/>
  <c r="AQ67" i="3"/>
  <c r="AR67" i="3"/>
  <c r="Y68" i="3"/>
  <c r="Z68" i="3"/>
  <c r="AA68" i="3"/>
  <c r="AB68" i="3"/>
  <c r="AC68" i="3"/>
  <c r="AD68" i="3"/>
  <c r="AE68" i="3"/>
  <c r="AF68" i="3"/>
  <c r="AG68" i="3"/>
  <c r="AH68" i="3"/>
  <c r="AJ68" i="3"/>
  <c r="AK68" i="3"/>
  <c r="AL68" i="3"/>
  <c r="AM68" i="3"/>
  <c r="AN68" i="3"/>
  <c r="AO68" i="3"/>
  <c r="AP68" i="3"/>
  <c r="AQ68" i="3"/>
  <c r="AR68" i="3"/>
  <c r="Y69" i="3"/>
  <c r="Z69" i="3"/>
  <c r="AA69" i="3"/>
  <c r="AB69" i="3"/>
  <c r="AC69" i="3"/>
  <c r="AD69" i="3"/>
  <c r="AE69" i="3"/>
  <c r="AF69" i="3"/>
  <c r="AG69" i="3"/>
  <c r="AH69" i="3"/>
  <c r="AJ69" i="3"/>
  <c r="AK69" i="3"/>
  <c r="AL69" i="3"/>
  <c r="AM69" i="3"/>
  <c r="AN69" i="3"/>
  <c r="AO69" i="3"/>
  <c r="AP69" i="3"/>
  <c r="AQ69" i="3"/>
  <c r="Y70" i="3"/>
  <c r="Z70" i="3"/>
  <c r="AA70" i="3"/>
  <c r="AB70" i="3"/>
  <c r="AC70" i="3"/>
  <c r="AD70" i="3"/>
  <c r="AE70" i="3"/>
  <c r="AF70" i="3"/>
  <c r="AG70" i="3"/>
  <c r="AH70" i="3"/>
  <c r="AJ70" i="3"/>
  <c r="AK70" i="3"/>
  <c r="AL70" i="3"/>
  <c r="AM70" i="3"/>
  <c r="AN70" i="3"/>
  <c r="AO70" i="3"/>
  <c r="AP70" i="3"/>
  <c r="AQ70" i="3"/>
  <c r="AR70" i="3"/>
  <c r="Y71" i="3"/>
  <c r="Z71" i="3"/>
  <c r="AA71" i="3"/>
  <c r="AB71" i="3"/>
  <c r="AC71" i="3"/>
  <c r="AD71" i="3"/>
  <c r="AE71" i="3"/>
  <c r="AF71" i="3"/>
  <c r="AG71" i="3"/>
  <c r="AH71" i="3"/>
  <c r="AJ71" i="3"/>
  <c r="AK71" i="3"/>
  <c r="AL71" i="3"/>
  <c r="AM71" i="3"/>
  <c r="AN71" i="3"/>
  <c r="AO71" i="3"/>
  <c r="AP71" i="3"/>
  <c r="AQ71" i="3"/>
  <c r="AR71" i="3"/>
  <c r="Y72" i="3"/>
  <c r="Z72" i="3"/>
  <c r="AA72" i="3"/>
  <c r="AB72" i="3"/>
  <c r="AC72" i="3"/>
  <c r="AD72" i="3"/>
  <c r="AE72" i="3"/>
  <c r="AF72" i="3"/>
  <c r="AG72" i="3"/>
  <c r="AH72" i="3"/>
  <c r="AJ72" i="3"/>
  <c r="AK72" i="3"/>
  <c r="AL72" i="3"/>
  <c r="AM72" i="3"/>
  <c r="AN72" i="3"/>
  <c r="AO72" i="3"/>
  <c r="AP72" i="3"/>
  <c r="AQ72" i="3"/>
  <c r="AR72" i="3"/>
  <c r="Y73" i="3"/>
  <c r="Z73" i="3"/>
  <c r="AA73" i="3"/>
  <c r="AB73" i="3"/>
  <c r="AC73" i="3"/>
  <c r="AD73" i="3"/>
  <c r="AE73" i="3"/>
  <c r="AF73" i="3"/>
  <c r="AG73" i="3"/>
  <c r="AH73" i="3"/>
  <c r="AJ73" i="3"/>
  <c r="AK73" i="3"/>
  <c r="AL73" i="3"/>
  <c r="AM73" i="3"/>
  <c r="AN73" i="3"/>
  <c r="AO73" i="3"/>
  <c r="AP73" i="3"/>
  <c r="AQ73" i="3"/>
  <c r="AR73" i="3"/>
  <c r="Y74" i="3"/>
  <c r="Z74" i="3"/>
  <c r="AA74" i="3"/>
  <c r="AB74" i="3"/>
  <c r="AC74" i="3"/>
  <c r="AD74" i="3"/>
  <c r="AE74" i="3"/>
  <c r="AF74" i="3"/>
  <c r="AG74" i="3"/>
  <c r="AH74" i="3"/>
  <c r="AJ74" i="3"/>
  <c r="AK74" i="3"/>
  <c r="AL74" i="3"/>
  <c r="AM74" i="3"/>
  <c r="AN74" i="3"/>
  <c r="AO74" i="3"/>
  <c r="AP74" i="3"/>
  <c r="AQ74" i="3"/>
  <c r="AR74" i="3"/>
  <c r="Y75" i="3"/>
  <c r="Z75" i="3"/>
  <c r="AA75" i="3"/>
  <c r="AB75" i="3"/>
  <c r="AC75" i="3"/>
  <c r="AD75" i="3"/>
  <c r="AE75" i="3"/>
  <c r="AF75" i="3"/>
  <c r="AG75" i="3"/>
  <c r="AH75" i="3"/>
  <c r="AJ75" i="3"/>
  <c r="AK75" i="3"/>
  <c r="AL75" i="3"/>
  <c r="AM75" i="3"/>
  <c r="AN75" i="3"/>
  <c r="AO75" i="3"/>
  <c r="AP75" i="3"/>
  <c r="AQ75" i="3"/>
  <c r="AR75" i="3"/>
  <c r="Y76" i="3"/>
  <c r="Z76" i="3"/>
  <c r="AA76" i="3"/>
  <c r="AB76" i="3"/>
  <c r="AC76" i="3"/>
  <c r="AD76" i="3"/>
  <c r="AE76" i="3"/>
  <c r="AF76" i="3"/>
  <c r="AG76" i="3"/>
  <c r="AH76" i="3"/>
  <c r="AJ76" i="3"/>
  <c r="AK76" i="3"/>
  <c r="AL76" i="3"/>
  <c r="AM76" i="3"/>
  <c r="AN76" i="3"/>
  <c r="AO76" i="3"/>
  <c r="AP76" i="3"/>
  <c r="AQ76" i="3"/>
  <c r="AR76" i="3"/>
  <c r="Y77" i="3"/>
  <c r="Z77" i="3"/>
  <c r="AA77" i="3"/>
  <c r="AB77" i="3"/>
  <c r="AC77" i="3"/>
  <c r="AD77" i="3"/>
  <c r="AE77" i="3"/>
  <c r="AF77" i="3"/>
  <c r="AG77" i="3"/>
  <c r="AH77" i="3"/>
  <c r="AJ77" i="3"/>
  <c r="AK77" i="3"/>
  <c r="AL77" i="3"/>
  <c r="AM77" i="3"/>
  <c r="AN77" i="3"/>
  <c r="AO77" i="3"/>
  <c r="AP77" i="3"/>
  <c r="AQ77" i="3"/>
  <c r="AR77" i="3"/>
  <c r="Y78" i="3"/>
  <c r="Z78" i="3"/>
  <c r="AA78" i="3"/>
  <c r="AB78" i="3"/>
  <c r="AC78" i="3"/>
  <c r="AD78" i="3"/>
  <c r="AE78" i="3"/>
  <c r="AF78" i="3"/>
  <c r="AG78" i="3"/>
  <c r="AH78" i="3"/>
  <c r="AJ78" i="3"/>
  <c r="AK78" i="3"/>
  <c r="AL78" i="3"/>
  <c r="AM78" i="3"/>
  <c r="AN78" i="3"/>
  <c r="AO78" i="3"/>
  <c r="AP78" i="3"/>
  <c r="AQ78" i="3"/>
  <c r="AR78" i="3"/>
  <c r="Y79" i="3"/>
  <c r="Z79" i="3"/>
  <c r="AA79" i="3"/>
  <c r="AB79" i="3"/>
  <c r="AC79" i="3"/>
  <c r="AD79" i="3"/>
  <c r="AE79" i="3"/>
  <c r="AF79" i="3"/>
  <c r="AG79" i="3"/>
  <c r="AH79" i="3"/>
  <c r="AJ79" i="3"/>
  <c r="AK79" i="3"/>
  <c r="AL79" i="3"/>
  <c r="AM79" i="3"/>
  <c r="AN79" i="3"/>
  <c r="AO79" i="3"/>
  <c r="AP79" i="3"/>
  <c r="AQ79" i="3"/>
  <c r="AR79" i="3"/>
  <c r="Y80" i="3"/>
  <c r="Z80" i="3"/>
  <c r="AA80" i="3"/>
  <c r="AB80" i="3"/>
  <c r="AC80" i="3"/>
  <c r="AD80" i="3"/>
  <c r="AE80" i="3"/>
  <c r="AF80" i="3"/>
  <c r="AG80" i="3"/>
  <c r="AH80" i="3"/>
  <c r="AJ80" i="3"/>
  <c r="AK80" i="3"/>
  <c r="AL80" i="3"/>
  <c r="AM80" i="3"/>
  <c r="AN80" i="3"/>
  <c r="AO80" i="3"/>
  <c r="AP80" i="3"/>
  <c r="AQ80" i="3"/>
  <c r="AR80" i="3"/>
  <c r="Y81" i="3"/>
  <c r="Z81" i="3"/>
  <c r="AA81" i="3"/>
  <c r="AB81" i="3"/>
  <c r="AC81" i="3"/>
  <c r="AD81" i="3"/>
  <c r="AE81" i="3"/>
  <c r="AF81" i="3"/>
  <c r="AG81" i="3"/>
  <c r="AH81" i="3"/>
  <c r="AJ81" i="3"/>
  <c r="AK81" i="3"/>
  <c r="AL81" i="3"/>
  <c r="AM81" i="3"/>
  <c r="AN81" i="3"/>
  <c r="AO81" i="3"/>
  <c r="AP81" i="3"/>
  <c r="AQ81" i="3"/>
  <c r="AR81" i="3"/>
  <c r="Y82" i="3"/>
  <c r="Z82" i="3"/>
  <c r="AA82" i="3"/>
  <c r="AB82" i="3"/>
  <c r="AC82" i="3"/>
  <c r="AD82" i="3"/>
  <c r="AE82" i="3"/>
  <c r="AF82" i="3"/>
  <c r="AG82" i="3"/>
  <c r="AH82" i="3"/>
  <c r="AJ82" i="3"/>
  <c r="AK82" i="3"/>
  <c r="AL82" i="3"/>
  <c r="AM82" i="3"/>
  <c r="AN82" i="3"/>
  <c r="AO82" i="3"/>
  <c r="AP82" i="3"/>
  <c r="AQ82" i="3"/>
  <c r="AR82" i="3"/>
  <c r="Y83" i="3"/>
  <c r="Z83" i="3"/>
  <c r="AA83" i="3"/>
  <c r="AB83" i="3"/>
  <c r="AC83" i="3"/>
  <c r="AD83" i="3"/>
  <c r="AE83" i="3"/>
  <c r="AF83" i="3"/>
  <c r="AG83" i="3"/>
  <c r="AH83" i="3"/>
  <c r="AJ83" i="3"/>
  <c r="AK83" i="3"/>
  <c r="AL83" i="3"/>
  <c r="AM83" i="3"/>
  <c r="AN83" i="3"/>
  <c r="AO83" i="3"/>
  <c r="AP83" i="3"/>
  <c r="AQ83" i="3"/>
  <c r="AR83" i="3"/>
  <c r="Y84" i="3"/>
  <c r="Z84" i="3"/>
  <c r="AA84" i="3"/>
  <c r="AB84" i="3"/>
  <c r="AC84" i="3"/>
  <c r="AD84" i="3"/>
  <c r="AE84" i="3"/>
  <c r="AF84" i="3"/>
  <c r="AG84" i="3"/>
  <c r="AH84" i="3"/>
  <c r="AJ84" i="3"/>
  <c r="AK84" i="3"/>
  <c r="AL84" i="3"/>
  <c r="AM84" i="3"/>
  <c r="AN84" i="3"/>
  <c r="AO84" i="3"/>
  <c r="AP84" i="3"/>
  <c r="AQ84" i="3"/>
  <c r="AR84" i="3"/>
  <c r="Y85" i="3"/>
  <c r="Z85" i="3"/>
  <c r="AA85" i="3"/>
  <c r="AB85" i="3"/>
  <c r="AC85" i="3"/>
  <c r="AD85" i="3"/>
  <c r="AE85" i="3"/>
  <c r="AF85" i="3"/>
  <c r="AG85" i="3"/>
  <c r="AH85" i="3"/>
  <c r="AJ85" i="3"/>
  <c r="AK85" i="3"/>
  <c r="AL85" i="3"/>
  <c r="AM85" i="3"/>
  <c r="AN85" i="3"/>
  <c r="AO85" i="3"/>
  <c r="AP85" i="3"/>
  <c r="AQ85" i="3"/>
  <c r="AR85" i="3"/>
  <c r="Y86" i="3"/>
  <c r="Z86" i="3"/>
  <c r="AA86" i="3"/>
  <c r="AB86" i="3"/>
  <c r="AC86" i="3"/>
  <c r="AD86" i="3"/>
  <c r="AE86" i="3"/>
  <c r="AF86" i="3"/>
  <c r="AG86" i="3"/>
  <c r="AH86" i="3"/>
  <c r="AJ86" i="3"/>
  <c r="AK86" i="3"/>
  <c r="AL86" i="3"/>
  <c r="AM86" i="3"/>
  <c r="AN86" i="3"/>
  <c r="AO86" i="3"/>
  <c r="AP86" i="3"/>
  <c r="AQ86" i="3"/>
  <c r="AR86" i="3"/>
  <c r="Y87" i="3"/>
  <c r="Z87" i="3"/>
  <c r="AA87" i="3"/>
  <c r="AB87" i="3"/>
  <c r="AC87" i="3"/>
  <c r="AD87" i="3"/>
  <c r="AE87" i="3"/>
  <c r="AF87" i="3"/>
  <c r="AG87" i="3"/>
  <c r="AH87" i="3"/>
  <c r="AJ87" i="3"/>
  <c r="AK87" i="3"/>
  <c r="AL87" i="3"/>
  <c r="AM87" i="3"/>
  <c r="AN87" i="3"/>
  <c r="AO87" i="3"/>
  <c r="AP87" i="3"/>
  <c r="AQ87" i="3"/>
  <c r="AR87" i="3"/>
  <c r="Y88" i="3"/>
  <c r="Z88" i="3"/>
  <c r="AA88" i="3"/>
  <c r="AB88" i="3"/>
  <c r="AC88" i="3"/>
  <c r="AD88" i="3"/>
  <c r="AE88" i="3"/>
  <c r="AF88" i="3"/>
  <c r="AG88" i="3"/>
  <c r="AH88" i="3"/>
  <c r="AJ88" i="3"/>
  <c r="AK88" i="3"/>
  <c r="AL88" i="3"/>
  <c r="AM88" i="3"/>
  <c r="AN88" i="3"/>
  <c r="AO88" i="3"/>
  <c r="AP88" i="3"/>
  <c r="AQ88" i="3"/>
  <c r="AR88" i="3"/>
  <c r="Y89" i="3"/>
  <c r="Z89" i="3"/>
  <c r="AA89" i="3"/>
  <c r="AB89" i="3"/>
  <c r="AC89" i="3"/>
  <c r="AD89" i="3"/>
  <c r="AE89" i="3"/>
  <c r="AF89" i="3"/>
  <c r="AG89" i="3"/>
  <c r="AH89" i="3"/>
  <c r="AJ89" i="3"/>
  <c r="AK89" i="3"/>
  <c r="AL89" i="3"/>
  <c r="AM89" i="3"/>
  <c r="AN89" i="3"/>
  <c r="AO89" i="3"/>
  <c r="AP89" i="3"/>
  <c r="AQ89" i="3"/>
  <c r="AR89" i="3"/>
  <c r="Y90" i="3"/>
  <c r="Z90" i="3"/>
  <c r="AA90" i="3"/>
  <c r="AB90" i="3"/>
  <c r="AC90" i="3"/>
  <c r="AD90" i="3"/>
  <c r="AE90" i="3"/>
  <c r="AF90" i="3"/>
  <c r="AG90" i="3"/>
  <c r="AH90" i="3"/>
  <c r="AJ90" i="3"/>
  <c r="AK90" i="3"/>
  <c r="AL90" i="3"/>
  <c r="AM90" i="3"/>
  <c r="AN90" i="3"/>
  <c r="AO90" i="3"/>
  <c r="AP90" i="3"/>
  <c r="AQ90" i="3"/>
  <c r="AR90" i="3"/>
  <c r="Y91" i="3"/>
  <c r="Z91" i="3"/>
  <c r="AA91" i="3"/>
  <c r="AB91" i="3"/>
  <c r="AC91" i="3"/>
  <c r="AD91" i="3"/>
  <c r="AE91" i="3"/>
  <c r="AF91" i="3"/>
  <c r="AG91" i="3"/>
  <c r="AH91" i="3"/>
  <c r="AJ91" i="3"/>
  <c r="AK91" i="3"/>
  <c r="AL91" i="3"/>
  <c r="AM91" i="3"/>
  <c r="AN91" i="3"/>
  <c r="AO91" i="3"/>
  <c r="AP91" i="3"/>
  <c r="AQ91" i="3"/>
  <c r="AR91" i="3"/>
  <c r="Y92" i="3"/>
  <c r="Z92" i="3"/>
  <c r="AA92" i="3"/>
  <c r="AB92" i="3"/>
  <c r="AC92" i="3"/>
  <c r="AD92" i="3"/>
  <c r="AE92" i="3"/>
  <c r="AF92" i="3"/>
  <c r="AG92" i="3"/>
  <c r="AH92" i="3"/>
  <c r="AJ92" i="3"/>
  <c r="AK92" i="3"/>
  <c r="AL92" i="3"/>
  <c r="AM92" i="3"/>
  <c r="AN92" i="3"/>
  <c r="AO92" i="3"/>
  <c r="AP92" i="3"/>
  <c r="AQ92" i="3"/>
  <c r="AR92" i="3"/>
  <c r="Y93" i="3"/>
  <c r="Z93" i="3"/>
  <c r="AA93" i="3"/>
  <c r="AB93" i="3"/>
  <c r="AC93" i="3"/>
  <c r="AD93" i="3"/>
  <c r="AE93" i="3"/>
  <c r="AF93" i="3"/>
  <c r="AG93" i="3"/>
  <c r="AH93" i="3"/>
  <c r="AJ93" i="3"/>
  <c r="AK93" i="3"/>
  <c r="AL93" i="3"/>
  <c r="AM93" i="3"/>
  <c r="AN93" i="3"/>
  <c r="AO93" i="3"/>
  <c r="AP93" i="3"/>
  <c r="AQ93" i="3"/>
  <c r="AR93" i="3"/>
  <c r="Y94" i="3"/>
  <c r="Z94" i="3"/>
  <c r="AA94" i="3"/>
  <c r="AB94" i="3"/>
  <c r="AC94" i="3"/>
  <c r="AD94" i="3"/>
  <c r="AE94" i="3"/>
  <c r="AF94" i="3"/>
  <c r="AG94" i="3"/>
  <c r="AH94" i="3"/>
  <c r="AJ94" i="3"/>
  <c r="AK94" i="3"/>
  <c r="AL94" i="3"/>
  <c r="AM94" i="3"/>
  <c r="AN94" i="3"/>
  <c r="AO94" i="3"/>
  <c r="AP94" i="3"/>
  <c r="AQ94" i="3"/>
  <c r="AR94" i="3"/>
  <c r="Y95" i="3"/>
  <c r="Z95" i="3"/>
  <c r="AA95" i="3"/>
  <c r="AB95" i="3"/>
  <c r="AC95" i="3"/>
  <c r="AD95" i="3"/>
  <c r="AE95" i="3"/>
  <c r="AF95" i="3"/>
  <c r="AG95" i="3"/>
  <c r="AH95" i="3"/>
  <c r="AJ95" i="3"/>
  <c r="AK95" i="3"/>
  <c r="AL95" i="3"/>
  <c r="AM95" i="3"/>
  <c r="AN95" i="3"/>
  <c r="AO95" i="3"/>
  <c r="AP95" i="3"/>
  <c r="AQ95" i="3"/>
  <c r="AR95" i="3"/>
  <c r="Y96" i="3"/>
  <c r="Z96" i="3"/>
  <c r="AA96" i="3"/>
  <c r="AB96" i="3"/>
  <c r="AC96" i="3"/>
  <c r="AD96" i="3"/>
  <c r="AE96" i="3"/>
  <c r="AF96" i="3"/>
  <c r="AG96" i="3"/>
  <c r="AH96" i="3"/>
  <c r="AJ96" i="3"/>
  <c r="AK96" i="3"/>
  <c r="AL96" i="3"/>
  <c r="AM96" i="3"/>
  <c r="AN96" i="3"/>
  <c r="AO96" i="3"/>
  <c r="AP96" i="3"/>
  <c r="AQ96" i="3"/>
  <c r="AR96" i="3"/>
  <c r="Y97" i="3"/>
  <c r="Z97" i="3"/>
  <c r="AA97" i="3"/>
  <c r="AB97" i="3"/>
  <c r="AC97" i="3"/>
  <c r="AD97" i="3"/>
  <c r="AE97" i="3"/>
  <c r="AF97" i="3"/>
  <c r="AG97" i="3"/>
  <c r="AH97" i="3"/>
  <c r="AJ97" i="3"/>
  <c r="AK97" i="3"/>
  <c r="AL97" i="3"/>
  <c r="AM97" i="3"/>
  <c r="AN97" i="3"/>
  <c r="AO97" i="3"/>
  <c r="AP97" i="3"/>
  <c r="AQ97" i="3"/>
  <c r="AR97" i="3"/>
  <c r="Y98" i="3"/>
  <c r="Z98" i="3"/>
  <c r="AA98" i="3"/>
  <c r="AB98" i="3"/>
  <c r="AC98" i="3"/>
  <c r="AD98" i="3"/>
  <c r="AF98" i="3"/>
  <c r="AG98" i="3"/>
  <c r="AH98" i="3"/>
  <c r="AJ98" i="3"/>
  <c r="AK98" i="3"/>
  <c r="AL98" i="3"/>
  <c r="AM98" i="3"/>
  <c r="AN98" i="3"/>
  <c r="AO98" i="3"/>
  <c r="AP98" i="3"/>
  <c r="AQ98" i="3"/>
  <c r="AR98" i="3"/>
  <c r="Y99" i="3"/>
  <c r="Z99" i="3"/>
  <c r="AA99" i="3"/>
  <c r="AB99" i="3"/>
  <c r="AC99" i="3"/>
  <c r="AD99" i="3"/>
  <c r="AE99" i="3"/>
  <c r="AF99" i="3"/>
  <c r="AG99" i="3"/>
  <c r="AH99" i="3"/>
  <c r="AJ99" i="3"/>
  <c r="AK99" i="3"/>
  <c r="AL99" i="3"/>
  <c r="AM99" i="3"/>
  <c r="AN99" i="3"/>
  <c r="AO99" i="3"/>
  <c r="AP99" i="3"/>
  <c r="AQ99" i="3"/>
  <c r="AR99" i="3"/>
  <c r="Y100" i="3"/>
  <c r="Z100" i="3"/>
  <c r="AA100" i="3"/>
  <c r="AB100" i="3"/>
  <c r="AC100" i="3"/>
  <c r="AD100" i="3"/>
  <c r="AE100" i="3"/>
  <c r="AF100" i="3"/>
  <c r="AG100" i="3"/>
  <c r="AH100" i="3"/>
  <c r="AJ100" i="3"/>
  <c r="AK100" i="3"/>
  <c r="AL100" i="3"/>
  <c r="AM100" i="3"/>
  <c r="AN100" i="3"/>
  <c r="AO100" i="3"/>
  <c r="AP100" i="3"/>
  <c r="AQ100" i="3"/>
  <c r="AR100" i="3"/>
  <c r="Y101" i="3"/>
  <c r="Z101" i="3"/>
  <c r="AA101" i="3"/>
  <c r="AB101" i="3"/>
  <c r="AC101" i="3"/>
  <c r="AD101" i="3"/>
  <c r="AE101" i="3"/>
  <c r="AF101" i="3"/>
  <c r="AG101" i="3"/>
  <c r="AH101" i="3"/>
  <c r="AJ101" i="3"/>
  <c r="AK101" i="3"/>
  <c r="AL101" i="3"/>
  <c r="AM101" i="3"/>
  <c r="AN101" i="3"/>
  <c r="AO101" i="3"/>
  <c r="AP101" i="3"/>
  <c r="AQ101" i="3"/>
  <c r="AR101" i="3"/>
  <c r="Y102" i="3"/>
  <c r="Z102" i="3"/>
  <c r="AA102" i="3"/>
  <c r="AB102" i="3"/>
  <c r="AC102" i="3"/>
  <c r="AD102" i="3"/>
  <c r="AE102" i="3"/>
  <c r="AF102" i="3"/>
  <c r="AG102" i="3"/>
  <c r="AH102" i="3"/>
  <c r="AJ102" i="3"/>
  <c r="AK102" i="3"/>
  <c r="AL102" i="3"/>
  <c r="AM102" i="3"/>
  <c r="AN102" i="3"/>
  <c r="AO102" i="3"/>
  <c r="AP102" i="3"/>
  <c r="AQ102" i="3"/>
  <c r="AR102" i="3"/>
  <c r="Y103" i="3"/>
  <c r="Z103" i="3"/>
  <c r="AA103" i="3"/>
  <c r="AB103" i="3"/>
  <c r="AC103" i="3"/>
  <c r="AD103" i="3"/>
  <c r="AE103" i="3"/>
  <c r="AF103" i="3"/>
  <c r="AG103" i="3"/>
  <c r="AH103" i="3"/>
  <c r="AJ103" i="3"/>
  <c r="AK103" i="3"/>
  <c r="AL103" i="3"/>
  <c r="AM103" i="3"/>
  <c r="AN103" i="3"/>
  <c r="AO103" i="3"/>
  <c r="AP103" i="3"/>
  <c r="AQ103" i="3"/>
  <c r="AR103" i="3"/>
  <c r="Y104" i="3"/>
  <c r="Z104" i="3"/>
  <c r="AA104" i="3"/>
  <c r="AB104" i="3"/>
  <c r="AC104" i="3"/>
  <c r="AD104" i="3"/>
  <c r="AE104" i="3"/>
  <c r="AF104" i="3"/>
  <c r="AG104" i="3"/>
  <c r="AH104" i="3"/>
  <c r="AJ104" i="3"/>
  <c r="AK104" i="3"/>
  <c r="AL104" i="3"/>
  <c r="AM104" i="3"/>
  <c r="AN104" i="3"/>
  <c r="AO104" i="3"/>
  <c r="AP104" i="3"/>
  <c r="AQ104" i="3"/>
  <c r="AR104" i="3"/>
  <c r="Y105" i="3"/>
  <c r="Z105" i="3"/>
  <c r="AA105" i="3"/>
  <c r="AB105" i="3"/>
  <c r="AC105" i="3"/>
  <c r="AD105" i="3"/>
  <c r="AE105" i="3"/>
  <c r="AF105" i="3"/>
  <c r="AG105" i="3"/>
  <c r="AH105" i="3"/>
  <c r="AJ105" i="3"/>
  <c r="AK105" i="3"/>
  <c r="AL105" i="3"/>
  <c r="AM105" i="3"/>
  <c r="AN105" i="3"/>
  <c r="AO105" i="3"/>
  <c r="AP105" i="3"/>
  <c r="AQ105" i="3"/>
  <c r="AR105" i="3"/>
  <c r="Y106" i="3"/>
  <c r="Z106" i="3"/>
  <c r="AA106" i="3"/>
  <c r="AB106" i="3"/>
  <c r="AC106" i="3"/>
  <c r="AD106" i="3"/>
  <c r="AE106" i="3"/>
  <c r="AF106" i="3"/>
  <c r="AG106" i="3"/>
  <c r="AH106" i="3"/>
  <c r="AJ106" i="3"/>
  <c r="AK106" i="3"/>
  <c r="AL106" i="3"/>
  <c r="AM106" i="3"/>
  <c r="AN106" i="3"/>
  <c r="AO106" i="3"/>
  <c r="AP106" i="3"/>
  <c r="AQ106" i="3"/>
  <c r="AR106" i="3"/>
  <c r="Y107" i="3"/>
  <c r="Z107" i="3"/>
  <c r="AA107" i="3"/>
  <c r="AB107" i="3"/>
  <c r="AC107" i="3"/>
  <c r="AD107" i="3"/>
  <c r="AE107" i="3"/>
  <c r="AF107" i="3"/>
  <c r="AG107" i="3"/>
  <c r="AH107" i="3"/>
  <c r="AJ107" i="3"/>
  <c r="AK107" i="3"/>
  <c r="AL107" i="3"/>
  <c r="AM107" i="3"/>
  <c r="AN107" i="3"/>
  <c r="AO107" i="3"/>
  <c r="AP107" i="3"/>
  <c r="AQ107" i="3"/>
  <c r="AR107" i="3"/>
  <c r="Y108" i="3"/>
  <c r="Z108" i="3"/>
  <c r="AA108" i="3"/>
  <c r="AB108" i="3"/>
  <c r="AC108" i="3"/>
  <c r="AD108" i="3"/>
  <c r="AE108" i="3"/>
  <c r="AF108" i="3"/>
  <c r="AG108" i="3"/>
  <c r="AH108" i="3"/>
  <c r="AJ108" i="3"/>
  <c r="AK108" i="3"/>
  <c r="AL108" i="3"/>
  <c r="AM108" i="3"/>
  <c r="AN108" i="3"/>
  <c r="AO108" i="3"/>
  <c r="AP108" i="3"/>
  <c r="AQ108" i="3"/>
  <c r="AR108" i="3"/>
  <c r="Y109" i="3"/>
  <c r="Z109" i="3"/>
  <c r="AA109" i="3"/>
  <c r="AB109" i="3"/>
  <c r="AC109" i="3"/>
  <c r="AD109" i="3"/>
  <c r="AE109" i="3"/>
  <c r="AF109" i="3"/>
  <c r="AG109" i="3"/>
  <c r="AH109" i="3"/>
  <c r="AJ109" i="3"/>
  <c r="AK109" i="3"/>
  <c r="AL109" i="3"/>
  <c r="AM109" i="3"/>
  <c r="AN109" i="3"/>
  <c r="AO109" i="3"/>
  <c r="AP109" i="3"/>
  <c r="AQ109" i="3"/>
  <c r="AR109" i="3"/>
  <c r="Y110" i="3"/>
  <c r="Z110" i="3"/>
  <c r="AA110" i="3"/>
  <c r="AB110" i="3"/>
  <c r="AC110" i="3"/>
  <c r="AD110" i="3"/>
  <c r="AE110" i="3"/>
  <c r="AF110" i="3"/>
  <c r="AG110" i="3"/>
  <c r="AH110" i="3"/>
  <c r="AJ110" i="3"/>
  <c r="AK110" i="3"/>
  <c r="AL110" i="3"/>
  <c r="AM110" i="3"/>
  <c r="AN110" i="3"/>
  <c r="AO110" i="3"/>
  <c r="AP110" i="3"/>
  <c r="AQ110" i="3"/>
  <c r="AR110" i="3"/>
  <c r="Y111" i="3"/>
  <c r="Z111" i="3"/>
  <c r="AA111" i="3"/>
  <c r="AB111" i="3"/>
  <c r="AC111" i="3"/>
  <c r="AD111" i="3"/>
  <c r="AE111" i="3"/>
  <c r="AF111" i="3"/>
  <c r="AG111" i="3"/>
  <c r="AH111" i="3"/>
  <c r="AJ111" i="3"/>
  <c r="AK111" i="3"/>
  <c r="AL111" i="3"/>
  <c r="AM111" i="3"/>
  <c r="AN111" i="3"/>
  <c r="AO111" i="3"/>
  <c r="AP111" i="3"/>
  <c r="AQ111" i="3"/>
  <c r="AR111" i="3"/>
  <c r="Y112" i="3"/>
  <c r="Z112" i="3"/>
  <c r="AA112" i="3"/>
  <c r="AB112" i="3"/>
  <c r="AC112" i="3"/>
  <c r="AD112" i="3"/>
  <c r="AE112" i="3"/>
  <c r="AF112" i="3"/>
  <c r="AG112" i="3"/>
  <c r="AH112" i="3"/>
  <c r="AJ112" i="3"/>
  <c r="AK112" i="3"/>
  <c r="AL112" i="3"/>
  <c r="AM112" i="3"/>
  <c r="AN112" i="3"/>
  <c r="AO112" i="3"/>
  <c r="AP112" i="3"/>
  <c r="AQ112" i="3"/>
  <c r="AR112" i="3"/>
  <c r="Y113" i="3"/>
  <c r="Z113" i="3"/>
  <c r="AA113" i="3"/>
  <c r="AB113" i="3"/>
  <c r="AC113" i="3"/>
  <c r="AD113" i="3"/>
  <c r="AE113" i="3"/>
  <c r="AF113" i="3"/>
  <c r="AG113" i="3"/>
  <c r="AH113" i="3"/>
  <c r="AJ113" i="3"/>
  <c r="AK113" i="3"/>
  <c r="AL113" i="3"/>
  <c r="AM113" i="3"/>
  <c r="AN113" i="3"/>
  <c r="AO113" i="3"/>
  <c r="AP113" i="3"/>
  <c r="AQ113" i="3"/>
  <c r="AR113" i="3"/>
  <c r="Y114" i="3"/>
  <c r="Z114" i="3"/>
  <c r="AA114" i="3"/>
  <c r="AB114" i="3"/>
  <c r="AC114" i="3"/>
  <c r="AD114" i="3"/>
  <c r="AE114" i="3"/>
  <c r="AF114" i="3"/>
  <c r="AG114" i="3"/>
  <c r="AH114" i="3"/>
  <c r="AJ114" i="3"/>
  <c r="AK114" i="3"/>
  <c r="AL114" i="3"/>
  <c r="AM114" i="3"/>
  <c r="AN114" i="3"/>
  <c r="AO114" i="3"/>
  <c r="AP114" i="3"/>
  <c r="AQ114" i="3"/>
  <c r="AR114" i="3"/>
  <c r="Y115" i="3"/>
  <c r="Z115" i="3"/>
  <c r="AA115" i="3"/>
  <c r="AB115" i="3"/>
  <c r="AC115" i="3"/>
  <c r="AD115" i="3"/>
  <c r="AE115" i="3"/>
  <c r="AF115" i="3"/>
  <c r="AG115" i="3"/>
  <c r="AH115" i="3"/>
  <c r="AJ115" i="3"/>
  <c r="AK115" i="3"/>
  <c r="AL115" i="3"/>
  <c r="AM115" i="3"/>
  <c r="AN115" i="3"/>
  <c r="AO115" i="3"/>
  <c r="AP115" i="3"/>
  <c r="AQ115" i="3"/>
  <c r="AR115" i="3"/>
  <c r="Y116" i="3"/>
  <c r="Z116" i="3"/>
  <c r="AA116" i="3"/>
  <c r="AB116" i="3"/>
  <c r="AC116" i="3"/>
  <c r="AD116" i="3"/>
  <c r="AE116" i="3"/>
  <c r="AF116" i="3"/>
  <c r="AG116" i="3"/>
  <c r="AH116" i="3"/>
  <c r="AJ116" i="3"/>
  <c r="AK116" i="3"/>
  <c r="AL116" i="3"/>
  <c r="AM116" i="3"/>
  <c r="AN116" i="3"/>
  <c r="AO116" i="3"/>
  <c r="AP116" i="3"/>
  <c r="AQ116" i="3"/>
  <c r="AR116" i="3"/>
  <c r="Y117" i="3"/>
  <c r="Z117" i="3"/>
  <c r="AA117" i="3"/>
  <c r="AB117" i="3"/>
  <c r="AC117" i="3"/>
  <c r="AD117" i="3"/>
  <c r="AE117" i="3"/>
  <c r="AF117" i="3"/>
  <c r="AG117" i="3"/>
  <c r="AH117" i="3"/>
  <c r="AJ117" i="3"/>
  <c r="AK117" i="3"/>
  <c r="AL117" i="3"/>
  <c r="AM117" i="3"/>
  <c r="AN117" i="3"/>
  <c r="AO117" i="3"/>
  <c r="AP117" i="3"/>
  <c r="AQ117" i="3"/>
  <c r="AR117" i="3"/>
  <c r="Y118" i="3"/>
  <c r="Z118" i="3"/>
  <c r="AA118" i="3"/>
  <c r="AB118" i="3"/>
  <c r="AC118" i="3"/>
  <c r="AD118" i="3"/>
  <c r="AE118" i="3"/>
  <c r="AF118" i="3"/>
  <c r="AG118" i="3"/>
  <c r="AH118" i="3"/>
  <c r="AJ118" i="3"/>
  <c r="AK118" i="3"/>
  <c r="AL118" i="3"/>
  <c r="AM118" i="3"/>
  <c r="AN118" i="3"/>
  <c r="AO118" i="3"/>
  <c r="AP118" i="3"/>
  <c r="AQ118" i="3"/>
  <c r="AR118" i="3"/>
  <c r="Y119" i="3"/>
  <c r="Z119" i="3"/>
  <c r="AA119" i="3"/>
  <c r="AB119" i="3"/>
  <c r="AC119" i="3"/>
  <c r="AD119" i="3"/>
  <c r="AE119" i="3"/>
  <c r="AF119" i="3"/>
  <c r="AG119" i="3"/>
  <c r="AH119" i="3"/>
  <c r="AJ119" i="3"/>
  <c r="AK119" i="3"/>
  <c r="AL119" i="3"/>
  <c r="AM119" i="3"/>
  <c r="AN119" i="3"/>
  <c r="AO119" i="3"/>
  <c r="AP119" i="3"/>
  <c r="AQ119" i="3"/>
  <c r="AR119" i="3"/>
  <c r="Y120" i="3"/>
  <c r="Z120" i="3"/>
  <c r="AA120" i="3"/>
  <c r="AB120" i="3"/>
  <c r="AC120" i="3"/>
  <c r="AD120" i="3"/>
  <c r="AE120" i="3"/>
  <c r="AF120" i="3"/>
  <c r="AG120" i="3"/>
  <c r="AH120" i="3"/>
  <c r="AJ120" i="3"/>
  <c r="AK120" i="3"/>
  <c r="AL120" i="3"/>
  <c r="AM120" i="3"/>
  <c r="AN120" i="3"/>
  <c r="AO120" i="3"/>
  <c r="AP120" i="3"/>
  <c r="AQ120" i="3"/>
  <c r="AR120" i="3"/>
  <c r="Y121" i="3"/>
  <c r="Z121" i="3"/>
  <c r="AA121" i="3"/>
  <c r="AB121" i="3"/>
  <c r="AC121" i="3"/>
  <c r="AD121" i="3"/>
  <c r="AE121" i="3"/>
  <c r="AF121" i="3"/>
  <c r="AG121" i="3"/>
  <c r="AH121" i="3"/>
  <c r="AJ121" i="3"/>
  <c r="AK121" i="3"/>
  <c r="AL121" i="3"/>
  <c r="AM121" i="3"/>
  <c r="AN121" i="3"/>
  <c r="AO121" i="3"/>
  <c r="AP121" i="3"/>
  <c r="AQ121" i="3"/>
  <c r="AR121" i="3"/>
  <c r="Y122" i="3"/>
  <c r="Z122" i="3"/>
  <c r="AA122" i="3"/>
  <c r="AB122" i="3"/>
  <c r="AC122" i="3"/>
  <c r="AD122" i="3"/>
  <c r="AE122" i="3"/>
  <c r="AF122" i="3"/>
  <c r="AG122" i="3"/>
  <c r="AH122" i="3"/>
  <c r="AJ122" i="3"/>
  <c r="AK122" i="3"/>
  <c r="AL122" i="3"/>
  <c r="AM122" i="3"/>
  <c r="AN122" i="3"/>
  <c r="AO122" i="3"/>
  <c r="AP122" i="3"/>
  <c r="AQ122" i="3"/>
  <c r="AR122" i="3"/>
  <c r="Y123" i="3"/>
  <c r="Z123" i="3"/>
  <c r="AA123" i="3"/>
  <c r="AB123" i="3"/>
  <c r="AC123" i="3"/>
  <c r="AD123" i="3"/>
  <c r="AE123" i="3"/>
  <c r="AF123" i="3"/>
  <c r="AG123" i="3"/>
  <c r="AH123" i="3"/>
  <c r="AJ123" i="3"/>
  <c r="AK123" i="3"/>
  <c r="AL123" i="3"/>
  <c r="AM123" i="3"/>
  <c r="AN123" i="3"/>
  <c r="AO123" i="3"/>
  <c r="AP123" i="3"/>
  <c r="AQ123" i="3"/>
  <c r="AR123" i="3"/>
  <c r="Y124" i="3"/>
  <c r="Z124" i="3"/>
  <c r="AA124" i="3"/>
  <c r="AB124" i="3"/>
  <c r="AC124" i="3"/>
  <c r="AD124" i="3"/>
  <c r="AE124" i="3"/>
  <c r="AF124" i="3"/>
  <c r="AG124" i="3"/>
  <c r="AH124" i="3"/>
  <c r="AJ124" i="3"/>
  <c r="AK124" i="3"/>
  <c r="AL124" i="3"/>
  <c r="AM124" i="3"/>
  <c r="AN124" i="3"/>
  <c r="AO124" i="3"/>
  <c r="AP124" i="3"/>
  <c r="AQ124" i="3"/>
  <c r="AR124" i="3"/>
  <c r="Y125" i="3"/>
  <c r="Z125" i="3"/>
  <c r="AA125" i="3"/>
  <c r="AB125" i="3"/>
  <c r="AC125" i="3"/>
  <c r="AD125" i="3"/>
  <c r="AE125" i="3"/>
  <c r="AF125" i="3"/>
  <c r="AG125" i="3"/>
  <c r="AH125" i="3"/>
  <c r="AJ125" i="3"/>
  <c r="AK125" i="3"/>
  <c r="AL125" i="3"/>
  <c r="AM125" i="3"/>
  <c r="AN125" i="3"/>
  <c r="AO125" i="3"/>
  <c r="AP125" i="3"/>
  <c r="AQ125" i="3"/>
  <c r="AR125" i="3"/>
  <c r="Y126" i="3"/>
  <c r="Z126" i="3"/>
  <c r="AA126" i="3"/>
  <c r="AB126" i="3"/>
  <c r="AC126" i="3"/>
  <c r="AD126" i="3"/>
  <c r="AE126" i="3"/>
  <c r="AF126" i="3"/>
  <c r="AG126" i="3"/>
  <c r="AH126" i="3"/>
  <c r="AJ126" i="3"/>
  <c r="AK126" i="3"/>
  <c r="AL126" i="3"/>
  <c r="AM126" i="3"/>
  <c r="AN126" i="3"/>
  <c r="AO126" i="3"/>
  <c r="AP126" i="3"/>
  <c r="AQ126" i="3"/>
  <c r="AR126" i="3"/>
  <c r="Y127" i="3"/>
  <c r="Z127" i="3"/>
  <c r="AA127" i="3"/>
  <c r="AB127" i="3"/>
  <c r="AC127" i="3"/>
  <c r="AD127" i="3"/>
  <c r="AE127" i="3"/>
  <c r="AF127" i="3"/>
  <c r="AG127" i="3"/>
  <c r="AH127" i="3"/>
  <c r="AJ127" i="3"/>
  <c r="AK127" i="3"/>
  <c r="AL127" i="3"/>
  <c r="AM127" i="3"/>
  <c r="AN127" i="3"/>
  <c r="AO127" i="3"/>
  <c r="AP127" i="3"/>
  <c r="AQ127" i="3"/>
  <c r="AR127" i="3"/>
  <c r="Y128" i="3"/>
  <c r="Z128" i="3"/>
  <c r="AA128" i="3"/>
  <c r="AB128" i="3"/>
  <c r="AC128" i="3"/>
  <c r="AD128" i="3"/>
  <c r="AE128" i="3"/>
  <c r="AF128" i="3"/>
  <c r="AG128" i="3"/>
  <c r="AH128" i="3"/>
  <c r="AJ128" i="3"/>
  <c r="AK128" i="3"/>
  <c r="AL128" i="3"/>
  <c r="AM128" i="3"/>
  <c r="AN128" i="3"/>
  <c r="AO128" i="3"/>
  <c r="AP128" i="3"/>
  <c r="AQ128" i="3"/>
  <c r="AR128" i="3"/>
  <c r="Y129" i="3"/>
  <c r="Z129" i="3"/>
  <c r="AA129" i="3"/>
  <c r="AB129" i="3"/>
  <c r="AC129" i="3"/>
  <c r="AD129" i="3"/>
  <c r="AE129" i="3"/>
  <c r="AF129" i="3"/>
  <c r="AG129" i="3"/>
  <c r="AH129" i="3"/>
  <c r="AJ129" i="3"/>
  <c r="AK129" i="3"/>
  <c r="AL129" i="3"/>
  <c r="AM129" i="3"/>
  <c r="AN129" i="3"/>
  <c r="AO129" i="3"/>
  <c r="AP129" i="3"/>
  <c r="AQ129" i="3"/>
  <c r="AR129" i="3"/>
  <c r="Y130" i="3"/>
  <c r="Z130" i="3"/>
  <c r="AA130" i="3"/>
  <c r="AB130" i="3"/>
  <c r="AC130" i="3"/>
  <c r="AD130" i="3"/>
  <c r="AE130" i="3"/>
  <c r="AF130" i="3"/>
  <c r="AG130" i="3"/>
  <c r="AH130" i="3"/>
  <c r="AJ130" i="3"/>
  <c r="AK130" i="3"/>
  <c r="AL130" i="3"/>
  <c r="AM130" i="3"/>
  <c r="AN130" i="3"/>
  <c r="AO130" i="3"/>
  <c r="AP130" i="3"/>
  <c r="AQ130" i="3"/>
  <c r="AR130" i="3"/>
  <c r="Y131" i="3"/>
  <c r="Z131" i="3"/>
  <c r="AA131" i="3"/>
  <c r="AB131" i="3"/>
  <c r="AC131" i="3"/>
  <c r="AD131" i="3"/>
  <c r="AE131" i="3"/>
  <c r="AF131" i="3"/>
  <c r="AG131" i="3"/>
  <c r="AH131" i="3"/>
  <c r="AJ131" i="3"/>
  <c r="AK131" i="3"/>
  <c r="AL131" i="3"/>
  <c r="AM131" i="3"/>
  <c r="AN131" i="3"/>
  <c r="AO131" i="3"/>
  <c r="AP131" i="3"/>
  <c r="AQ131" i="3"/>
  <c r="AR131" i="3"/>
  <c r="Y132" i="3"/>
  <c r="Z132" i="3"/>
  <c r="AA132" i="3"/>
  <c r="AB132" i="3"/>
  <c r="AC132" i="3"/>
  <c r="AD132" i="3"/>
  <c r="AE132" i="3"/>
  <c r="AF132" i="3"/>
  <c r="AG132" i="3"/>
  <c r="AH132" i="3"/>
  <c r="AJ132" i="3"/>
  <c r="AK132" i="3"/>
  <c r="AL132" i="3"/>
  <c r="AM132" i="3"/>
  <c r="AN132" i="3"/>
  <c r="AO132" i="3"/>
  <c r="AP132" i="3"/>
  <c r="AQ132" i="3"/>
  <c r="AR132" i="3"/>
  <c r="Y133" i="3"/>
  <c r="Z133" i="3"/>
  <c r="AA133" i="3"/>
  <c r="AB133" i="3"/>
  <c r="AC133" i="3"/>
  <c r="AD133" i="3"/>
  <c r="AE133" i="3"/>
  <c r="AF133" i="3"/>
  <c r="AG133" i="3"/>
  <c r="AH133" i="3"/>
  <c r="AJ133" i="3"/>
  <c r="AK133" i="3"/>
  <c r="AL133" i="3"/>
  <c r="AM133" i="3"/>
  <c r="AN133" i="3"/>
  <c r="AO133" i="3"/>
  <c r="AP133" i="3"/>
  <c r="AQ133" i="3"/>
  <c r="AR133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" i="3"/>
  <c r="V133" i="3"/>
  <c r="M133" i="3"/>
  <c r="AI133" i="3" s="1"/>
  <c r="V132" i="3"/>
  <c r="M132" i="3"/>
  <c r="AI132" i="3" s="1"/>
  <c r="V131" i="3"/>
  <c r="M131" i="3"/>
  <c r="AI131" i="3" s="1"/>
  <c r="V130" i="3"/>
  <c r="M130" i="3"/>
  <c r="AI130" i="3" s="1"/>
  <c r="V129" i="3"/>
  <c r="M129" i="3"/>
  <c r="AI129" i="3" s="1"/>
  <c r="V128" i="3"/>
  <c r="M128" i="3"/>
  <c r="AI128" i="3" s="1"/>
  <c r="V127" i="3"/>
  <c r="M127" i="3"/>
  <c r="AI127" i="3" s="1"/>
  <c r="V126" i="3"/>
  <c r="M126" i="3"/>
  <c r="AI126" i="3" s="1"/>
  <c r="V125" i="3"/>
  <c r="M125" i="3"/>
  <c r="AI125" i="3" s="1"/>
  <c r="V124" i="3"/>
  <c r="M124" i="3"/>
  <c r="AI124" i="3" s="1"/>
  <c r="V123" i="3"/>
  <c r="M123" i="3"/>
  <c r="AI123" i="3" s="1"/>
  <c r="V122" i="3"/>
  <c r="M122" i="3"/>
  <c r="AI122" i="3" s="1"/>
  <c r="V121" i="3"/>
  <c r="M121" i="3"/>
  <c r="AI121" i="3" s="1"/>
  <c r="V120" i="3"/>
  <c r="M120" i="3"/>
  <c r="AI120" i="3" s="1"/>
  <c r="V119" i="3"/>
  <c r="M119" i="3"/>
  <c r="AI119" i="3" s="1"/>
  <c r="V118" i="3"/>
  <c r="M118" i="3"/>
  <c r="AI118" i="3" s="1"/>
  <c r="V117" i="3"/>
  <c r="M117" i="3"/>
  <c r="AI117" i="3" s="1"/>
  <c r="V116" i="3"/>
  <c r="M116" i="3"/>
  <c r="AI116" i="3" s="1"/>
  <c r="V115" i="3"/>
  <c r="M115" i="3"/>
  <c r="AI115" i="3" s="1"/>
  <c r="V114" i="3"/>
  <c r="M114" i="3"/>
  <c r="AI114" i="3" s="1"/>
  <c r="V113" i="3"/>
  <c r="M113" i="3"/>
  <c r="AI113" i="3" s="1"/>
  <c r="V112" i="3"/>
  <c r="M112" i="3"/>
  <c r="AI112" i="3" s="1"/>
  <c r="V111" i="3"/>
  <c r="M111" i="3"/>
  <c r="AI111" i="3" s="1"/>
  <c r="V110" i="3"/>
  <c r="M110" i="3"/>
  <c r="AI110" i="3" s="1"/>
  <c r="V109" i="3"/>
  <c r="M109" i="3"/>
  <c r="AI109" i="3" s="1"/>
  <c r="V108" i="3"/>
  <c r="M108" i="3"/>
  <c r="AI108" i="3" s="1"/>
  <c r="V107" i="3"/>
  <c r="M107" i="3"/>
  <c r="AI107" i="3" s="1"/>
  <c r="V106" i="3"/>
  <c r="M106" i="3"/>
  <c r="AI106" i="3" s="1"/>
  <c r="V105" i="3"/>
  <c r="M105" i="3"/>
  <c r="AI105" i="3" s="1"/>
  <c r="V104" i="3"/>
  <c r="M104" i="3"/>
  <c r="AI104" i="3" s="1"/>
  <c r="V103" i="3"/>
  <c r="M103" i="3"/>
  <c r="AI103" i="3" s="1"/>
  <c r="V102" i="3"/>
  <c r="M102" i="3"/>
  <c r="AI102" i="3" s="1"/>
  <c r="V101" i="3"/>
  <c r="M101" i="3"/>
  <c r="AI101" i="3" s="1"/>
  <c r="V100" i="3"/>
  <c r="M100" i="3"/>
  <c r="AI100" i="3" s="1"/>
  <c r="V99" i="3"/>
  <c r="M99" i="3"/>
  <c r="AI99" i="3" s="1"/>
  <c r="V98" i="3"/>
  <c r="M98" i="3"/>
  <c r="AI98" i="3" s="1"/>
  <c r="V97" i="3"/>
  <c r="M97" i="3"/>
  <c r="AI97" i="3" s="1"/>
  <c r="V96" i="3"/>
  <c r="M96" i="3"/>
  <c r="AI96" i="3" s="1"/>
  <c r="V95" i="3"/>
  <c r="M95" i="3"/>
  <c r="AI95" i="3" s="1"/>
  <c r="V94" i="3"/>
  <c r="M94" i="3"/>
  <c r="AI94" i="3" s="1"/>
  <c r="V93" i="3"/>
  <c r="M93" i="3"/>
  <c r="AI93" i="3" s="1"/>
  <c r="V92" i="3"/>
  <c r="M92" i="3"/>
  <c r="AI92" i="3" s="1"/>
  <c r="V91" i="3"/>
  <c r="M91" i="3"/>
  <c r="AI91" i="3" s="1"/>
  <c r="V90" i="3"/>
  <c r="M90" i="3"/>
  <c r="AI90" i="3" s="1"/>
  <c r="V89" i="3"/>
  <c r="M89" i="3"/>
  <c r="AI89" i="3" s="1"/>
  <c r="V88" i="3"/>
  <c r="M88" i="3"/>
  <c r="AI88" i="3" s="1"/>
  <c r="V87" i="3"/>
  <c r="M87" i="3"/>
  <c r="AI87" i="3" s="1"/>
  <c r="V86" i="3"/>
  <c r="M86" i="3"/>
  <c r="AI86" i="3" s="1"/>
  <c r="V85" i="3"/>
  <c r="M85" i="3"/>
  <c r="AI85" i="3" s="1"/>
  <c r="V84" i="3"/>
  <c r="M84" i="3"/>
  <c r="AI84" i="3" s="1"/>
  <c r="V83" i="3"/>
  <c r="M83" i="3"/>
  <c r="AI83" i="3" s="1"/>
  <c r="V82" i="3"/>
  <c r="M82" i="3"/>
  <c r="AI82" i="3" s="1"/>
  <c r="V81" i="3"/>
  <c r="M81" i="3"/>
  <c r="AI81" i="3" s="1"/>
  <c r="V80" i="3"/>
  <c r="M80" i="3"/>
  <c r="AI80" i="3" s="1"/>
  <c r="V79" i="3"/>
  <c r="M79" i="3"/>
  <c r="AI79" i="3" s="1"/>
  <c r="V78" i="3"/>
  <c r="M78" i="3"/>
  <c r="AI78" i="3" s="1"/>
  <c r="V77" i="3"/>
  <c r="M77" i="3"/>
  <c r="AI77" i="3" s="1"/>
  <c r="V76" i="3"/>
  <c r="M76" i="3"/>
  <c r="AI76" i="3" s="1"/>
  <c r="V75" i="3"/>
  <c r="M75" i="3"/>
  <c r="AI75" i="3" s="1"/>
  <c r="V74" i="3"/>
  <c r="M74" i="3"/>
  <c r="AI74" i="3" s="1"/>
  <c r="V73" i="3"/>
  <c r="M73" i="3"/>
  <c r="AI73" i="3" s="1"/>
  <c r="V72" i="3"/>
  <c r="M72" i="3"/>
  <c r="AI72" i="3" s="1"/>
  <c r="V71" i="3"/>
  <c r="M71" i="3"/>
  <c r="AI71" i="3" s="1"/>
  <c r="V70" i="3"/>
  <c r="M70" i="3"/>
  <c r="AI70" i="3" s="1"/>
  <c r="V69" i="3"/>
  <c r="M69" i="3"/>
  <c r="AI69" i="3" s="1"/>
  <c r="V68" i="3"/>
  <c r="M68" i="3"/>
  <c r="AI68" i="3" s="1"/>
  <c r="V67" i="3"/>
  <c r="M67" i="3"/>
  <c r="AI67" i="3" s="1"/>
  <c r="V66" i="3"/>
  <c r="M66" i="3"/>
  <c r="AI66" i="3" s="1"/>
  <c r="V65" i="3"/>
  <c r="M65" i="3"/>
  <c r="AI65" i="3" s="1"/>
  <c r="V64" i="3"/>
  <c r="M64" i="3"/>
  <c r="AI64" i="3" s="1"/>
  <c r="V63" i="3"/>
  <c r="M63" i="3"/>
  <c r="AI63" i="3" s="1"/>
  <c r="V62" i="3"/>
  <c r="M62" i="3"/>
  <c r="AI62" i="3" s="1"/>
  <c r="V61" i="3"/>
  <c r="M61" i="3"/>
  <c r="AI61" i="3" s="1"/>
  <c r="V60" i="3"/>
  <c r="M60" i="3"/>
  <c r="AI60" i="3" s="1"/>
  <c r="V59" i="3"/>
  <c r="M59" i="3"/>
  <c r="AI59" i="3" s="1"/>
  <c r="V58" i="3"/>
  <c r="M58" i="3"/>
  <c r="AI58" i="3" s="1"/>
  <c r="V57" i="3"/>
  <c r="M57" i="3"/>
  <c r="AI57" i="3" s="1"/>
  <c r="V56" i="3"/>
  <c r="M56" i="3"/>
  <c r="AI56" i="3" s="1"/>
  <c r="V55" i="3"/>
  <c r="M55" i="3"/>
  <c r="AI55" i="3" s="1"/>
  <c r="V54" i="3"/>
  <c r="M54" i="3"/>
  <c r="AI54" i="3" s="1"/>
  <c r="V53" i="3"/>
  <c r="M53" i="3"/>
  <c r="AI53" i="3" s="1"/>
  <c r="V52" i="3"/>
  <c r="M52" i="3"/>
  <c r="AI52" i="3" s="1"/>
  <c r="V51" i="3"/>
  <c r="M51" i="3"/>
  <c r="AI51" i="3" s="1"/>
  <c r="V50" i="3"/>
  <c r="M50" i="3"/>
  <c r="AI50" i="3" s="1"/>
  <c r="V49" i="3"/>
  <c r="M49" i="3"/>
  <c r="AI49" i="3" s="1"/>
  <c r="V48" i="3"/>
  <c r="M48" i="3"/>
  <c r="AI48" i="3" s="1"/>
  <c r="V47" i="3"/>
  <c r="M47" i="3"/>
  <c r="AI47" i="3" s="1"/>
  <c r="V46" i="3"/>
  <c r="M46" i="3"/>
  <c r="AI46" i="3" s="1"/>
  <c r="V45" i="3"/>
  <c r="M45" i="3"/>
  <c r="AI45" i="3" s="1"/>
  <c r="V44" i="3"/>
  <c r="M44" i="3"/>
  <c r="AI44" i="3" s="1"/>
  <c r="V43" i="3"/>
  <c r="M43" i="3"/>
  <c r="AI43" i="3" s="1"/>
  <c r="V42" i="3"/>
  <c r="M42" i="3"/>
  <c r="AI42" i="3" s="1"/>
  <c r="V41" i="3"/>
  <c r="M41" i="3"/>
  <c r="AI41" i="3" s="1"/>
  <c r="V40" i="3"/>
  <c r="M40" i="3"/>
  <c r="AI40" i="3" s="1"/>
  <c r="V39" i="3"/>
  <c r="M39" i="3"/>
  <c r="AI39" i="3" s="1"/>
  <c r="V38" i="3"/>
  <c r="M38" i="3"/>
  <c r="AI38" i="3" s="1"/>
  <c r="V37" i="3"/>
  <c r="M37" i="3"/>
  <c r="AI37" i="3" s="1"/>
  <c r="V36" i="3"/>
  <c r="M36" i="3"/>
  <c r="AI36" i="3" s="1"/>
  <c r="V35" i="3"/>
  <c r="M35" i="3"/>
  <c r="AI35" i="3" s="1"/>
  <c r="V34" i="3"/>
  <c r="M34" i="3"/>
  <c r="AI34" i="3" s="1"/>
  <c r="V33" i="3"/>
  <c r="M33" i="3"/>
  <c r="AI33" i="3" s="1"/>
  <c r="V32" i="3"/>
  <c r="M32" i="3"/>
  <c r="AI32" i="3" s="1"/>
  <c r="V31" i="3"/>
  <c r="M31" i="3"/>
  <c r="AI31" i="3" s="1"/>
  <c r="V30" i="3"/>
  <c r="M30" i="3"/>
  <c r="AI30" i="3" s="1"/>
  <c r="V29" i="3"/>
  <c r="M29" i="3"/>
  <c r="AI29" i="3" s="1"/>
  <c r="V28" i="3"/>
  <c r="M28" i="3"/>
  <c r="AI28" i="3" s="1"/>
  <c r="V27" i="3"/>
  <c r="M27" i="3"/>
  <c r="AI27" i="3" s="1"/>
  <c r="V26" i="3"/>
  <c r="M26" i="3"/>
  <c r="AI26" i="3" s="1"/>
  <c r="V25" i="3"/>
  <c r="M25" i="3"/>
  <c r="AI25" i="3" s="1"/>
  <c r="V24" i="3"/>
  <c r="M24" i="3"/>
  <c r="AI24" i="3" s="1"/>
  <c r="V23" i="3"/>
  <c r="M23" i="3"/>
  <c r="AI23" i="3" s="1"/>
  <c r="V22" i="3"/>
  <c r="M22" i="3"/>
  <c r="AI22" i="3" s="1"/>
  <c r="V21" i="3"/>
  <c r="M21" i="3"/>
  <c r="AI21" i="3" s="1"/>
  <c r="V20" i="3"/>
  <c r="M20" i="3"/>
  <c r="AI20" i="3" s="1"/>
  <c r="V19" i="3"/>
  <c r="M19" i="3"/>
  <c r="AI19" i="3" s="1"/>
  <c r="V18" i="3"/>
  <c r="M18" i="3"/>
  <c r="AI18" i="3" s="1"/>
  <c r="V17" i="3"/>
  <c r="M17" i="3"/>
  <c r="AI17" i="3" s="1"/>
  <c r="V16" i="3"/>
  <c r="M16" i="3"/>
  <c r="AI16" i="3" s="1"/>
  <c r="V15" i="3"/>
  <c r="M15" i="3"/>
  <c r="AI15" i="3" s="1"/>
  <c r="V14" i="3"/>
  <c r="M14" i="3"/>
  <c r="AI14" i="3" s="1"/>
  <c r="V13" i="3"/>
  <c r="M13" i="3"/>
  <c r="AI13" i="3" s="1"/>
  <c r="V12" i="3"/>
  <c r="M12" i="3"/>
  <c r="AI12" i="3" s="1"/>
  <c r="V11" i="3"/>
  <c r="M11" i="3"/>
  <c r="AI11" i="3" s="1"/>
  <c r="V10" i="3"/>
  <c r="M10" i="3"/>
  <c r="AI10" i="3" s="1"/>
  <c r="V9" i="3"/>
  <c r="M9" i="3"/>
  <c r="AI9" i="3" s="1"/>
  <c r="V8" i="3"/>
  <c r="M8" i="3"/>
  <c r="AI8" i="3" s="1"/>
  <c r="V7" i="3"/>
  <c r="M7" i="3"/>
  <c r="AI7" i="3" s="1"/>
  <c r="V6" i="3"/>
  <c r="M6" i="3"/>
  <c r="AI6" i="3" s="1"/>
  <c r="V5" i="3"/>
  <c r="M5" i="3"/>
  <c r="AI5" i="3" s="1"/>
  <c r="V4" i="3"/>
  <c r="M4" i="3"/>
  <c r="AI4" i="3" s="1"/>
  <c r="V3" i="3"/>
  <c r="M3" i="3"/>
  <c r="AI3" i="3" s="1"/>
  <c r="V2" i="3"/>
  <c r="M2" i="3"/>
  <c r="AI2" i="3" s="1"/>
  <c r="V1" i="3"/>
  <c r="M1" i="3"/>
  <c r="AI1" i="3" s="1"/>
  <c r="D3" i="4"/>
  <c r="D3" i="5"/>
  <c r="D3" i="6"/>
  <c r="V145" i="7"/>
  <c r="M145" i="7"/>
  <c r="V144" i="7"/>
  <c r="M144" i="7"/>
  <c r="V143" i="7"/>
  <c r="M143" i="7"/>
  <c r="V142" i="7"/>
  <c r="M142" i="7"/>
  <c r="V141" i="7"/>
  <c r="M141" i="7"/>
  <c r="V140" i="7"/>
  <c r="M140" i="7"/>
  <c r="V139" i="7"/>
  <c r="M139" i="7"/>
  <c r="V138" i="7"/>
  <c r="M138" i="7"/>
  <c r="V137" i="7"/>
  <c r="M137" i="7"/>
  <c r="V136" i="7"/>
  <c r="M136" i="7"/>
  <c r="V135" i="7"/>
  <c r="M135" i="7"/>
  <c r="V134" i="7"/>
  <c r="M134" i="7"/>
  <c r="V133" i="7"/>
  <c r="M133" i="7"/>
  <c r="V132" i="7"/>
  <c r="M132" i="7"/>
  <c r="V131" i="7"/>
  <c r="M131" i="7"/>
  <c r="V130" i="7"/>
  <c r="M130" i="7"/>
  <c r="V129" i="7"/>
  <c r="M129" i="7"/>
  <c r="V128" i="7"/>
  <c r="M128" i="7"/>
  <c r="V127" i="7"/>
  <c r="M127" i="7"/>
  <c r="V126" i="7"/>
  <c r="M126" i="7"/>
  <c r="V125" i="7"/>
  <c r="M125" i="7"/>
  <c r="V124" i="7"/>
  <c r="M124" i="7"/>
  <c r="V123" i="7"/>
  <c r="M123" i="7"/>
  <c r="V122" i="7"/>
  <c r="M122" i="7"/>
  <c r="V121" i="7"/>
  <c r="M121" i="7"/>
  <c r="V120" i="7"/>
  <c r="M120" i="7"/>
  <c r="V119" i="7"/>
  <c r="M119" i="7"/>
  <c r="V118" i="7"/>
  <c r="M118" i="7"/>
  <c r="V117" i="7"/>
  <c r="M117" i="7"/>
  <c r="V116" i="7"/>
  <c r="M116" i="7"/>
  <c r="V115" i="7"/>
  <c r="M115" i="7"/>
  <c r="V114" i="7"/>
  <c r="M114" i="7"/>
  <c r="V113" i="7"/>
  <c r="M113" i="7"/>
  <c r="V112" i="7"/>
  <c r="M112" i="7"/>
  <c r="V111" i="7"/>
  <c r="M111" i="7"/>
  <c r="V110" i="7"/>
  <c r="M110" i="7"/>
  <c r="V109" i="7"/>
  <c r="M109" i="7"/>
  <c r="V108" i="7"/>
  <c r="M108" i="7"/>
  <c r="V107" i="7"/>
  <c r="M107" i="7"/>
  <c r="V106" i="7"/>
  <c r="M106" i="7"/>
  <c r="V105" i="7"/>
  <c r="M105" i="7"/>
  <c r="V104" i="7"/>
  <c r="M104" i="7"/>
  <c r="V103" i="7"/>
  <c r="M103" i="7"/>
  <c r="V102" i="7"/>
  <c r="M102" i="7"/>
  <c r="V101" i="7"/>
  <c r="M101" i="7"/>
  <c r="V100" i="7"/>
  <c r="M100" i="7"/>
  <c r="V99" i="7"/>
  <c r="M99" i="7"/>
  <c r="V98" i="7"/>
  <c r="M98" i="7"/>
  <c r="V97" i="7"/>
  <c r="M97" i="7"/>
  <c r="V96" i="7"/>
  <c r="M96" i="7"/>
  <c r="V95" i="7"/>
  <c r="M95" i="7"/>
  <c r="V94" i="7"/>
  <c r="M94" i="7"/>
  <c r="V93" i="7"/>
  <c r="M93" i="7"/>
  <c r="V92" i="7"/>
  <c r="M92" i="7"/>
  <c r="V91" i="7"/>
  <c r="M91" i="7"/>
  <c r="V90" i="7"/>
  <c r="M90" i="7"/>
  <c r="V89" i="7"/>
  <c r="M89" i="7"/>
  <c r="V88" i="7"/>
  <c r="M88" i="7"/>
  <c r="V87" i="7"/>
  <c r="M87" i="7"/>
  <c r="V86" i="7"/>
  <c r="M86" i="7"/>
  <c r="V85" i="7"/>
  <c r="M85" i="7"/>
  <c r="V84" i="7"/>
  <c r="M84" i="7"/>
  <c r="V83" i="7"/>
  <c r="M83" i="7"/>
  <c r="V82" i="7"/>
  <c r="M82" i="7"/>
  <c r="V81" i="7"/>
  <c r="M81" i="7"/>
  <c r="V80" i="7"/>
  <c r="M80" i="7"/>
  <c r="V79" i="7"/>
  <c r="M79" i="7"/>
  <c r="V78" i="7"/>
  <c r="M78" i="7"/>
  <c r="V77" i="7"/>
  <c r="M77" i="7"/>
  <c r="V76" i="7"/>
  <c r="M76" i="7"/>
  <c r="V75" i="7"/>
  <c r="M75" i="7"/>
  <c r="V74" i="7"/>
  <c r="M74" i="7"/>
  <c r="V73" i="7"/>
  <c r="M73" i="7"/>
  <c r="V72" i="7"/>
  <c r="M72" i="7"/>
  <c r="V71" i="7"/>
  <c r="M71" i="7"/>
  <c r="V70" i="7"/>
  <c r="M70" i="7"/>
  <c r="V69" i="7"/>
  <c r="M69" i="7"/>
  <c r="V68" i="7"/>
  <c r="M68" i="7"/>
  <c r="V67" i="7"/>
  <c r="M67" i="7"/>
  <c r="V66" i="7"/>
  <c r="M66" i="7"/>
  <c r="V65" i="7"/>
  <c r="M65" i="7"/>
  <c r="V64" i="7"/>
  <c r="M64" i="7"/>
  <c r="V63" i="7"/>
  <c r="M63" i="7"/>
  <c r="V62" i="7"/>
  <c r="M62" i="7"/>
  <c r="V61" i="7"/>
  <c r="M61" i="7"/>
  <c r="V60" i="7"/>
  <c r="M60" i="7"/>
  <c r="V59" i="7"/>
  <c r="M59" i="7"/>
  <c r="V58" i="7"/>
  <c r="M58" i="7"/>
  <c r="V57" i="7"/>
  <c r="M57" i="7"/>
  <c r="V56" i="7"/>
  <c r="M56" i="7"/>
  <c r="V55" i="7"/>
  <c r="M55" i="7"/>
  <c r="V54" i="7"/>
  <c r="M54" i="7"/>
  <c r="V53" i="7"/>
  <c r="M53" i="7"/>
  <c r="V52" i="7"/>
  <c r="M52" i="7"/>
  <c r="V51" i="7"/>
  <c r="M51" i="7"/>
  <c r="V50" i="7"/>
  <c r="M50" i="7"/>
  <c r="V49" i="7"/>
  <c r="M49" i="7"/>
  <c r="V48" i="7"/>
  <c r="M48" i="7"/>
  <c r="V47" i="7"/>
  <c r="M47" i="7"/>
  <c r="V46" i="7"/>
  <c r="M46" i="7"/>
  <c r="V45" i="7"/>
  <c r="M45" i="7"/>
  <c r="V44" i="7"/>
  <c r="M44" i="7"/>
  <c r="V43" i="7"/>
  <c r="M43" i="7"/>
  <c r="V42" i="7"/>
  <c r="M42" i="7"/>
  <c r="V41" i="7"/>
  <c r="M41" i="7"/>
  <c r="V40" i="7"/>
  <c r="M40" i="7"/>
  <c r="V39" i="7"/>
  <c r="M39" i="7"/>
  <c r="V38" i="7"/>
  <c r="M38" i="7"/>
  <c r="V37" i="7"/>
  <c r="M37" i="7"/>
  <c r="V36" i="7"/>
  <c r="M36" i="7"/>
  <c r="V35" i="7"/>
  <c r="M35" i="7"/>
  <c r="V34" i="7"/>
  <c r="M34" i="7"/>
  <c r="V33" i="7"/>
  <c r="M33" i="7"/>
  <c r="V32" i="7"/>
  <c r="M32" i="7"/>
  <c r="V31" i="7"/>
  <c r="M31" i="7"/>
  <c r="V30" i="7"/>
  <c r="M30" i="7"/>
  <c r="V29" i="7"/>
  <c r="M29" i="7"/>
  <c r="V28" i="7"/>
  <c r="M28" i="7"/>
  <c r="V27" i="7"/>
  <c r="M27" i="7"/>
  <c r="V26" i="7"/>
  <c r="M26" i="7"/>
  <c r="V25" i="7"/>
  <c r="M25" i="7"/>
  <c r="V24" i="7"/>
  <c r="M24" i="7"/>
  <c r="V23" i="7"/>
  <c r="M23" i="7"/>
  <c r="V22" i="7"/>
  <c r="M22" i="7"/>
  <c r="V21" i="7"/>
  <c r="M21" i="7"/>
  <c r="V20" i="7"/>
  <c r="M20" i="7"/>
  <c r="V19" i="7"/>
  <c r="M19" i="7"/>
  <c r="V18" i="7"/>
  <c r="M18" i="7"/>
  <c r="V17" i="7"/>
  <c r="M17" i="7"/>
  <c r="V16" i="7"/>
  <c r="M16" i="7"/>
  <c r="V15" i="7"/>
  <c r="M15" i="7"/>
  <c r="V14" i="7"/>
  <c r="M14" i="7"/>
  <c r="V13" i="7"/>
  <c r="M13" i="7"/>
  <c r="M12" i="7"/>
  <c r="I10" i="7"/>
  <c r="H10" i="7"/>
  <c r="G10" i="7"/>
  <c r="F10" i="7"/>
  <c r="E10" i="7"/>
  <c r="D10" i="7"/>
  <c r="C10" i="7"/>
  <c r="B10" i="7"/>
  <c r="V145" i="6"/>
  <c r="M145" i="6"/>
  <c r="V144" i="6"/>
  <c r="M144" i="6"/>
  <c r="V143" i="6"/>
  <c r="M143" i="6"/>
  <c r="V142" i="6"/>
  <c r="M142" i="6"/>
  <c r="V141" i="6"/>
  <c r="M141" i="6"/>
  <c r="V140" i="6"/>
  <c r="M140" i="6"/>
  <c r="V139" i="6"/>
  <c r="M139" i="6"/>
  <c r="V138" i="6"/>
  <c r="M138" i="6"/>
  <c r="V137" i="6"/>
  <c r="M137" i="6"/>
  <c r="V136" i="6"/>
  <c r="M136" i="6"/>
  <c r="V135" i="6"/>
  <c r="M135" i="6"/>
  <c r="V134" i="6"/>
  <c r="M134" i="6"/>
  <c r="V133" i="6"/>
  <c r="M133" i="6"/>
  <c r="V132" i="6"/>
  <c r="M132" i="6"/>
  <c r="V131" i="6"/>
  <c r="M131" i="6"/>
  <c r="V130" i="6"/>
  <c r="M130" i="6"/>
  <c r="V129" i="6"/>
  <c r="M129" i="6"/>
  <c r="V128" i="6"/>
  <c r="M128" i="6"/>
  <c r="V127" i="6"/>
  <c r="M127" i="6"/>
  <c r="V126" i="6"/>
  <c r="M126" i="6"/>
  <c r="V125" i="6"/>
  <c r="M125" i="6"/>
  <c r="V124" i="6"/>
  <c r="M124" i="6"/>
  <c r="V123" i="6"/>
  <c r="M123" i="6"/>
  <c r="V122" i="6"/>
  <c r="M122" i="6"/>
  <c r="V121" i="6"/>
  <c r="M121" i="6"/>
  <c r="V120" i="6"/>
  <c r="M120" i="6"/>
  <c r="V119" i="6"/>
  <c r="M119" i="6"/>
  <c r="V118" i="6"/>
  <c r="M118" i="6"/>
  <c r="V117" i="6"/>
  <c r="M117" i="6"/>
  <c r="V116" i="6"/>
  <c r="M116" i="6"/>
  <c r="V115" i="6"/>
  <c r="M115" i="6"/>
  <c r="V114" i="6"/>
  <c r="M114" i="6"/>
  <c r="V113" i="6"/>
  <c r="M113" i="6"/>
  <c r="V112" i="6"/>
  <c r="M112" i="6"/>
  <c r="V111" i="6"/>
  <c r="M111" i="6"/>
  <c r="V110" i="6"/>
  <c r="M110" i="6"/>
  <c r="V109" i="6"/>
  <c r="M109" i="6"/>
  <c r="V108" i="6"/>
  <c r="M108" i="6"/>
  <c r="V107" i="6"/>
  <c r="M107" i="6"/>
  <c r="V106" i="6"/>
  <c r="M106" i="6"/>
  <c r="V105" i="6"/>
  <c r="M105" i="6"/>
  <c r="V104" i="6"/>
  <c r="M104" i="6"/>
  <c r="V103" i="6"/>
  <c r="M103" i="6"/>
  <c r="V102" i="6"/>
  <c r="M102" i="6"/>
  <c r="V101" i="6"/>
  <c r="M101" i="6"/>
  <c r="V100" i="6"/>
  <c r="M100" i="6"/>
  <c r="V99" i="6"/>
  <c r="M99" i="6"/>
  <c r="V98" i="6"/>
  <c r="M98" i="6"/>
  <c r="V97" i="6"/>
  <c r="M97" i="6"/>
  <c r="V96" i="6"/>
  <c r="M96" i="6"/>
  <c r="V95" i="6"/>
  <c r="M95" i="6"/>
  <c r="V94" i="6"/>
  <c r="M94" i="6"/>
  <c r="V93" i="6"/>
  <c r="M93" i="6"/>
  <c r="V92" i="6"/>
  <c r="M92" i="6"/>
  <c r="V91" i="6"/>
  <c r="M91" i="6"/>
  <c r="V90" i="6"/>
  <c r="M90" i="6"/>
  <c r="V89" i="6"/>
  <c r="M89" i="6"/>
  <c r="V88" i="6"/>
  <c r="M88" i="6"/>
  <c r="V87" i="6"/>
  <c r="M87" i="6"/>
  <c r="V86" i="6"/>
  <c r="M86" i="6"/>
  <c r="V85" i="6"/>
  <c r="M85" i="6"/>
  <c r="V84" i="6"/>
  <c r="M84" i="6"/>
  <c r="V83" i="6"/>
  <c r="M83" i="6"/>
  <c r="V82" i="6"/>
  <c r="M82" i="6"/>
  <c r="V81" i="6"/>
  <c r="M81" i="6"/>
  <c r="V80" i="6"/>
  <c r="M80" i="6"/>
  <c r="V79" i="6"/>
  <c r="M79" i="6"/>
  <c r="V78" i="6"/>
  <c r="M78" i="6"/>
  <c r="V77" i="6"/>
  <c r="M77" i="6"/>
  <c r="V76" i="6"/>
  <c r="M76" i="6"/>
  <c r="V75" i="6"/>
  <c r="M75" i="6"/>
  <c r="V74" i="6"/>
  <c r="M74" i="6"/>
  <c r="V73" i="6"/>
  <c r="M73" i="6"/>
  <c r="V72" i="6"/>
  <c r="M72" i="6"/>
  <c r="V71" i="6"/>
  <c r="M71" i="6"/>
  <c r="V70" i="6"/>
  <c r="M70" i="6"/>
  <c r="V69" i="6"/>
  <c r="M69" i="6"/>
  <c r="V68" i="6"/>
  <c r="M68" i="6"/>
  <c r="V67" i="6"/>
  <c r="M67" i="6"/>
  <c r="V66" i="6"/>
  <c r="M66" i="6"/>
  <c r="V65" i="6"/>
  <c r="M65" i="6"/>
  <c r="V64" i="6"/>
  <c r="M64" i="6"/>
  <c r="V63" i="6"/>
  <c r="M63" i="6"/>
  <c r="V62" i="6"/>
  <c r="M62" i="6"/>
  <c r="V61" i="6"/>
  <c r="M61" i="6"/>
  <c r="V60" i="6"/>
  <c r="M60" i="6"/>
  <c r="V59" i="6"/>
  <c r="M59" i="6"/>
  <c r="V58" i="6"/>
  <c r="M58" i="6"/>
  <c r="V57" i="6"/>
  <c r="M57" i="6"/>
  <c r="V56" i="6"/>
  <c r="M56" i="6"/>
  <c r="V55" i="6"/>
  <c r="M55" i="6"/>
  <c r="V54" i="6"/>
  <c r="M54" i="6"/>
  <c r="V53" i="6"/>
  <c r="M53" i="6"/>
  <c r="V52" i="6"/>
  <c r="M52" i="6"/>
  <c r="V51" i="6"/>
  <c r="M51" i="6"/>
  <c r="V50" i="6"/>
  <c r="M50" i="6"/>
  <c r="V49" i="6"/>
  <c r="M49" i="6"/>
  <c r="V48" i="6"/>
  <c r="M48" i="6"/>
  <c r="V47" i="6"/>
  <c r="M47" i="6"/>
  <c r="V46" i="6"/>
  <c r="M46" i="6"/>
  <c r="V45" i="6"/>
  <c r="M45" i="6"/>
  <c r="V44" i="6"/>
  <c r="M44" i="6"/>
  <c r="V43" i="6"/>
  <c r="M43" i="6"/>
  <c r="V42" i="6"/>
  <c r="M42" i="6"/>
  <c r="V41" i="6"/>
  <c r="M41" i="6"/>
  <c r="V40" i="6"/>
  <c r="M40" i="6"/>
  <c r="V39" i="6"/>
  <c r="M39" i="6"/>
  <c r="V38" i="6"/>
  <c r="M38" i="6"/>
  <c r="V37" i="6"/>
  <c r="M37" i="6"/>
  <c r="V36" i="6"/>
  <c r="M36" i="6"/>
  <c r="V35" i="6"/>
  <c r="M35" i="6"/>
  <c r="V34" i="6"/>
  <c r="M34" i="6"/>
  <c r="V33" i="6"/>
  <c r="M33" i="6"/>
  <c r="V32" i="6"/>
  <c r="M32" i="6"/>
  <c r="V31" i="6"/>
  <c r="M31" i="6"/>
  <c r="V30" i="6"/>
  <c r="M30" i="6"/>
  <c r="V29" i="6"/>
  <c r="M29" i="6"/>
  <c r="V28" i="6"/>
  <c r="M28" i="6"/>
  <c r="V27" i="6"/>
  <c r="M27" i="6"/>
  <c r="V26" i="6"/>
  <c r="M26" i="6"/>
  <c r="V25" i="6"/>
  <c r="M25" i="6"/>
  <c r="V24" i="6"/>
  <c r="M24" i="6"/>
  <c r="V23" i="6"/>
  <c r="M23" i="6"/>
  <c r="V22" i="6"/>
  <c r="M22" i="6"/>
  <c r="V21" i="6"/>
  <c r="M21" i="6"/>
  <c r="V20" i="6"/>
  <c r="M20" i="6"/>
  <c r="V19" i="6"/>
  <c r="M19" i="6"/>
  <c r="V18" i="6"/>
  <c r="M18" i="6"/>
  <c r="V17" i="6"/>
  <c r="M17" i="6"/>
  <c r="V16" i="6"/>
  <c r="M16" i="6"/>
  <c r="V15" i="6"/>
  <c r="M15" i="6"/>
  <c r="V14" i="6"/>
  <c r="M14" i="6"/>
  <c r="V13" i="6"/>
  <c r="M13" i="6"/>
  <c r="M12" i="6"/>
  <c r="I10" i="6"/>
  <c r="H10" i="6"/>
  <c r="G10" i="6"/>
  <c r="F10" i="6"/>
  <c r="E10" i="6"/>
  <c r="D10" i="6"/>
  <c r="C10" i="6"/>
  <c r="B10" i="6"/>
  <c r="V145" i="5"/>
  <c r="M145" i="5"/>
  <c r="V144" i="5"/>
  <c r="M144" i="5"/>
  <c r="V143" i="5"/>
  <c r="M143" i="5"/>
  <c r="V142" i="5"/>
  <c r="M142" i="5"/>
  <c r="V141" i="5"/>
  <c r="M141" i="5"/>
  <c r="V140" i="5"/>
  <c r="M140" i="5"/>
  <c r="V139" i="5"/>
  <c r="M139" i="5"/>
  <c r="V138" i="5"/>
  <c r="M138" i="5"/>
  <c r="V137" i="5"/>
  <c r="M137" i="5"/>
  <c r="V136" i="5"/>
  <c r="M136" i="5"/>
  <c r="V135" i="5"/>
  <c r="M135" i="5"/>
  <c r="V134" i="5"/>
  <c r="M134" i="5"/>
  <c r="V133" i="5"/>
  <c r="M133" i="5"/>
  <c r="V132" i="5"/>
  <c r="M132" i="5"/>
  <c r="V131" i="5"/>
  <c r="M131" i="5"/>
  <c r="V130" i="5"/>
  <c r="M130" i="5"/>
  <c r="V129" i="5"/>
  <c r="M129" i="5"/>
  <c r="V128" i="5"/>
  <c r="M128" i="5"/>
  <c r="V127" i="5"/>
  <c r="M127" i="5"/>
  <c r="V126" i="5"/>
  <c r="M126" i="5"/>
  <c r="V125" i="5"/>
  <c r="M125" i="5"/>
  <c r="V124" i="5"/>
  <c r="M124" i="5"/>
  <c r="V123" i="5"/>
  <c r="M123" i="5"/>
  <c r="V122" i="5"/>
  <c r="M122" i="5"/>
  <c r="V121" i="5"/>
  <c r="M121" i="5"/>
  <c r="V120" i="5"/>
  <c r="M120" i="5"/>
  <c r="V119" i="5"/>
  <c r="M119" i="5"/>
  <c r="V118" i="5"/>
  <c r="M118" i="5"/>
  <c r="V117" i="5"/>
  <c r="M117" i="5"/>
  <c r="V116" i="5"/>
  <c r="M116" i="5"/>
  <c r="V115" i="5"/>
  <c r="M115" i="5"/>
  <c r="V114" i="5"/>
  <c r="M114" i="5"/>
  <c r="V113" i="5"/>
  <c r="M113" i="5"/>
  <c r="V112" i="5"/>
  <c r="M112" i="5"/>
  <c r="V111" i="5"/>
  <c r="M111" i="5"/>
  <c r="V110" i="5"/>
  <c r="M110" i="5"/>
  <c r="V109" i="5"/>
  <c r="M109" i="5"/>
  <c r="V108" i="5"/>
  <c r="M108" i="5"/>
  <c r="V107" i="5"/>
  <c r="M107" i="5"/>
  <c r="V106" i="5"/>
  <c r="M106" i="5"/>
  <c r="V105" i="5"/>
  <c r="M105" i="5"/>
  <c r="V104" i="5"/>
  <c r="M104" i="5"/>
  <c r="V103" i="5"/>
  <c r="M103" i="5"/>
  <c r="V102" i="5"/>
  <c r="M102" i="5"/>
  <c r="V101" i="5"/>
  <c r="M101" i="5"/>
  <c r="V100" i="5"/>
  <c r="M100" i="5"/>
  <c r="V99" i="5"/>
  <c r="M99" i="5"/>
  <c r="V98" i="5"/>
  <c r="M98" i="5"/>
  <c r="V97" i="5"/>
  <c r="M97" i="5"/>
  <c r="V96" i="5"/>
  <c r="M96" i="5"/>
  <c r="V95" i="5"/>
  <c r="M95" i="5"/>
  <c r="V94" i="5"/>
  <c r="M94" i="5"/>
  <c r="V93" i="5"/>
  <c r="M93" i="5"/>
  <c r="V92" i="5"/>
  <c r="M92" i="5"/>
  <c r="V91" i="5"/>
  <c r="M91" i="5"/>
  <c r="V90" i="5"/>
  <c r="M90" i="5"/>
  <c r="V89" i="5"/>
  <c r="M89" i="5"/>
  <c r="V88" i="5"/>
  <c r="M88" i="5"/>
  <c r="V87" i="5"/>
  <c r="M87" i="5"/>
  <c r="V86" i="5"/>
  <c r="M86" i="5"/>
  <c r="V85" i="5"/>
  <c r="M85" i="5"/>
  <c r="V84" i="5"/>
  <c r="M84" i="5"/>
  <c r="V83" i="5"/>
  <c r="M83" i="5"/>
  <c r="V82" i="5"/>
  <c r="M82" i="5"/>
  <c r="V81" i="5"/>
  <c r="M81" i="5"/>
  <c r="V80" i="5"/>
  <c r="M80" i="5"/>
  <c r="V79" i="5"/>
  <c r="M79" i="5"/>
  <c r="V78" i="5"/>
  <c r="M78" i="5"/>
  <c r="V77" i="5"/>
  <c r="M77" i="5"/>
  <c r="V76" i="5"/>
  <c r="M76" i="5"/>
  <c r="V75" i="5"/>
  <c r="M75" i="5"/>
  <c r="V74" i="5"/>
  <c r="M74" i="5"/>
  <c r="V73" i="5"/>
  <c r="M73" i="5"/>
  <c r="V72" i="5"/>
  <c r="M72" i="5"/>
  <c r="V71" i="5"/>
  <c r="M71" i="5"/>
  <c r="V70" i="5"/>
  <c r="M70" i="5"/>
  <c r="V69" i="5"/>
  <c r="M69" i="5"/>
  <c r="V68" i="5"/>
  <c r="M68" i="5"/>
  <c r="V67" i="5"/>
  <c r="M67" i="5"/>
  <c r="V66" i="5"/>
  <c r="M66" i="5"/>
  <c r="V65" i="5"/>
  <c r="M65" i="5"/>
  <c r="V64" i="5"/>
  <c r="M64" i="5"/>
  <c r="V63" i="5"/>
  <c r="M63" i="5"/>
  <c r="V62" i="5"/>
  <c r="M62" i="5"/>
  <c r="V61" i="5"/>
  <c r="M61" i="5"/>
  <c r="V60" i="5"/>
  <c r="M60" i="5"/>
  <c r="V59" i="5"/>
  <c r="M59" i="5"/>
  <c r="V58" i="5"/>
  <c r="M58" i="5"/>
  <c r="V57" i="5"/>
  <c r="M57" i="5"/>
  <c r="V56" i="5"/>
  <c r="M56" i="5"/>
  <c r="V55" i="5"/>
  <c r="M55" i="5"/>
  <c r="V54" i="5"/>
  <c r="M54" i="5"/>
  <c r="V53" i="5"/>
  <c r="M53" i="5"/>
  <c r="V52" i="5"/>
  <c r="M52" i="5"/>
  <c r="V51" i="5"/>
  <c r="M51" i="5"/>
  <c r="V50" i="5"/>
  <c r="M50" i="5"/>
  <c r="V49" i="5"/>
  <c r="M49" i="5"/>
  <c r="V48" i="5"/>
  <c r="M48" i="5"/>
  <c r="V47" i="5"/>
  <c r="M47" i="5"/>
  <c r="V46" i="5"/>
  <c r="M46" i="5"/>
  <c r="V45" i="5"/>
  <c r="M45" i="5"/>
  <c r="V44" i="5"/>
  <c r="M44" i="5"/>
  <c r="V43" i="5"/>
  <c r="M43" i="5"/>
  <c r="V42" i="5"/>
  <c r="M42" i="5"/>
  <c r="V41" i="5"/>
  <c r="M41" i="5"/>
  <c r="V40" i="5"/>
  <c r="M40" i="5"/>
  <c r="V39" i="5"/>
  <c r="M39" i="5"/>
  <c r="V38" i="5"/>
  <c r="M38" i="5"/>
  <c r="V37" i="5"/>
  <c r="M37" i="5"/>
  <c r="V36" i="5"/>
  <c r="M36" i="5"/>
  <c r="V35" i="5"/>
  <c r="M35" i="5"/>
  <c r="V34" i="5"/>
  <c r="M34" i="5"/>
  <c r="V33" i="5"/>
  <c r="M33" i="5"/>
  <c r="V32" i="5"/>
  <c r="M32" i="5"/>
  <c r="V31" i="5"/>
  <c r="M31" i="5"/>
  <c r="V30" i="5"/>
  <c r="M30" i="5"/>
  <c r="V29" i="5"/>
  <c r="M29" i="5"/>
  <c r="V28" i="5"/>
  <c r="M28" i="5"/>
  <c r="V27" i="5"/>
  <c r="M27" i="5"/>
  <c r="V26" i="5"/>
  <c r="M26" i="5"/>
  <c r="V25" i="5"/>
  <c r="M25" i="5"/>
  <c r="V24" i="5"/>
  <c r="M24" i="5"/>
  <c r="V23" i="5"/>
  <c r="M23" i="5"/>
  <c r="V22" i="5"/>
  <c r="M22" i="5"/>
  <c r="V21" i="5"/>
  <c r="M21" i="5"/>
  <c r="V20" i="5"/>
  <c r="M20" i="5"/>
  <c r="V19" i="5"/>
  <c r="M19" i="5"/>
  <c r="V18" i="5"/>
  <c r="M18" i="5"/>
  <c r="V17" i="5"/>
  <c r="M17" i="5"/>
  <c r="V16" i="5"/>
  <c r="M16" i="5"/>
  <c r="V15" i="5"/>
  <c r="M15" i="5"/>
  <c r="V14" i="5"/>
  <c r="M14" i="5"/>
  <c r="V13" i="5"/>
  <c r="M13" i="5"/>
  <c r="M12" i="5"/>
  <c r="I10" i="5"/>
  <c r="H10" i="5"/>
  <c r="G10" i="5"/>
  <c r="F10" i="5"/>
  <c r="E10" i="5"/>
  <c r="D10" i="5"/>
  <c r="C10" i="5"/>
  <c r="V145" i="4"/>
  <c r="M145" i="4"/>
  <c r="V144" i="4"/>
  <c r="M144" i="4"/>
  <c r="V143" i="4"/>
  <c r="M143" i="4"/>
  <c r="V142" i="4"/>
  <c r="M142" i="4"/>
  <c r="V141" i="4"/>
  <c r="M141" i="4"/>
  <c r="V140" i="4"/>
  <c r="M140" i="4"/>
  <c r="V139" i="4"/>
  <c r="M139" i="4"/>
  <c r="V138" i="4"/>
  <c r="M138" i="4"/>
  <c r="V137" i="4"/>
  <c r="M137" i="4"/>
  <c r="V136" i="4"/>
  <c r="M136" i="4"/>
  <c r="V135" i="4"/>
  <c r="M135" i="4"/>
  <c r="V134" i="4"/>
  <c r="M134" i="4"/>
  <c r="V133" i="4"/>
  <c r="M133" i="4"/>
  <c r="V132" i="4"/>
  <c r="M132" i="4"/>
  <c r="V131" i="4"/>
  <c r="M131" i="4"/>
  <c r="V130" i="4"/>
  <c r="M130" i="4"/>
  <c r="V129" i="4"/>
  <c r="M129" i="4"/>
  <c r="V128" i="4"/>
  <c r="M128" i="4"/>
  <c r="V127" i="4"/>
  <c r="M127" i="4"/>
  <c r="V126" i="4"/>
  <c r="M126" i="4"/>
  <c r="V125" i="4"/>
  <c r="M125" i="4"/>
  <c r="V124" i="4"/>
  <c r="M124" i="4"/>
  <c r="V123" i="4"/>
  <c r="M123" i="4"/>
  <c r="V122" i="4"/>
  <c r="M122" i="4"/>
  <c r="V121" i="4"/>
  <c r="M121" i="4"/>
  <c r="V120" i="4"/>
  <c r="M120" i="4"/>
  <c r="V119" i="4"/>
  <c r="M119" i="4"/>
  <c r="V118" i="4"/>
  <c r="M118" i="4"/>
  <c r="V117" i="4"/>
  <c r="M117" i="4"/>
  <c r="V116" i="4"/>
  <c r="M116" i="4"/>
  <c r="V115" i="4"/>
  <c r="M115" i="4"/>
  <c r="V114" i="4"/>
  <c r="M114" i="4"/>
  <c r="V113" i="4"/>
  <c r="M113" i="4"/>
  <c r="V112" i="4"/>
  <c r="M112" i="4"/>
  <c r="V111" i="4"/>
  <c r="M111" i="4"/>
  <c r="V110" i="4"/>
  <c r="M110" i="4"/>
  <c r="V109" i="4"/>
  <c r="M109" i="4"/>
  <c r="V108" i="4"/>
  <c r="M108" i="4"/>
  <c r="V107" i="4"/>
  <c r="M107" i="4"/>
  <c r="V106" i="4"/>
  <c r="M106" i="4"/>
  <c r="V105" i="4"/>
  <c r="M105" i="4"/>
  <c r="V104" i="4"/>
  <c r="M104" i="4"/>
  <c r="V103" i="4"/>
  <c r="M103" i="4"/>
  <c r="V102" i="4"/>
  <c r="M102" i="4"/>
  <c r="V101" i="4"/>
  <c r="M101" i="4"/>
  <c r="V100" i="4"/>
  <c r="M100" i="4"/>
  <c r="V99" i="4"/>
  <c r="M99" i="4"/>
  <c r="V98" i="4"/>
  <c r="M98" i="4"/>
  <c r="V97" i="4"/>
  <c r="M97" i="4"/>
  <c r="V96" i="4"/>
  <c r="M96" i="4"/>
  <c r="V95" i="4"/>
  <c r="M95" i="4"/>
  <c r="V94" i="4"/>
  <c r="M94" i="4"/>
  <c r="V93" i="4"/>
  <c r="M93" i="4"/>
  <c r="V92" i="4"/>
  <c r="M92" i="4"/>
  <c r="V91" i="4"/>
  <c r="M91" i="4"/>
  <c r="V90" i="4"/>
  <c r="M90" i="4"/>
  <c r="V89" i="4"/>
  <c r="M89" i="4"/>
  <c r="V88" i="4"/>
  <c r="M88" i="4"/>
  <c r="V87" i="4"/>
  <c r="M87" i="4"/>
  <c r="V86" i="4"/>
  <c r="M86" i="4"/>
  <c r="V85" i="4"/>
  <c r="M85" i="4"/>
  <c r="V84" i="4"/>
  <c r="M84" i="4"/>
  <c r="V83" i="4"/>
  <c r="M83" i="4"/>
  <c r="V82" i="4"/>
  <c r="M82" i="4"/>
  <c r="V81" i="4"/>
  <c r="M81" i="4"/>
  <c r="V80" i="4"/>
  <c r="M80" i="4"/>
  <c r="V79" i="4"/>
  <c r="M79" i="4"/>
  <c r="V78" i="4"/>
  <c r="M78" i="4"/>
  <c r="V77" i="4"/>
  <c r="M77" i="4"/>
  <c r="V76" i="4"/>
  <c r="M76" i="4"/>
  <c r="V75" i="4"/>
  <c r="M75" i="4"/>
  <c r="V74" i="4"/>
  <c r="M74" i="4"/>
  <c r="V73" i="4"/>
  <c r="M73" i="4"/>
  <c r="V72" i="4"/>
  <c r="M72" i="4"/>
  <c r="V71" i="4"/>
  <c r="M71" i="4"/>
  <c r="V70" i="4"/>
  <c r="M70" i="4"/>
  <c r="V69" i="4"/>
  <c r="M69" i="4"/>
  <c r="V68" i="4"/>
  <c r="M68" i="4"/>
  <c r="V67" i="4"/>
  <c r="M67" i="4"/>
  <c r="V66" i="4"/>
  <c r="M66" i="4"/>
  <c r="V65" i="4"/>
  <c r="M65" i="4"/>
  <c r="V64" i="4"/>
  <c r="M64" i="4"/>
  <c r="V63" i="4"/>
  <c r="M63" i="4"/>
  <c r="V62" i="4"/>
  <c r="M62" i="4"/>
  <c r="V61" i="4"/>
  <c r="M61" i="4"/>
  <c r="V60" i="4"/>
  <c r="M60" i="4"/>
  <c r="V59" i="4"/>
  <c r="M59" i="4"/>
  <c r="V58" i="4"/>
  <c r="M58" i="4"/>
  <c r="V57" i="4"/>
  <c r="M57" i="4"/>
  <c r="V56" i="4"/>
  <c r="M56" i="4"/>
  <c r="V55" i="4"/>
  <c r="M55" i="4"/>
  <c r="V54" i="4"/>
  <c r="M54" i="4"/>
  <c r="V53" i="4"/>
  <c r="M53" i="4"/>
  <c r="V52" i="4"/>
  <c r="M52" i="4"/>
  <c r="V51" i="4"/>
  <c r="M51" i="4"/>
  <c r="V50" i="4"/>
  <c r="M50" i="4"/>
  <c r="V49" i="4"/>
  <c r="M49" i="4"/>
  <c r="V48" i="4"/>
  <c r="M48" i="4"/>
  <c r="V47" i="4"/>
  <c r="M47" i="4"/>
  <c r="V46" i="4"/>
  <c r="M46" i="4"/>
  <c r="V45" i="4"/>
  <c r="M45" i="4"/>
  <c r="V44" i="4"/>
  <c r="M44" i="4"/>
  <c r="V43" i="4"/>
  <c r="M43" i="4"/>
  <c r="V42" i="4"/>
  <c r="M42" i="4"/>
  <c r="V41" i="4"/>
  <c r="M41" i="4"/>
  <c r="V40" i="4"/>
  <c r="M40" i="4"/>
  <c r="V39" i="4"/>
  <c r="M39" i="4"/>
  <c r="V38" i="4"/>
  <c r="M38" i="4"/>
  <c r="V37" i="4"/>
  <c r="M37" i="4"/>
  <c r="V36" i="4"/>
  <c r="M36" i="4"/>
  <c r="V35" i="4"/>
  <c r="M35" i="4"/>
  <c r="V34" i="4"/>
  <c r="M34" i="4"/>
  <c r="V33" i="4"/>
  <c r="M33" i="4"/>
  <c r="V32" i="4"/>
  <c r="M32" i="4"/>
  <c r="V31" i="4"/>
  <c r="M31" i="4"/>
  <c r="V30" i="4"/>
  <c r="M30" i="4"/>
  <c r="V29" i="4"/>
  <c r="M29" i="4"/>
  <c r="V28" i="4"/>
  <c r="M28" i="4"/>
  <c r="V27" i="4"/>
  <c r="M27" i="4"/>
  <c r="V26" i="4"/>
  <c r="M26" i="4"/>
  <c r="V25" i="4"/>
  <c r="M25" i="4"/>
  <c r="V24" i="4"/>
  <c r="M24" i="4"/>
  <c r="V23" i="4"/>
  <c r="M23" i="4"/>
  <c r="V22" i="4"/>
  <c r="M22" i="4"/>
  <c r="V21" i="4"/>
  <c r="M21" i="4"/>
  <c r="V20" i="4"/>
  <c r="M20" i="4"/>
  <c r="V19" i="4"/>
  <c r="M19" i="4"/>
  <c r="V18" i="4"/>
  <c r="M18" i="4"/>
  <c r="V17" i="4"/>
  <c r="M17" i="4"/>
  <c r="V16" i="4"/>
  <c r="M16" i="4"/>
  <c r="V15" i="4"/>
  <c r="M15" i="4"/>
  <c r="V14" i="4"/>
  <c r="M14" i="4"/>
  <c r="V13" i="4"/>
  <c r="M13" i="4"/>
  <c r="M12" i="4"/>
  <c r="I10" i="4"/>
  <c r="H10" i="4"/>
  <c r="G10" i="4"/>
  <c r="F10" i="4"/>
  <c r="E10" i="4"/>
  <c r="D10" i="4"/>
  <c r="C10" i="4"/>
  <c r="V12" i="7" l="1"/>
  <c r="V12" i="6"/>
  <c r="V12" i="5"/>
  <c r="V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0EFBE72A-581C-4D80-AB59-687842B414EE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F06677A5-0DF8-4BE5-A649-179B5DA24AA4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9B7D82B0-8303-4606-AC40-958F08EA5979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4897285F-9283-42FD-A136-478662EBE471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AE25804B-5BB6-481A-AA22-227AF0CAE575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28292E81-2BCD-4B8F-8459-BB159FF0EB7C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5F1F3C06-1CA7-425F-AE14-CE6F9A861E39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1216D8A4-0BAE-4902-B98B-DC24B1A6F84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EB9AD02C-1292-46D6-AEC7-3D08160731B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F179439A-0ECC-4739-9E1D-D7566ADB3994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8737656A-6268-4F0E-BFEC-2206C739B453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E651E4F6-BE8A-4765-928E-8A2363C599C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A55CB8C4-BB28-4AA8-BC3B-B1061867F2E1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6C2D5FB1-8283-4EB4-BD02-5DCCB9C07774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BC65819C-B41B-4836-9518-CA707A93C78E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DBD7600D-3A3A-4DB6-854F-51ACE2BE8237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E7063D2D-C776-4E52-AE05-C66DF054BD86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36F9C0C9-A7A5-4CC1-AED3-B999FA50997A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6793B7EF-0AB0-4837-8D9D-841E8AFC102C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07686175-BC8C-4949-A639-0199F8192532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28668272-3DD9-4D1F-85E3-BBC4AA7DEADF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1CA78B27-1C26-4DF5-9C33-33BB92E183B2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0864E9A2-1682-43F5-B6D2-DCC44B6E1282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9353F4E4-2542-4FD9-9A2A-D831737AA5E3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Gonzales-Berrocal, Carlos</author>
  </authors>
  <commentList>
    <comment ref="M8" authorId="0" shapeId="0" xr:uid="{C4E16038-E3D5-4FB5-9441-3F34E6E8897B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series are directly linked from Wage-Suite/BVAR spreadsheet - not available in FAME currently</t>
        </r>
      </text>
    </comment>
    <comment ref="F10" authorId="0" shapeId="0" xr:uid="{FE8DBE09-ADDC-4C18-BC26-F97BDC53C7EB}">
      <text>
        <r>
          <rPr>
            <b/>
            <sz val="9"/>
            <color indexed="81"/>
            <rFont val="Tahoma"/>
            <family val="2"/>
          </rPr>
          <t>Gonzales-Berrocal, Carlos:</t>
        </r>
        <r>
          <rPr>
            <sz val="9"/>
            <color indexed="81"/>
            <rFont val="Tahoma"/>
            <family val="2"/>
          </rPr>
          <t xml:space="preserve">
This is an aggregated series: food and non-acohol beverage + alcohol + tabacco</t>
        </r>
      </text>
    </comment>
  </commentList>
</comments>
</file>

<file path=xl/sharedStrings.xml><?xml version="1.0" encoding="utf-8"?>
<sst xmlns="http://schemas.openxmlformats.org/spreadsheetml/2006/main" count="2773" uniqueCount="257">
  <si>
    <t>Source: STIF -CECD</t>
  </si>
  <si>
    <t>Source: EASE-FAME</t>
  </si>
  <si>
    <t>REALISED DATA + CECD CONSTRAINS</t>
  </si>
  <si>
    <t>MPR FORECAST</t>
  </si>
  <si>
    <t>1996m1</t>
  </si>
  <si>
    <t>Current Round:</t>
  </si>
  <si>
    <t>M26_</t>
  </si>
  <si>
    <t>1996Q1</t>
  </si>
  <si>
    <t>Run:</t>
  </si>
  <si>
    <t>_fin.m</t>
  </si>
  <si>
    <t>2029Q2</t>
  </si>
  <si>
    <t>Calc:</t>
  </si>
  <si>
    <t>2029m3</t>
  </si>
  <si>
    <t>2029Q1</t>
  </si>
  <si>
    <t>Endogenous</t>
  </si>
  <si>
    <t>stif_fnab.m</t>
  </si>
  <si>
    <t>Exogenous</t>
  </si>
  <si>
    <t>Weights</t>
  </si>
  <si>
    <t>CPI</t>
  </si>
  <si>
    <t>Services</t>
  </si>
  <si>
    <t>Core goods</t>
  </si>
  <si>
    <t>Food including alcohol and tobacco</t>
  </si>
  <si>
    <t>Food</t>
  </si>
  <si>
    <t>Alcohol</t>
  </si>
  <si>
    <t>Tobacco</t>
  </si>
  <si>
    <t>Energy</t>
  </si>
  <si>
    <t>cpi_MPR</t>
  </si>
  <si>
    <t>import price</t>
  </si>
  <si>
    <t>exchange rate</t>
  </si>
  <si>
    <t>inflation expectation</t>
  </si>
  <si>
    <t>Energy contrib to CPI (yoy)</t>
  </si>
  <si>
    <t>Energy contrib to CPI (qoq)</t>
  </si>
  <si>
    <t>Food&amp;at</t>
  </si>
  <si>
    <t>FAME name</t>
  </si>
  <si>
    <t>stifidx</t>
  </si>
  <si>
    <t>stif_srv</t>
  </si>
  <si>
    <t>stif_gds_xeatfnab</t>
  </si>
  <si>
    <t>stif_fnab</t>
  </si>
  <si>
    <t>booze.m</t>
  </si>
  <si>
    <t>fags.m</t>
  </si>
  <si>
    <t>stif_pu</t>
  </si>
  <si>
    <t>cpisa</t>
  </si>
  <si>
    <t>pmdef</t>
  </si>
  <si>
    <t>eer</t>
  </si>
  <si>
    <t>encont</t>
  </si>
  <si>
    <t>encontqoq</t>
  </si>
  <si>
    <t>FAME data_adj</t>
  </si>
  <si>
    <t>CONV2QA(STIF_GDS_XEATFNAB_wgt.m)</t>
  </si>
  <si>
    <t>CONV2QA(stif_pu_wgt.m)</t>
  </si>
  <si>
    <t>CONV2QA(stif_srv_wgt.m)</t>
  </si>
  <si>
    <t>CONV2QA(stif_fnab_wgt.m)</t>
  </si>
  <si>
    <t>CONV2QA(booze_wgt.m)</t>
  </si>
  <si>
    <t>CONV2QA(fags_wgt.m)</t>
  </si>
  <si>
    <t>date</t>
  </si>
  <si>
    <t>stif_cpi</t>
  </si>
  <si>
    <t>services</t>
  </si>
  <si>
    <t>core_gds</t>
  </si>
  <si>
    <t>food_at</t>
  </si>
  <si>
    <t>food</t>
  </si>
  <si>
    <t>alcohol</t>
  </si>
  <si>
    <t>tobacco</t>
  </si>
  <si>
    <t>energy_f</t>
  </si>
  <si>
    <t>cpi_f</t>
  </si>
  <si>
    <t>pmdef_f</t>
  </si>
  <si>
    <t>eer_f</t>
  </si>
  <si>
    <t>infl_exp_f</t>
  </si>
  <si>
    <t>encont_f</t>
  </si>
  <si>
    <t>encontqoq_f</t>
  </si>
  <si>
    <t>cg_wgt</t>
  </si>
  <si>
    <t>e_wgt</t>
  </si>
  <si>
    <t>s_wgt</t>
  </si>
  <si>
    <t>food_wgt</t>
  </si>
  <si>
    <t>a_wgt</t>
  </si>
  <si>
    <t>t_wgt</t>
  </si>
  <si>
    <t>f_wgt</t>
  </si>
  <si>
    <t>F26_</t>
  </si>
  <si>
    <t>N25_</t>
  </si>
  <si>
    <t>A25_</t>
  </si>
  <si>
    <t>_fin.q</t>
  </si>
  <si>
    <t>A25</t>
  </si>
  <si>
    <t>$B$12</t>
  </si>
  <si>
    <t>Quarterly</t>
  </si>
  <si>
    <t>$C$12</t>
  </si>
  <si>
    <t>$D$12</t>
  </si>
  <si>
    <t>$E$12</t>
  </si>
  <si>
    <t>$F$12</t>
  </si>
  <si>
    <t>$G$12</t>
  </si>
  <si>
    <t>$H$12</t>
  </si>
  <si>
    <t>$I$12</t>
  </si>
  <si>
    <t>conv2qa(X12(A25_stif_pu_fin.m,MULT,1996m1,2029m3))</t>
  </si>
  <si>
    <t>$J$12</t>
  </si>
  <si>
    <t>A1:A134</t>
  </si>
  <si>
    <t>A25_cpisa_fin.q</t>
  </si>
  <si>
    <t>$K$12</t>
  </si>
  <si>
    <t>A25_pmdef_fin.q</t>
  </si>
  <si>
    <t>$L$12</t>
  </si>
  <si>
    <t>A25_eer_fin.q</t>
  </si>
  <si>
    <t>$N$12</t>
  </si>
  <si>
    <t>A25_encont_fin.q</t>
  </si>
  <si>
    <t>$O$12</t>
  </si>
  <si>
    <t>A25_encontqoq_fin.q</t>
  </si>
  <si>
    <t>$P$12</t>
  </si>
  <si>
    <t>$Q$12</t>
  </si>
  <si>
    <t>$R$12</t>
  </si>
  <si>
    <t>$S$12</t>
  </si>
  <si>
    <t>$T$12</t>
  </si>
  <si>
    <t>$U$12</t>
  </si>
  <si>
    <t>N25</t>
  </si>
  <si>
    <t>F26</t>
  </si>
  <si>
    <t>M26</t>
  </si>
  <si>
    <t>M25_</t>
  </si>
  <si>
    <t>F25_</t>
  </si>
  <si>
    <t>N24_</t>
  </si>
  <si>
    <t>A24_</t>
  </si>
  <si>
    <t>M24_</t>
  </si>
  <si>
    <t>F24_</t>
  </si>
  <si>
    <t>N23_</t>
  </si>
  <si>
    <t>A23_</t>
  </si>
  <si>
    <t>A23</t>
  </si>
  <si>
    <t>conv2qa(X12(A23_stif_pu_fin.m,MULT,1996m1,2029m3))</t>
  </si>
  <si>
    <t>A23_cpisa_fin.q</t>
  </si>
  <si>
    <t>A23_pmdef_fin.q</t>
  </si>
  <si>
    <t>A23_eer_fin.q</t>
  </si>
  <si>
    <t>A23_encont_fin.q</t>
  </si>
  <si>
    <t>A23_encontqoq_fin.q</t>
  </si>
  <si>
    <t>N23</t>
  </si>
  <si>
    <t>conv2qa(X12(N23_stif_pu_fin.m,MULT,1996m1,2029m3))</t>
  </si>
  <si>
    <t>N23_cpisa_fin.q</t>
  </si>
  <si>
    <t>N23_pmdef_fin.q</t>
  </si>
  <si>
    <t>N23_eer_fin.q</t>
  </si>
  <si>
    <t>N23_encont_fin.q</t>
  </si>
  <si>
    <t>N23_encontqoq_fin.q</t>
  </si>
  <si>
    <t>F24</t>
  </si>
  <si>
    <t>conv2qa(X12(F24_stif_pu_fin.m,MULT,1996m1,2029m3))</t>
  </si>
  <si>
    <t>F24_cpisa_fin.q</t>
  </si>
  <si>
    <t>F24_pmdef_fin.q</t>
  </si>
  <si>
    <t>F24_eer_fin.q</t>
  </si>
  <si>
    <t>F24_encont_fin.q</t>
  </si>
  <si>
    <t>F24_encontqoq_fin.q</t>
  </si>
  <si>
    <t>M24</t>
  </si>
  <si>
    <t>conv2qa(X12(M24_stif_pu_fin.m,MULT,1996m1,2029m3))</t>
  </si>
  <si>
    <t>M24_cpisa_fin.q</t>
  </si>
  <si>
    <t>M24_pmdef_fin.q</t>
  </si>
  <si>
    <t>M24_eer_fin.q</t>
  </si>
  <si>
    <t>M24_encont_fin.q</t>
  </si>
  <si>
    <t>M24_encontqoq_fin.q</t>
  </si>
  <si>
    <t>A24</t>
  </si>
  <si>
    <t>conv2qa(X12(A24_stif_pu_fin.m,MULT,1996m1,2029m3))</t>
  </si>
  <si>
    <t>A24_cpisa_fin.q</t>
  </si>
  <si>
    <t>A24_pmdef_fin.q</t>
  </si>
  <si>
    <t>A24_eer_fin.q</t>
  </si>
  <si>
    <t>A24_encont_fin.q</t>
  </si>
  <si>
    <t>A24_encontqoq_fin.q</t>
  </si>
  <si>
    <t>N24</t>
  </si>
  <si>
    <t>conv2qa(X12(N24_stif_pu_fin.m,MULT,1996m1,2029m3))</t>
  </si>
  <si>
    <t>N24_cpisa_fin.q</t>
  </si>
  <si>
    <t>N24_pmdef_fin.q</t>
  </si>
  <si>
    <t>N24_eer_fin.q</t>
  </si>
  <si>
    <t>N24_encont_fin.q</t>
  </si>
  <si>
    <t>N24_encontqoq_fin.q</t>
  </si>
  <si>
    <t>F25</t>
  </si>
  <si>
    <t>conv2qa(X12(F25_stif_pu_fin.m,MULT,1996m1,2029m3))</t>
  </si>
  <si>
    <t>F25_cpisa_fin.q</t>
  </si>
  <si>
    <t>F25_pmdef_fin.q</t>
  </si>
  <si>
    <t>F25_eer_fin.q</t>
  </si>
  <si>
    <t>F25_encont_fin.q</t>
  </si>
  <si>
    <t>F25_encontqoq_fin.q</t>
  </si>
  <si>
    <t>M25</t>
  </si>
  <si>
    <t>conv2qa(X12(M25_stif_pu_fin.m,MULT,1996m1,2029m3))</t>
  </si>
  <si>
    <t>M25_cpisa_fin.q</t>
  </si>
  <si>
    <t>M25_pmdef_fin.q</t>
  </si>
  <si>
    <t>M25_eer_fin.q</t>
  </si>
  <si>
    <t>M25_encont_fin.q</t>
  </si>
  <si>
    <t>M25_encontqoq_fin.q</t>
  </si>
  <si>
    <t>conv2qa(X12(N25_stif_pu_fin.m,MULT,1996m1,2029m3))</t>
  </si>
  <si>
    <t>N25_cpisa_fin.q</t>
  </si>
  <si>
    <t>N25_pmdef_fin.q</t>
  </si>
  <si>
    <t>N25_eer_fin.q</t>
  </si>
  <si>
    <t>N25_encont_fin.q</t>
  </si>
  <si>
    <t>N25_encontqoq_fin.q</t>
  </si>
  <si>
    <t>conv2qa(X12(F26_stif_pu_fin.m,MULT,1996m1,2029m3))</t>
  </si>
  <si>
    <t>F26_cpisa_fin.q</t>
  </si>
  <si>
    <t>F26_pmdef_fin.q</t>
  </si>
  <si>
    <t>F26_eer_fin.q</t>
  </si>
  <si>
    <t>F26_encont_fin.q</t>
  </si>
  <si>
    <t>F26_encontqoq_fin.q</t>
  </si>
  <si>
    <t>conv2qa(X12(M26_stif_pu_fin.m,MULT,1996m1,2029m3))</t>
  </si>
  <si>
    <t>M26_cpisa_fin.q</t>
  </si>
  <si>
    <t>M26_pmdef_fin.q</t>
  </si>
  <si>
    <t>M26_eer_fin.q</t>
  </si>
  <si>
    <t>M26_encont_fin.q</t>
  </si>
  <si>
    <t>M26_encontqoq_fin.q</t>
  </si>
  <si>
    <t>M23_</t>
  </si>
  <si>
    <t>2029Q4</t>
  </si>
  <si>
    <t>2029m12</t>
  </si>
  <si>
    <t>M23</t>
  </si>
  <si>
    <t>conv2qa(X12(M23_stifidx_fin.m,MULT,1996m1,2029m12))</t>
  </si>
  <si>
    <t>conv2qa(X12(M23_stif_srv_fin.m,MULT,1996m1,2029m12))</t>
  </si>
  <si>
    <t>conv2qa(X12(M23_stif_gds_xeatfnab_fin.m,MULT,1996m1,2029m12))</t>
  </si>
  <si>
    <t>conv2qa(X12(cpi_aggregation(stif_fnab.m, booze.m,fags.m,#,#,#,#,#,#,#,#,#,#,#,#,#,#,#,#,#),MULT,1996m1,2029m12))</t>
  </si>
  <si>
    <t>conv2qa(X12(M23_stif_fnab_fin.m,MULT,1996m1,2029m12))</t>
  </si>
  <si>
    <t>conv2qa(X12(booze.m,MULT,1996m1,2029m12))</t>
  </si>
  <si>
    <t>conv2qa(X12(fags.m,MULT,1996m1,2029m12))</t>
  </si>
  <si>
    <t>conv2qa(X12(M23_stif_pu_fin.m,MULT,1996m1,2029m3))</t>
  </si>
  <si>
    <t>M23_cpisa_fin.q</t>
  </si>
  <si>
    <t>M23_pmdef_fin.q</t>
  </si>
  <si>
    <t>M23_eer_fin.q</t>
  </si>
  <si>
    <t>M23_encont_fin.q</t>
  </si>
  <si>
    <t>M23_encontqoq_fin.q</t>
  </si>
  <si>
    <t>conv2qa(X12(A23_stifidx_fin.m,MULT,1996m1,2029m12))</t>
  </si>
  <si>
    <t>conv2qa(X12(A23_stif_srv_fin.m,MULT,1996m1,2029m12))</t>
  </si>
  <si>
    <t>conv2qa(X12(A23_stif_gds_xeatfnab_fin.m,MULT,1996m1,2029m12))</t>
  </si>
  <si>
    <t>conv2qa(X12(A23_stif_fnab_fin.m,MULT,1996m1,2029m12))</t>
  </si>
  <si>
    <t>conv2qa(X12(N23_stifidx_fin.m,MULT,1996m1,2029m12))</t>
  </si>
  <si>
    <t>conv2qa(X12(N23_stif_srv_fin.m,MULT,1996m1,2029m12))</t>
  </si>
  <si>
    <t>conv2qa(X12(N23_stif_gds_xeatfnab_fin.m,MULT,1996m1,2029m12))</t>
  </si>
  <si>
    <t>conv2qa(X12(N23_stif_fnab_fin.m,MULT,1996m1,2029m12))</t>
  </si>
  <si>
    <t>conv2qa(X12(F24_stifidx_fin.m,MULT,1996m1,2029m12))</t>
  </si>
  <si>
    <t>conv2qa(X12(F24_stif_srv_fin.m,MULT,1996m1,2029m12))</t>
  </si>
  <si>
    <t>conv2qa(X12(F24_stif_gds_xeatfnab_fin.m,MULT,1996m1,2029m12))</t>
  </si>
  <si>
    <t>conv2qa(X12(F24_stif_fnab_fin.m,MULT,1996m1,2029m12))</t>
  </si>
  <si>
    <t>conv2qa(X12(M24_stifidx_fin.m,MULT,1996m1,2029m12))</t>
  </si>
  <si>
    <t>conv2qa(X12(M24_stif_srv_fin.m,MULT,1996m1,2029m12))</t>
  </si>
  <si>
    <t>conv2qa(X12(M24_stif_gds_xeatfnab_fin.m,MULT,1996m1,2029m12))</t>
  </si>
  <si>
    <t>conv2qa(X12(M24_stif_fnab_fin.m,MULT,1996m1,2029m12))</t>
  </si>
  <si>
    <t>conv2qa(X12(A24_stifidx_fin.m,MULT,1996m1,2029m12))</t>
  </si>
  <si>
    <t>conv2qa(X12(A24_stif_srv_fin.m,MULT,1996m1,2029m12))</t>
  </si>
  <si>
    <t>conv2qa(X12(A24_stif_gds_xeatfnab_fin.m,MULT,1996m1,2029m12))</t>
  </si>
  <si>
    <t>conv2qa(X12(A24_stif_fnab_fin.m,MULT,1996m1,2029m12))</t>
  </si>
  <si>
    <t>conv2qa(X12(N24_stifidx_fin.m,MULT,1996m1,2029m12))</t>
  </si>
  <si>
    <t>conv2qa(X12(N24_stif_srv_fin.m,MULT,1996m1,2029m12))</t>
  </si>
  <si>
    <t>conv2qa(X12(N24_stif_gds_xeatfnab_fin.m,MULT,1996m1,2029m12))</t>
  </si>
  <si>
    <t>conv2qa(X12(N24_stif_fnab_fin.m,MULT,1996m1,2029m12))</t>
  </si>
  <si>
    <t>conv2qa(X12(F25_stifidx_fin.m,MULT,1996m1,2029m12))</t>
  </si>
  <si>
    <t>conv2qa(X12(F25_stif_srv_fin.m,MULT,1996m1,2029m12))</t>
  </si>
  <si>
    <t>conv2qa(X12(F25_stif_gds_xeatfnab_fin.m,MULT,1996m1,2029m12))</t>
  </si>
  <si>
    <t>conv2qa(X12(F25_stif_fnab_fin.m,MULT,1996m1,2029m12))</t>
  </si>
  <si>
    <t>conv2qa(X12(M25_stifidx_fin.m,MULT,1996m1,2029m12))</t>
  </si>
  <si>
    <t>conv2qa(X12(M25_stif_srv_fin.m,MULT,1996m1,2029m12))</t>
  </si>
  <si>
    <t>conv2qa(X12(M25_stif_gds_xeatfnab_fin.m,MULT,1996m1,2029m12))</t>
  </si>
  <si>
    <t>conv2qa(X12(M25_stif_fnab_fin.m,MULT,1996m1,2029m12))</t>
  </si>
  <si>
    <t>conv2qa(X12(A25_stifidx_fin.m,MULT,1996m1,2029m12))</t>
  </si>
  <si>
    <t>conv2qa(X12(A25_stif_srv_fin.m,MULT,1996m1,2029m12))</t>
  </si>
  <si>
    <t>conv2qa(X12(A25_stif_gds_xeatfnab_fin.m,MULT,1996m1,2029m12))</t>
  </si>
  <si>
    <t>conv2qa(X12(A25_stif_fnab_fin.m,MULT,1996m1,2029m12))</t>
  </si>
  <si>
    <t>conv2qa(X12(N25_stifidx_fin.m,MULT,1996m1,2029m12))</t>
  </si>
  <si>
    <t>conv2qa(X12(N25_stif_srv_fin.m,MULT,1996m1,2029m12))</t>
  </si>
  <si>
    <t>conv2qa(X12(N25_stif_gds_xeatfnab_fin.m,MULT,1996m1,2029m12))</t>
  </si>
  <si>
    <t>conv2qa(X12(N25_stif_fnab_fin.m,MULT,1996m1,2029m12))</t>
  </si>
  <si>
    <t>conv2qa(X12(F26_stifidx_fin.m,MULT,1996m1,2029m12))</t>
  </si>
  <si>
    <t>conv2qa(X12(F26_stif_srv_fin.m,MULT,1996m1,2029m12))</t>
  </si>
  <si>
    <t>conv2qa(X12(F26_stif_gds_xeatfnab_fin.m,MULT,1996m1,2029m12))</t>
  </si>
  <si>
    <t>conv2qa(X12(F26_stif_fnab_fin.m,MULT,1996m1,2029m12))</t>
  </si>
  <si>
    <t>conv2qa(X12(M26_stifidx_fin.m,MULT,1996m1,2029m12))</t>
  </si>
  <si>
    <t>conv2qa(X12(M26_stif_srv_fin.m,MULT,1996m1,2029m12))</t>
  </si>
  <si>
    <t>conv2qa(X12(M26_stif_gds_xeatfnab_fin.m,MULT,1996m1,2029m12))</t>
  </si>
  <si>
    <t>conv2qa(X12(M26_stif_fnab_fin.m,MULT,1996m1,2029m12))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</si>
</sst>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3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3" fillId="7" borderId="0" xfId="0" applyFont="1" applyFill="1"/>
    <xf numFmtId="0" fontId="4" fillId="6" borderId="0" xfId="0" applyFont="1" applyFill="1"/>
    <xf numFmtId="0" fontId="5" fillId="8" borderId="0" xfId="0" applyFont="1" applyFill="1" applyAlignment="1">
      <alignment vertical="center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quotePrefix="1"/>
    <xf numFmtId="1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MPOD\Infrastructure%20Investment\02_Team_members\Carlos\3.%20CPI%20disaggregation%20in%20PT\A25_draft_Disagg_CPI_VAR_data.xlsx" TargetMode="External"/><Relationship Id="rId1" Type="http://schemas.openxmlformats.org/officeDocument/2006/relationships/externalLinkPath" Target="file:///N:\MPOD\Infrastructure%20Investment\02_Team_members\Carlos\3.%20CPI%20disaggregation%20in%20PT\A25_draft_Disagg_CPI_VAR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Div4\Fcast%20-%20NEW\Forecast%20rounds\May%202026\Driving\Suite%20models\Wage%20suite\Wage%20growth%20suite%20-%20M26%20draft.xlsx" TargetMode="External"/><Relationship Id="rId1" Type="http://schemas.openxmlformats.org/officeDocument/2006/relationships/externalLinkPath" Target="file:///N:\Div4\Fcast%20-%20NEW\Forecast%20rounds\May%202026\Driving\Suite%20models\Wage%20suite\Wage%20growth%20suite%20-%20M26%20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E Persistence2"/>
      <sheetName val="Controls and README"/>
      <sheetName val="VAR_variables"/>
      <sheetName val="data_levels"/>
      <sheetName val="VAR_controls"/>
      <sheetName val="FAME"/>
      <sheetName val="OIS"/>
      <sheetName val="--&gt; OUTPUT RESULTS (ReadMe)"/>
      <sheetName val="Comp Infl Exp"/>
      <sheetName val="A24Draft vs N24fin"/>
      <sheetName val="mthlyCF_q50"/>
      <sheetName val="mthlyCF_q5"/>
      <sheetName val="mthlyCF_q16"/>
      <sheetName val="mthlyCF_q84"/>
      <sheetName val="mthlyCF_q95"/>
      <sheetName val="mthlyCFMPC_q50"/>
      <sheetName val="mthlyCFQ2_q50"/>
      <sheetName val="mthlyUC_q50"/>
      <sheetName val="qrtlCF_q50"/>
      <sheetName val="qrtlCF_q5"/>
      <sheetName val="qrtlCF_q16"/>
      <sheetName val="qrtlCF_q84"/>
      <sheetName val="qrtlCF_q95"/>
      <sheetName val="qrtlCFMPC_q50"/>
      <sheetName val="qrtlCFQ2_q50"/>
      <sheetName val="qrtlUC_q50"/>
    </sheetNames>
    <sheetDataSet>
      <sheetData sheetId="0"/>
      <sheetData sheetId="1">
        <row r="3">
          <cell r="C3">
            <v>32905</v>
          </cell>
        </row>
        <row r="4">
          <cell r="C4" t="str">
            <v>A25</v>
          </cell>
        </row>
        <row r="5">
          <cell r="C5" t="str">
            <v>draft1</v>
          </cell>
        </row>
        <row r="7">
          <cell r="C7">
            <v>46022</v>
          </cell>
        </row>
        <row r="8">
          <cell r="C8">
            <v>47026</v>
          </cell>
        </row>
      </sheetData>
      <sheetData sheetId="2"/>
      <sheetData sheetId="3"/>
      <sheetData sheetId="4"/>
      <sheetData sheetId="5"/>
      <sheetData sheetId="6">
        <row r="6">
          <cell r="A6">
            <v>45869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E Persistence2"/>
      <sheetName val="Control"/>
      <sheetName val="For Drivers"/>
      <sheetName val="Growth &amp; levels swathes"/>
      <sheetName val="Swathes old vs new"/>
      <sheetName val="Forecast round data"/>
      <sheetName val="VAR expectations"/>
      <sheetName val="eviews input"/>
      <sheetName val="Adjustments"/>
      <sheetName val="Adjustments full sample"/>
      <sheetName val="Model 1 (best ECM) awerps"/>
      <sheetName val="Model 2 (Haldane) awerps"/>
      <sheetName val="Model 3 (Yellen) awerps"/>
      <sheetName val="Model 4 (New Yellen) awerps"/>
      <sheetName val="Charts"/>
      <sheetName val="Levels news (ECM)"/>
      <sheetName val="CECD data for adjustments"/>
      <sheetName val="Swathes full samples"/>
      <sheetName val="Model 1 (best ECM) full sample"/>
      <sheetName val="Model 2 (Haldane) full sample"/>
      <sheetName val="Model 3 (Yellen) full sample"/>
      <sheetName val="Model 3 (Yellen) awerps- fit 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">
          <cell r="C25">
            <v>3.1301783998157688</v>
          </cell>
        </row>
        <row r="26">
          <cell r="C26">
            <v>3.0051764513932908</v>
          </cell>
        </row>
        <row r="27">
          <cell r="C27">
            <v>2.8702283679431879</v>
          </cell>
        </row>
        <row r="28">
          <cell r="C28">
            <v>2.9134956808346839</v>
          </cell>
        </row>
        <row r="29">
          <cell r="C29">
            <v>2.9508797810805625</v>
          </cell>
        </row>
        <row r="30">
          <cell r="C30">
            <v>2.8381939548016515</v>
          </cell>
        </row>
        <row r="31">
          <cell r="C31">
            <v>2.8297561485681602</v>
          </cell>
        </row>
        <row r="32">
          <cell r="C32">
            <v>2.9321854674737633</v>
          </cell>
        </row>
        <row r="33">
          <cell r="C33">
            <v>2.851780044136321</v>
          </cell>
        </row>
        <row r="34">
          <cell r="C34">
            <v>2.6821380894467257</v>
          </cell>
        </row>
        <row r="35">
          <cell r="C35">
            <v>3.0527221681668375</v>
          </cell>
        </row>
        <row r="36">
          <cell r="C36">
            <v>2.8151174291133074</v>
          </cell>
        </row>
        <row r="37">
          <cell r="C37">
            <v>2.6154884948264598</v>
          </cell>
        </row>
        <row r="38">
          <cell r="C38">
            <v>2.6428562485995646</v>
          </cell>
        </row>
        <row r="39">
          <cell r="C39">
            <v>2.8292929206876933</v>
          </cell>
        </row>
        <row r="40">
          <cell r="C40">
            <v>2.782809710824401</v>
          </cell>
        </row>
        <row r="41">
          <cell r="C41">
            <v>2.9050115480316223</v>
          </cell>
        </row>
        <row r="42">
          <cell r="C42">
            <v>3.1797827097537499</v>
          </cell>
        </row>
        <row r="43">
          <cell r="C43">
            <v>3.4444390840252752</v>
          </cell>
        </row>
        <row r="44">
          <cell r="C44">
            <v>3.2371139634797124</v>
          </cell>
        </row>
        <row r="45">
          <cell r="C45">
            <v>3.3504016664521434</v>
          </cell>
        </row>
        <row r="46">
          <cell r="C46">
            <v>3.4355092923982902</v>
          </cell>
        </row>
        <row r="47">
          <cell r="C47">
            <v>3.0318466606958814</v>
          </cell>
        </row>
        <row r="48">
          <cell r="C48">
            <v>2.9135124750770758</v>
          </cell>
        </row>
        <row r="49">
          <cell r="C49">
            <v>2.7839723709682413</v>
          </cell>
        </row>
        <row r="50">
          <cell r="C50">
            <v>2.5771344994295728</v>
          </cell>
        </row>
        <row r="51">
          <cell r="C51">
            <v>2.6427151941363944</v>
          </cell>
        </row>
        <row r="52">
          <cell r="C52">
            <v>2.5107508450090452</v>
          </cell>
        </row>
        <row r="53">
          <cell r="C53">
            <v>2.480790509902373</v>
          </cell>
        </row>
        <row r="54">
          <cell r="C54">
            <v>2.4571125053402318</v>
          </cell>
        </row>
        <row r="55">
          <cell r="C55">
            <v>2.4793436532788289</v>
          </cell>
        </row>
        <row r="56">
          <cell r="C56">
            <v>2.2606623386544604</v>
          </cell>
        </row>
        <row r="57">
          <cell r="C57">
            <v>2.2219944984907083</v>
          </cell>
        </row>
        <row r="58">
          <cell r="C58">
            <v>2.3621300730309192</v>
          </cell>
        </row>
        <row r="59">
          <cell r="C59">
            <v>2.1718892232885554</v>
          </cell>
        </row>
        <row r="60">
          <cell r="C60">
            <v>2.2636382290406152</v>
          </cell>
        </row>
        <row r="61">
          <cell r="C61">
            <v>2.420078349479549</v>
          </cell>
        </row>
        <row r="62">
          <cell r="C62">
            <v>2.3348466240519783</v>
          </cell>
        </row>
        <row r="63">
          <cell r="C63">
            <v>2.329046618617225</v>
          </cell>
        </row>
        <row r="64">
          <cell r="C64">
            <v>2.5421835321638784</v>
          </cell>
        </row>
        <row r="65">
          <cell r="C65">
            <v>2.3887461732171329</v>
          </cell>
        </row>
        <row r="66">
          <cell r="C66">
            <v>2.197575219813666</v>
          </cell>
        </row>
        <row r="67">
          <cell r="C67">
            <v>2.507260502799705</v>
          </cell>
        </row>
        <row r="68">
          <cell r="C68">
            <v>2.5370974361013499</v>
          </cell>
        </row>
        <row r="69">
          <cell r="C69">
            <v>2.6184554615948845</v>
          </cell>
        </row>
        <row r="70">
          <cell r="C70">
            <v>2.5768443943169923</v>
          </cell>
        </row>
        <row r="71">
          <cell r="C71">
            <v>2.4054948631666009</v>
          </cell>
        </row>
        <row r="72">
          <cell r="C72">
            <v>2.3903185646503933</v>
          </cell>
        </row>
        <row r="73">
          <cell r="C73">
            <v>2.2621936183541234</v>
          </cell>
        </row>
        <row r="74">
          <cell r="C74">
            <v>2.2761535969954032</v>
          </cell>
        </row>
        <row r="75">
          <cell r="C75">
            <v>2.3383760137173226</v>
          </cell>
        </row>
        <row r="76">
          <cell r="C76">
            <v>2.4666666666666477</v>
          </cell>
        </row>
        <row r="77">
          <cell r="C77">
            <v>2.4000000000000123</v>
          </cell>
        </row>
        <row r="78">
          <cell r="C78">
            <v>2.2999999999999843</v>
          </cell>
        </row>
        <row r="79">
          <cell r="C79">
            <v>2.4333333333333633</v>
          </cell>
        </row>
        <row r="80">
          <cell r="C80">
            <v>2.5333333333333421</v>
          </cell>
        </row>
        <row r="81">
          <cell r="C81">
            <v>2.4666666666666814</v>
          </cell>
        </row>
        <row r="82">
          <cell r="C82">
            <v>2.4999999999999987</v>
          </cell>
        </row>
        <row r="83">
          <cell r="C83">
            <v>2.6999999999999864</v>
          </cell>
        </row>
        <row r="84">
          <cell r="C84">
            <v>3.3233333333333448</v>
          </cell>
        </row>
        <row r="85">
          <cell r="C85">
            <v>4.1266666666667335</v>
          </cell>
        </row>
        <row r="86">
          <cell r="C86">
            <v>4.3404589371979831</v>
          </cell>
        </row>
        <row r="87">
          <cell r="C87">
            <v>1.5441543026706288</v>
          </cell>
        </row>
        <row r="88">
          <cell r="C88">
            <v>1.4821164021163924</v>
          </cell>
        </row>
        <row r="89">
          <cell r="C89">
            <v>1.8160783232406086</v>
          </cell>
        </row>
        <row r="90">
          <cell r="C90">
            <v>1.8710162025955688</v>
          </cell>
        </row>
        <row r="91">
          <cell r="C91">
            <v>2.0075486250838721</v>
          </cell>
        </row>
        <row r="92">
          <cell r="C92">
            <v>2.301390043398611</v>
          </cell>
        </row>
        <row r="93">
          <cell r="C93">
            <v>2.6505886564059562</v>
          </cell>
        </row>
        <row r="94">
          <cell r="C94">
            <v>2.8352346264846378</v>
          </cell>
        </row>
        <row r="95">
          <cell r="C95">
            <v>3.2715136112828467</v>
          </cell>
        </row>
        <row r="96">
          <cell r="C96">
            <v>3.5419702495573993</v>
          </cell>
        </row>
        <row r="97">
          <cell r="C97">
            <v>3.375212504142874</v>
          </cell>
        </row>
        <row r="98">
          <cell r="C98">
            <v>3.4898805472145966</v>
          </cell>
        </row>
        <row r="99">
          <cell r="C99">
            <v>3.2213697643305159</v>
          </cell>
        </row>
        <row r="100">
          <cell r="C100">
            <v>2.6732813585155433</v>
          </cell>
        </row>
        <row r="101">
          <cell r="C101">
            <v>2.7328072825683152</v>
          </cell>
        </row>
        <row r="102">
          <cell r="C102">
            <v>2.6338769922366603</v>
          </cell>
        </row>
        <row r="103">
          <cell r="C103">
            <v>2.8395493192289751</v>
          </cell>
        </row>
        <row r="104">
          <cell r="C104">
            <v>2.7984394444998073</v>
          </cell>
        </row>
        <row r="105">
          <cell r="C105">
            <v>2.5464188172083313</v>
          </cell>
        </row>
        <row r="106">
          <cell r="C106">
            <v>2.5748216030053293</v>
          </cell>
        </row>
        <row r="107">
          <cell r="C107">
            <v>2.8319255146371365</v>
          </cell>
        </row>
        <row r="108">
          <cell r="C108">
            <v>2.2293252935517471</v>
          </cell>
        </row>
        <row r="109">
          <cell r="C109">
            <v>2.056924231171823</v>
          </cell>
        </row>
        <row r="110">
          <cell r="C110">
            <v>2.1248729237613553</v>
          </cell>
        </row>
        <row r="111">
          <cell r="C111">
            <v>1.7035599242558022</v>
          </cell>
        </row>
        <row r="112">
          <cell r="C112">
            <v>1.1817637648378063</v>
          </cell>
        </row>
        <row r="113">
          <cell r="C113">
            <v>1.1947961687177484</v>
          </cell>
        </row>
        <row r="114">
          <cell r="C114">
            <v>1.4668407504949574</v>
          </cell>
        </row>
        <row r="115">
          <cell r="C115">
            <v>1.2905237090286479</v>
          </cell>
        </row>
        <row r="116">
          <cell r="C116">
            <v>1.4081096049117914</v>
          </cell>
        </row>
        <row r="117">
          <cell r="C117">
            <v>1.5354544995855299</v>
          </cell>
        </row>
        <row r="118">
          <cell r="C118">
            <v>1.7661002699234809</v>
          </cell>
        </row>
        <row r="119">
          <cell r="C119">
            <v>2.4293341619440096</v>
          </cell>
        </row>
        <row r="120">
          <cell r="C120">
            <v>2.5776958521780435</v>
          </cell>
        </row>
        <row r="121">
          <cell r="C121">
            <v>2.5814129404766706</v>
          </cell>
        </row>
        <row r="122">
          <cell r="C122">
            <v>2.5453003999512136</v>
          </cell>
        </row>
        <row r="123">
          <cell r="C123">
            <v>2.7170212072523583</v>
          </cell>
        </row>
        <row r="124">
          <cell r="C124">
            <v>2.4396786818528224</v>
          </cell>
        </row>
        <row r="125">
          <cell r="C125">
            <v>2.4860103785103598</v>
          </cell>
        </row>
        <row r="126">
          <cell r="C126">
            <v>2.6759360893479318</v>
          </cell>
        </row>
        <row r="127">
          <cell r="C127">
            <v>2.7140589507350836</v>
          </cell>
        </row>
        <row r="128">
          <cell r="C128">
            <v>2.7331364493732195</v>
          </cell>
        </row>
        <row r="129">
          <cell r="C129">
            <v>2.6212425518623172</v>
          </cell>
        </row>
        <row r="130">
          <cell r="C130">
            <v>2.9781745842670815</v>
          </cell>
        </row>
        <row r="131">
          <cell r="C131">
            <v>2.5033196655575458</v>
          </cell>
        </row>
        <row r="132">
          <cell r="C132">
            <v>2.6753569594618285</v>
          </cell>
        </row>
        <row r="133">
          <cell r="C133">
            <v>3.0786650622291059</v>
          </cell>
        </row>
        <row r="134">
          <cell r="C134">
            <v>3.1319434989789481</v>
          </cell>
        </row>
        <row r="135">
          <cell r="C135">
            <v>3.4145577808828897</v>
          </cell>
        </row>
        <row r="136">
          <cell r="C136">
            <v>2.9821807365306072</v>
          </cell>
        </row>
        <row r="137">
          <cell r="C137">
            <v>2.7653976909254645</v>
          </cell>
        </row>
        <row r="138">
          <cell r="C138">
            <v>3.4330399377282408</v>
          </cell>
        </row>
        <row r="139">
          <cell r="C139">
            <v>5.1936780789271362</v>
          </cell>
        </row>
        <row r="140">
          <cell r="C140">
            <v>6.6732619097853254</v>
          </cell>
        </row>
        <row r="141">
          <cell r="C141">
            <v>8.7447876447877011</v>
          </cell>
        </row>
        <row r="142">
          <cell r="C142">
            <v>8.9090090090090914</v>
          </cell>
        </row>
        <row r="143">
          <cell r="C143">
            <v>7.2128482156615119</v>
          </cell>
        </row>
        <row r="144">
          <cell r="C144">
            <v>5.4496808271530108</v>
          </cell>
        </row>
        <row r="145">
          <cell r="C145">
            <v>4.9659010810981856</v>
          </cell>
        </row>
        <row r="146">
          <cell r="C146">
            <v>4.3007323969777262</v>
          </cell>
        </row>
        <row r="147">
          <cell r="C147">
            <v>3.8582721147576735</v>
          </cell>
        </row>
        <row r="148">
          <cell r="C148">
            <v>3.6255376960251078</v>
          </cell>
        </row>
        <row r="149">
          <cell r="C149">
            <v>2.979353541970323</v>
          </cell>
        </row>
        <row r="150">
          <cell r="C150">
            <v>2.9717312535901965</v>
          </cell>
        </row>
        <row r="151">
          <cell r="C151">
            <v>3.468785277541127</v>
          </cell>
        </row>
        <row r="152">
          <cell r="C152">
            <v>3.8021957884789486</v>
          </cell>
        </row>
        <row r="153">
          <cell r="C153">
            <v>4.011042611251681</v>
          </cell>
        </row>
        <row r="154">
          <cell r="C154">
            <v>3.9691108090385026</v>
          </cell>
        </row>
        <row r="155">
          <cell r="C155">
            <v>3.8470567349792795</v>
          </cell>
        </row>
        <row r="156">
          <cell r="C156">
            <v>4.1639091291217634</v>
          </cell>
        </row>
        <row r="157">
          <cell r="C157">
            <v>5.4104651194166893</v>
          </cell>
        </row>
        <row r="158">
          <cell r="C158">
            <v>4.9139696600199789</v>
          </cell>
        </row>
        <row r="159">
          <cell r="C159">
            <v>4.0011512098701685</v>
          </cell>
        </row>
        <row r="160">
          <cell r="C160">
            <v>3.3715300668176842</v>
          </cell>
        </row>
        <row r="161">
          <cell r="C161">
            <v>2.9319715449134089</v>
          </cell>
        </row>
        <row r="162">
          <cell r="C162">
            <v>2.624058833894372</v>
          </cell>
        </row>
        <row r="163">
          <cell r="C163">
            <v>2.4687156565697737</v>
          </cell>
        </row>
        <row r="164">
          <cell r="C164">
            <v>2.4272584547421974</v>
          </cell>
        </row>
        <row r="165">
          <cell r="C165">
            <v>2.4505337246023733</v>
          </cell>
        </row>
        <row r="166">
          <cell r="C166">
            <v>2.4399426350808717</v>
          </cell>
        </row>
        <row r="167">
          <cell r="C167">
            <v>2.4724757454078841</v>
          </cell>
        </row>
        <row r="168">
          <cell r="C168">
            <v>2.5381252562448622</v>
          </cell>
        </row>
        <row r="169">
          <cell r="C169">
            <v>2.6576871518365146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4B09-2865-4BA7-928C-0D36E9800BDD}">
  <dimension ref="A1:N248"/>
  <sheetViews>
    <sheetView workbookViewId="0"/>
  </sheetViews>
  <sheetFormatPr defaultRowHeight="15" x14ac:dyDescent="0.25"/>
  <sheetData>
    <row r="1" spans="1:14" x14ac:dyDescent="0.25">
      <c r="A1">
        <v>247</v>
      </c>
      <c r="B1" t="s">
        <v>195</v>
      </c>
    </row>
    <row r="2" spans="1:14" x14ac:dyDescent="0.25">
      <c r="A2" s="18" t="s">
        <v>195</v>
      </c>
      <c r="B2" t="s">
        <v>80</v>
      </c>
      <c r="D2" t="e">
        <v>#N/A</v>
      </c>
      <c r="E2" s="19">
        <v>0</v>
      </c>
      <c r="F2" t="b">
        <v>1</v>
      </c>
      <c r="G2" s="18" t="s">
        <v>196</v>
      </c>
      <c r="H2" s="18" t="s">
        <v>7</v>
      </c>
      <c r="I2" s="18" t="s">
        <v>193</v>
      </c>
      <c r="J2">
        <v>0</v>
      </c>
      <c r="K2" s="18" t="s">
        <v>81</v>
      </c>
      <c r="L2" t="b">
        <v>0</v>
      </c>
      <c r="M2" t="b">
        <v>0</v>
      </c>
      <c r="N2" t="b">
        <v>0</v>
      </c>
    </row>
    <row r="3" spans="1:14" x14ac:dyDescent="0.25">
      <c r="A3" s="18" t="s">
        <v>195</v>
      </c>
      <c r="B3" t="s">
        <v>82</v>
      </c>
      <c r="D3" t="e">
        <v>#N/A</v>
      </c>
      <c r="E3" s="19">
        <v>0</v>
      </c>
      <c r="F3" t="b">
        <v>1</v>
      </c>
      <c r="G3" s="18" t="s">
        <v>197</v>
      </c>
      <c r="H3" s="18" t="s">
        <v>7</v>
      </c>
      <c r="I3" s="18" t="s">
        <v>193</v>
      </c>
      <c r="J3">
        <v>0</v>
      </c>
      <c r="K3" s="18" t="s">
        <v>81</v>
      </c>
      <c r="L3" t="b">
        <v>0</v>
      </c>
      <c r="M3" t="b">
        <v>0</v>
      </c>
      <c r="N3" t="b">
        <v>0</v>
      </c>
    </row>
    <row r="4" spans="1:14" x14ac:dyDescent="0.25">
      <c r="A4" s="18" t="s">
        <v>195</v>
      </c>
      <c r="B4" t="s">
        <v>83</v>
      </c>
      <c r="D4" t="e">
        <v>#N/A</v>
      </c>
      <c r="E4" s="19">
        <v>0</v>
      </c>
      <c r="F4" t="b">
        <v>1</v>
      </c>
      <c r="G4" s="18" t="s">
        <v>198</v>
      </c>
      <c r="H4" s="18" t="s">
        <v>7</v>
      </c>
      <c r="I4" s="18" t="s">
        <v>193</v>
      </c>
      <c r="J4">
        <v>0</v>
      </c>
      <c r="K4" s="18" t="s">
        <v>81</v>
      </c>
      <c r="L4" t="b">
        <v>0</v>
      </c>
      <c r="M4" t="b">
        <v>0</v>
      </c>
      <c r="N4" t="b">
        <v>0</v>
      </c>
    </row>
    <row r="5" spans="1:14" x14ac:dyDescent="0.25">
      <c r="A5" s="18" t="s">
        <v>195</v>
      </c>
      <c r="B5" t="s">
        <v>84</v>
      </c>
      <c r="D5" t="e">
        <v>#N/A</v>
      </c>
      <c r="E5" s="19">
        <v>0</v>
      </c>
      <c r="F5" t="b">
        <v>1</v>
      </c>
      <c r="G5" s="18" t="s">
        <v>199</v>
      </c>
      <c r="H5" s="18" t="s">
        <v>7</v>
      </c>
      <c r="I5" s="18" t="s">
        <v>193</v>
      </c>
      <c r="J5">
        <v>0</v>
      </c>
      <c r="K5" s="18" t="s">
        <v>81</v>
      </c>
      <c r="L5" t="b">
        <v>0</v>
      </c>
      <c r="M5" t="b">
        <v>0</v>
      </c>
      <c r="N5" t="b">
        <v>0</v>
      </c>
    </row>
    <row r="6" spans="1:14" x14ac:dyDescent="0.25">
      <c r="A6" s="18" t="s">
        <v>195</v>
      </c>
      <c r="B6" t="s">
        <v>85</v>
      </c>
      <c r="D6" t="e">
        <v>#N/A</v>
      </c>
      <c r="E6" s="19">
        <v>0</v>
      </c>
      <c r="F6" t="b">
        <v>1</v>
      </c>
      <c r="G6" s="18" t="s">
        <v>200</v>
      </c>
      <c r="H6" s="18" t="s">
        <v>7</v>
      </c>
      <c r="I6" s="18" t="s">
        <v>193</v>
      </c>
      <c r="J6">
        <v>0</v>
      </c>
      <c r="K6" s="18" t="s">
        <v>81</v>
      </c>
      <c r="L6" t="b">
        <v>0</v>
      </c>
      <c r="M6" t="b">
        <v>0</v>
      </c>
      <c r="N6" t="b">
        <v>0</v>
      </c>
    </row>
    <row r="7" spans="1:14" x14ac:dyDescent="0.25">
      <c r="A7" s="18" t="s">
        <v>195</v>
      </c>
      <c r="B7" t="s">
        <v>86</v>
      </c>
      <c r="D7" t="e">
        <v>#N/A</v>
      </c>
      <c r="E7" s="19">
        <v>0</v>
      </c>
      <c r="F7" t="b">
        <v>1</v>
      </c>
      <c r="G7" s="18" t="s">
        <v>201</v>
      </c>
      <c r="H7" s="18" t="s">
        <v>7</v>
      </c>
      <c r="I7" s="18" t="s">
        <v>193</v>
      </c>
      <c r="J7">
        <v>0</v>
      </c>
      <c r="K7" s="18" t="s">
        <v>81</v>
      </c>
      <c r="L7" t="b">
        <v>0</v>
      </c>
      <c r="M7" t="b">
        <v>0</v>
      </c>
      <c r="N7" t="b">
        <v>0</v>
      </c>
    </row>
    <row r="8" spans="1:14" x14ac:dyDescent="0.25">
      <c r="A8" s="18" t="s">
        <v>195</v>
      </c>
      <c r="B8" t="s">
        <v>87</v>
      </c>
      <c r="D8" t="e">
        <v>#N/A</v>
      </c>
      <c r="E8" s="19">
        <v>0</v>
      </c>
      <c r="F8" t="b">
        <v>1</v>
      </c>
      <c r="G8" s="18" t="s">
        <v>202</v>
      </c>
      <c r="H8" s="18" t="s">
        <v>7</v>
      </c>
      <c r="I8" s="18" t="s">
        <v>193</v>
      </c>
      <c r="J8">
        <v>0</v>
      </c>
      <c r="K8" s="18" t="s">
        <v>81</v>
      </c>
      <c r="L8" t="b">
        <v>0</v>
      </c>
      <c r="M8" t="b">
        <v>0</v>
      </c>
      <c r="N8" t="b">
        <v>0</v>
      </c>
    </row>
    <row r="9" spans="1:14" x14ac:dyDescent="0.25">
      <c r="A9" s="18" t="s">
        <v>195</v>
      </c>
      <c r="B9" t="s">
        <v>88</v>
      </c>
      <c r="D9" t="e">
        <v>#N/A</v>
      </c>
      <c r="E9" s="19">
        <v>0</v>
      </c>
      <c r="F9" t="b">
        <v>1</v>
      </c>
      <c r="G9" s="18" t="s">
        <v>203</v>
      </c>
      <c r="H9" s="18" t="s">
        <v>7</v>
      </c>
      <c r="I9" s="18" t="s">
        <v>13</v>
      </c>
      <c r="J9">
        <v>0</v>
      </c>
      <c r="K9" s="18" t="s">
        <v>81</v>
      </c>
      <c r="L9" t="b">
        <v>0</v>
      </c>
      <c r="M9" t="b">
        <v>0</v>
      </c>
      <c r="N9" t="b">
        <v>0</v>
      </c>
    </row>
    <row r="10" spans="1:14" x14ac:dyDescent="0.25">
      <c r="A10" s="18" t="s">
        <v>195</v>
      </c>
      <c r="B10" t="s">
        <v>90</v>
      </c>
      <c r="C10" t="s">
        <v>91</v>
      </c>
      <c r="D10">
        <v>68.3476703233937</v>
      </c>
      <c r="E10" s="20">
        <v>46178.497974537036</v>
      </c>
      <c r="F10" t="b">
        <v>1</v>
      </c>
      <c r="G10" s="18" t="s">
        <v>204</v>
      </c>
      <c r="H10" s="18" t="s">
        <v>7</v>
      </c>
      <c r="I10" s="18" t="s">
        <v>10</v>
      </c>
      <c r="J10">
        <v>0</v>
      </c>
      <c r="K10" s="18" t="s">
        <v>81</v>
      </c>
      <c r="L10" t="b">
        <v>0</v>
      </c>
      <c r="M10" t="b">
        <v>0</v>
      </c>
      <c r="N10" t="b">
        <v>0</v>
      </c>
    </row>
    <row r="11" spans="1:14" x14ac:dyDescent="0.25">
      <c r="A11" s="18" t="s">
        <v>195</v>
      </c>
      <c r="B11" t="s">
        <v>93</v>
      </c>
      <c r="C11" t="s">
        <v>91</v>
      </c>
      <c r="D11">
        <v>0.87462265142754203</v>
      </c>
      <c r="E11" s="20">
        <v>46178.497974537036</v>
      </c>
      <c r="F11" t="b">
        <v>1</v>
      </c>
      <c r="G11" s="18" t="s">
        <v>205</v>
      </c>
      <c r="H11" s="18" t="s">
        <v>7</v>
      </c>
      <c r="I11" s="18" t="s">
        <v>10</v>
      </c>
      <c r="J11">
        <v>0</v>
      </c>
      <c r="K11" s="18" t="s">
        <v>81</v>
      </c>
      <c r="L11" t="b">
        <v>0</v>
      </c>
      <c r="M11" t="b">
        <v>0</v>
      </c>
      <c r="N11" t="b">
        <v>0</v>
      </c>
    </row>
    <row r="12" spans="1:14" x14ac:dyDescent="0.25">
      <c r="A12" s="18" t="s">
        <v>195</v>
      </c>
      <c r="B12" t="s">
        <v>95</v>
      </c>
      <c r="C12" t="s">
        <v>91</v>
      </c>
      <c r="D12">
        <v>80.896181538461505</v>
      </c>
      <c r="E12" s="20">
        <v>46178.497974537036</v>
      </c>
      <c r="F12" t="b">
        <v>1</v>
      </c>
      <c r="G12" s="18" t="s">
        <v>206</v>
      </c>
      <c r="H12" s="18" t="s">
        <v>7</v>
      </c>
      <c r="I12" s="18" t="s">
        <v>10</v>
      </c>
      <c r="J12">
        <v>0</v>
      </c>
      <c r="K12" s="18" t="s">
        <v>81</v>
      </c>
      <c r="L12" t="b">
        <v>0</v>
      </c>
      <c r="M12" t="b">
        <v>0</v>
      </c>
      <c r="N12" t="b">
        <v>0</v>
      </c>
    </row>
    <row r="13" spans="1:14" x14ac:dyDescent="0.25">
      <c r="A13" s="18" t="s">
        <v>195</v>
      </c>
      <c r="B13" t="s">
        <v>97</v>
      </c>
      <c r="C13" t="s">
        <v>91</v>
      </c>
      <c r="D13">
        <v>0.3</v>
      </c>
      <c r="E13" s="20">
        <v>46178.497974537036</v>
      </c>
      <c r="F13" t="b">
        <v>1</v>
      </c>
      <c r="G13" s="18" t="s">
        <v>207</v>
      </c>
      <c r="H13" s="18" t="s">
        <v>7</v>
      </c>
      <c r="I13" s="18" t="s">
        <v>10</v>
      </c>
      <c r="J13">
        <v>0</v>
      </c>
      <c r="K13" s="18" t="s">
        <v>81</v>
      </c>
      <c r="L13" t="b">
        <v>0</v>
      </c>
      <c r="M13" t="b">
        <v>0</v>
      </c>
      <c r="N13" t="b">
        <v>0</v>
      </c>
    </row>
    <row r="14" spans="1:14" x14ac:dyDescent="0.25">
      <c r="A14" s="18" t="s">
        <v>195</v>
      </c>
      <c r="B14" t="s">
        <v>99</v>
      </c>
      <c r="D14" t="e">
        <v>#N/A</v>
      </c>
      <c r="E14" s="19">
        <v>0</v>
      </c>
      <c r="F14" t="b">
        <v>1</v>
      </c>
      <c r="G14" s="18" t="s">
        <v>208</v>
      </c>
      <c r="H14" s="18" t="s">
        <v>7</v>
      </c>
      <c r="I14" s="18" t="s">
        <v>10</v>
      </c>
      <c r="J14">
        <v>0</v>
      </c>
      <c r="K14" s="18" t="s">
        <v>81</v>
      </c>
      <c r="L14" t="b">
        <v>0</v>
      </c>
      <c r="M14" t="b">
        <v>0</v>
      </c>
      <c r="N14" t="b">
        <v>0</v>
      </c>
    </row>
    <row r="15" spans="1:14" x14ac:dyDescent="0.25">
      <c r="A15" s="18" t="s">
        <v>195</v>
      </c>
      <c r="B15" t="s">
        <v>101</v>
      </c>
      <c r="C15" t="s">
        <v>91</v>
      </c>
      <c r="D15">
        <v>330</v>
      </c>
      <c r="E15" s="20">
        <v>46178.497997685183</v>
      </c>
      <c r="F15" t="b">
        <v>1</v>
      </c>
      <c r="G15" s="18" t="s">
        <v>47</v>
      </c>
      <c r="H15" s="18" t="s">
        <v>7</v>
      </c>
      <c r="I15" s="18" t="s">
        <v>10</v>
      </c>
      <c r="J15">
        <v>0</v>
      </c>
      <c r="K15" s="18" t="s">
        <v>81</v>
      </c>
      <c r="L15" t="b">
        <v>0</v>
      </c>
      <c r="M15" t="b">
        <v>0</v>
      </c>
      <c r="N15" t="b">
        <v>0</v>
      </c>
    </row>
    <row r="16" spans="1:14" x14ac:dyDescent="0.25">
      <c r="A16" s="18" t="s">
        <v>195</v>
      </c>
      <c r="B16" t="s">
        <v>102</v>
      </c>
      <c r="C16" t="s">
        <v>91</v>
      </c>
      <c r="D16">
        <v>85</v>
      </c>
      <c r="E16" s="20">
        <v>46178.497997685183</v>
      </c>
      <c r="F16" t="b">
        <v>1</v>
      </c>
      <c r="G16" s="18" t="s">
        <v>48</v>
      </c>
      <c r="H16" s="18" t="s">
        <v>7</v>
      </c>
      <c r="I16" s="18" t="s">
        <v>10</v>
      </c>
      <c r="J16">
        <v>0</v>
      </c>
      <c r="K16" s="18" t="s">
        <v>81</v>
      </c>
      <c r="L16" t="b">
        <v>0</v>
      </c>
      <c r="M16" t="b">
        <v>0</v>
      </c>
      <c r="N16" t="b">
        <v>0</v>
      </c>
    </row>
    <row r="17" spans="1:14" x14ac:dyDescent="0.25">
      <c r="A17" s="18" t="s">
        <v>195</v>
      </c>
      <c r="B17" t="s">
        <v>103</v>
      </c>
      <c r="C17" t="s">
        <v>91</v>
      </c>
      <c r="D17">
        <v>359</v>
      </c>
      <c r="E17" s="20">
        <v>46178.497997685183</v>
      </c>
      <c r="F17" t="b">
        <v>1</v>
      </c>
      <c r="G17" s="18" t="s">
        <v>49</v>
      </c>
      <c r="H17" s="18" t="s">
        <v>7</v>
      </c>
      <c r="I17" s="18" t="s">
        <v>10</v>
      </c>
      <c r="J17">
        <v>0</v>
      </c>
      <c r="K17" s="18" t="s">
        <v>81</v>
      </c>
      <c r="L17" t="b">
        <v>0</v>
      </c>
      <c r="M17" t="b">
        <v>0</v>
      </c>
      <c r="N17" t="b">
        <v>0</v>
      </c>
    </row>
    <row r="18" spans="1:14" x14ac:dyDescent="0.25">
      <c r="A18" s="18" t="s">
        <v>195</v>
      </c>
      <c r="B18" t="s">
        <v>104</v>
      </c>
      <c r="C18" t="s">
        <v>91</v>
      </c>
      <c r="D18">
        <v>156</v>
      </c>
      <c r="E18" s="20">
        <v>46178.497997685183</v>
      </c>
      <c r="F18" t="b">
        <v>1</v>
      </c>
      <c r="G18" s="18" t="s">
        <v>50</v>
      </c>
      <c r="H18" s="18" t="s">
        <v>7</v>
      </c>
      <c r="I18" s="18" t="s">
        <v>10</v>
      </c>
      <c r="J18">
        <v>0</v>
      </c>
      <c r="K18" s="18" t="s">
        <v>81</v>
      </c>
      <c r="L18" t="b">
        <v>0</v>
      </c>
      <c r="M18" t="b">
        <v>0</v>
      </c>
      <c r="N18" t="b">
        <v>0</v>
      </c>
    </row>
    <row r="19" spans="1:14" x14ac:dyDescent="0.25">
      <c r="A19" s="18" t="s">
        <v>195</v>
      </c>
      <c r="B19" t="s">
        <v>105</v>
      </c>
      <c r="C19" t="s">
        <v>91</v>
      </c>
      <c r="D19">
        <v>35</v>
      </c>
      <c r="E19" s="20">
        <v>46178.497997685183</v>
      </c>
      <c r="F19" t="b">
        <v>1</v>
      </c>
      <c r="G19" s="18" t="s">
        <v>51</v>
      </c>
      <c r="H19" s="18" t="s">
        <v>7</v>
      </c>
      <c r="I19" s="18" t="s">
        <v>10</v>
      </c>
      <c r="J19">
        <v>0</v>
      </c>
      <c r="K19" s="18" t="s">
        <v>81</v>
      </c>
      <c r="L19" t="b">
        <v>0</v>
      </c>
      <c r="M19" t="b">
        <v>0</v>
      </c>
      <c r="N19" t="b">
        <v>0</v>
      </c>
    </row>
    <row r="20" spans="1:14" x14ac:dyDescent="0.25">
      <c r="A20" s="18" t="s">
        <v>195</v>
      </c>
      <c r="B20" t="s">
        <v>106</v>
      </c>
      <c r="C20" t="s">
        <v>91</v>
      </c>
      <c r="D20">
        <v>35</v>
      </c>
      <c r="E20" s="20">
        <v>46178.497997685183</v>
      </c>
      <c r="F20" t="b">
        <v>1</v>
      </c>
      <c r="G20" s="18" t="s">
        <v>52</v>
      </c>
      <c r="H20" s="18" t="s">
        <v>7</v>
      </c>
      <c r="I20" s="18" t="s">
        <v>10</v>
      </c>
      <c r="J20">
        <v>0</v>
      </c>
      <c r="K20" s="18" t="s">
        <v>81</v>
      </c>
      <c r="L20" t="b">
        <v>0</v>
      </c>
      <c r="M20" t="b">
        <v>0</v>
      </c>
      <c r="N20" t="b">
        <v>0</v>
      </c>
    </row>
    <row r="21" spans="1:14" x14ac:dyDescent="0.25">
      <c r="A21" s="18" t="s">
        <v>118</v>
      </c>
      <c r="B21" t="s">
        <v>80</v>
      </c>
      <c r="D21" t="e">
        <v>#N/A</v>
      </c>
      <c r="E21" s="19">
        <v>0</v>
      </c>
      <c r="F21" t="b">
        <v>1</v>
      </c>
      <c r="G21" s="18" t="s">
        <v>209</v>
      </c>
      <c r="H21" s="18" t="s">
        <v>7</v>
      </c>
      <c r="I21" s="18" t="s">
        <v>193</v>
      </c>
      <c r="J21">
        <v>0</v>
      </c>
      <c r="K21" s="18" t="s">
        <v>81</v>
      </c>
      <c r="L21" t="b">
        <v>0</v>
      </c>
      <c r="M21" t="b">
        <v>0</v>
      </c>
      <c r="N21" t="b">
        <v>0</v>
      </c>
    </row>
    <row r="22" spans="1:14" x14ac:dyDescent="0.25">
      <c r="A22" s="18" t="s">
        <v>118</v>
      </c>
      <c r="B22" t="s">
        <v>82</v>
      </c>
      <c r="D22" t="e">
        <v>#N/A</v>
      </c>
      <c r="E22" s="19">
        <v>0</v>
      </c>
      <c r="F22" t="b">
        <v>1</v>
      </c>
      <c r="G22" s="18" t="s">
        <v>210</v>
      </c>
      <c r="H22" s="18" t="s">
        <v>7</v>
      </c>
      <c r="I22" s="18" t="s">
        <v>193</v>
      </c>
      <c r="J22">
        <v>0</v>
      </c>
      <c r="K22" s="18" t="s">
        <v>81</v>
      </c>
      <c r="L22" t="b">
        <v>0</v>
      </c>
      <c r="M22" t="b">
        <v>0</v>
      </c>
      <c r="N22" t="b">
        <v>0</v>
      </c>
    </row>
    <row r="23" spans="1:14" x14ac:dyDescent="0.25">
      <c r="A23" s="18" t="s">
        <v>118</v>
      </c>
      <c r="B23" t="s">
        <v>83</v>
      </c>
      <c r="D23" t="e">
        <v>#N/A</v>
      </c>
      <c r="E23" s="19">
        <v>0</v>
      </c>
      <c r="F23" t="b">
        <v>1</v>
      </c>
      <c r="G23" s="18" t="s">
        <v>211</v>
      </c>
      <c r="H23" s="18" t="s">
        <v>7</v>
      </c>
      <c r="I23" s="18" t="s">
        <v>193</v>
      </c>
      <c r="J23">
        <v>0</v>
      </c>
      <c r="K23" s="18" t="s">
        <v>81</v>
      </c>
      <c r="L23" t="b">
        <v>0</v>
      </c>
      <c r="M23" t="b">
        <v>0</v>
      </c>
      <c r="N23" t="b">
        <v>0</v>
      </c>
    </row>
    <row r="24" spans="1:14" x14ac:dyDescent="0.25">
      <c r="A24" s="18" t="s">
        <v>118</v>
      </c>
      <c r="B24" t="s">
        <v>84</v>
      </c>
      <c r="D24" t="e">
        <v>#N/A</v>
      </c>
      <c r="E24" s="19">
        <v>0</v>
      </c>
      <c r="F24" t="b">
        <v>1</v>
      </c>
      <c r="G24" s="18" t="s">
        <v>199</v>
      </c>
      <c r="H24" s="18" t="s">
        <v>7</v>
      </c>
      <c r="I24" s="18" t="s">
        <v>193</v>
      </c>
      <c r="J24">
        <v>0</v>
      </c>
      <c r="K24" s="18" t="s">
        <v>81</v>
      </c>
      <c r="L24" t="b">
        <v>0</v>
      </c>
      <c r="M24" t="b">
        <v>0</v>
      </c>
      <c r="N24" t="b">
        <v>0</v>
      </c>
    </row>
    <row r="25" spans="1:14" x14ac:dyDescent="0.25">
      <c r="A25" s="18" t="s">
        <v>118</v>
      </c>
      <c r="B25" t="s">
        <v>85</v>
      </c>
      <c r="D25" t="e">
        <v>#N/A</v>
      </c>
      <c r="E25" s="19">
        <v>0</v>
      </c>
      <c r="F25" t="b">
        <v>1</v>
      </c>
      <c r="G25" s="18" t="s">
        <v>212</v>
      </c>
      <c r="H25" s="18" t="s">
        <v>7</v>
      </c>
      <c r="I25" s="18" t="s">
        <v>193</v>
      </c>
      <c r="J25">
        <v>0</v>
      </c>
      <c r="K25" s="18" t="s">
        <v>81</v>
      </c>
      <c r="L25" t="b">
        <v>0</v>
      </c>
      <c r="M25" t="b">
        <v>0</v>
      </c>
      <c r="N25" t="b">
        <v>0</v>
      </c>
    </row>
    <row r="26" spans="1:14" x14ac:dyDescent="0.25">
      <c r="A26" s="18" t="s">
        <v>118</v>
      </c>
      <c r="B26" t="s">
        <v>86</v>
      </c>
      <c r="D26" t="e">
        <v>#N/A</v>
      </c>
      <c r="E26" s="19">
        <v>0</v>
      </c>
      <c r="F26" t="b">
        <v>1</v>
      </c>
      <c r="G26" s="18" t="s">
        <v>201</v>
      </c>
      <c r="H26" s="18" t="s">
        <v>7</v>
      </c>
      <c r="I26" s="18" t="s">
        <v>193</v>
      </c>
      <c r="J26">
        <v>0</v>
      </c>
      <c r="K26" s="18" t="s">
        <v>81</v>
      </c>
      <c r="L26" t="b">
        <v>0</v>
      </c>
      <c r="M26" t="b">
        <v>0</v>
      </c>
      <c r="N26" t="b">
        <v>0</v>
      </c>
    </row>
    <row r="27" spans="1:14" x14ac:dyDescent="0.25">
      <c r="A27" s="18" t="s">
        <v>118</v>
      </c>
      <c r="B27" t="s">
        <v>87</v>
      </c>
      <c r="D27" t="e">
        <v>#N/A</v>
      </c>
      <c r="E27" s="19">
        <v>0</v>
      </c>
      <c r="F27" t="b">
        <v>1</v>
      </c>
      <c r="G27" s="18" t="s">
        <v>202</v>
      </c>
      <c r="H27" s="18" t="s">
        <v>7</v>
      </c>
      <c r="I27" s="18" t="s">
        <v>193</v>
      </c>
      <c r="J27">
        <v>0</v>
      </c>
      <c r="K27" s="18" t="s">
        <v>81</v>
      </c>
      <c r="L27" t="b">
        <v>0</v>
      </c>
      <c r="M27" t="b">
        <v>0</v>
      </c>
      <c r="N27" t="b">
        <v>0</v>
      </c>
    </row>
    <row r="28" spans="1:14" x14ac:dyDescent="0.25">
      <c r="A28" s="18" t="s">
        <v>118</v>
      </c>
      <c r="B28" t="s">
        <v>88</v>
      </c>
      <c r="D28" t="e">
        <v>#N/A</v>
      </c>
      <c r="E28" s="19">
        <v>0</v>
      </c>
      <c r="F28" t="b">
        <v>1</v>
      </c>
      <c r="G28" s="18" t="s">
        <v>119</v>
      </c>
      <c r="H28" s="18" t="s">
        <v>7</v>
      </c>
      <c r="I28" s="18" t="s">
        <v>13</v>
      </c>
      <c r="J28">
        <v>0</v>
      </c>
      <c r="K28" s="18" t="s">
        <v>81</v>
      </c>
      <c r="L28" t="b">
        <v>0</v>
      </c>
      <c r="M28" t="b">
        <v>0</v>
      </c>
      <c r="N28" t="b">
        <v>0</v>
      </c>
    </row>
    <row r="29" spans="1:14" x14ac:dyDescent="0.25">
      <c r="A29" s="18" t="s">
        <v>118</v>
      </c>
      <c r="B29" t="s">
        <v>90</v>
      </c>
      <c r="C29" t="s">
        <v>91</v>
      </c>
      <c r="D29">
        <v>68.347630828648306</v>
      </c>
      <c r="E29" s="20">
        <v>46178.498055555552</v>
      </c>
      <c r="F29" t="b">
        <v>1</v>
      </c>
      <c r="G29" s="18" t="s">
        <v>120</v>
      </c>
      <c r="H29" s="18" t="s">
        <v>7</v>
      </c>
      <c r="I29" s="18" t="s">
        <v>10</v>
      </c>
      <c r="J29">
        <v>0</v>
      </c>
      <c r="K29" s="18" t="s">
        <v>81</v>
      </c>
      <c r="L29" t="b">
        <v>0</v>
      </c>
      <c r="M29" t="b">
        <v>0</v>
      </c>
      <c r="N29" t="b">
        <v>0</v>
      </c>
    </row>
    <row r="30" spans="1:14" x14ac:dyDescent="0.25">
      <c r="A30" s="18" t="s">
        <v>118</v>
      </c>
      <c r="B30" t="s">
        <v>93</v>
      </c>
      <c r="C30" t="s">
        <v>91</v>
      </c>
      <c r="D30">
        <v>0.87462265142754203</v>
      </c>
      <c r="E30" s="20">
        <v>46178.498067129629</v>
      </c>
      <c r="F30" t="b">
        <v>1</v>
      </c>
      <c r="G30" s="18" t="s">
        <v>121</v>
      </c>
      <c r="H30" s="18" t="s">
        <v>7</v>
      </c>
      <c r="I30" s="18" t="s">
        <v>10</v>
      </c>
      <c r="J30">
        <v>0</v>
      </c>
      <c r="K30" s="18" t="s">
        <v>81</v>
      </c>
      <c r="L30" t="b">
        <v>0</v>
      </c>
      <c r="M30" t="b">
        <v>0</v>
      </c>
      <c r="N30" t="b">
        <v>0</v>
      </c>
    </row>
    <row r="31" spans="1:14" x14ac:dyDescent="0.25">
      <c r="A31" s="18" t="s">
        <v>118</v>
      </c>
      <c r="B31" t="s">
        <v>95</v>
      </c>
      <c r="C31" t="s">
        <v>91</v>
      </c>
      <c r="D31">
        <v>80.896181538461505</v>
      </c>
      <c r="E31" s="20">
        <v>46178.498078703706</v>
      </c>
      <c r="F31" t="b">
        <v>1</v>
      </c>
      <c r="G31" s="18" t="s">
        <v>122</v>
      </c>
      <c r="H31" s="18" t="s">
        <v>7</v>
      </c>
      <c r="I31" s="18" t="s">
        <v>10</v>
      </c>
      <c r="J31">
        <v>0</v>
      </c>
      <c r="K31" s="18" t="s">
        <v>81</v>
      </c>
      <c r="L31" t="b">
        <v>0</v>
      </c>
      <c r="M31" t="b">
        <v>0</v>
      </c>
      <c r="N31" t="b">
        <v>0</v>
      </c>
    </row>
    <row r="32" spans="1:14" x14ac:dyDescent="0.25">
      <c r="A32" s="18" t="s">
        <v>118</v>
      </c>
      <c r="B32" t="s">
        <v>97</v>
      </c>
      <c r="C32" t="s">
        <v>91</v>
      </c>
      <c r="D32">
        <v>0.3</v>
      </c>
      <c r="E32" s="20">
        <v>46178.498078703706</v>
      </c>
      <c r="F32" t="b">
        <v>1</v>
      </c>
      <c r="G32" s="18" t="s">
        <v>123</v>
      </c>
      <c r="H32" s="18" t="s">
        <v>7</v>
      </c>
      <c r="I32" s="18" t="s">
        <v>10</v>
      </c>
      <c r="J32">
        <v>0</v>
      </c>
      <c r="K32" s="18" t="s">
        <v>81</v>
      </c>
      <c r="L32" t="b">
        <v>0</v>
      </c>
      <c r="M32" t="b">
        <v>0</v>
      </c>
      <c r="N32" t="b">
        <v>0</v>
      </c>
    </row>
    <row r="33" spans="1:14" x14ac:dyDescent="0.25">
      <c r="A33" s="18" t="s">
        <v>118</v>
      </c>
      <c r="B33" t="s">
        <v>99</v>
      </c>
      <c r="D33" t="e">
        <v>#N/A</v>
      </c>
      <c r="E33" s="19">
        <v>0</v>
      </c>
      <c r="F33" t="b">
        <v>1</v>
      </c>
      <c r="G33" s="18" t="s">
        <v>124</v>
      </c>
      <c r="H33" s="18" t="s">
        <v>7</v>
      </c>
      <c r="I33" s="18" t="s">
        <v>10</v>
      </c>
      <c r="J33">
        <v>0</v>
      </c>
      <c r="K33" s="18" t="s">
        <v>81</v>
      </c>
      <c r="L33" t="b">
        <v>0</v>
      </c>
      <c r="M33" t="b">
        <v>0</v>
      </c>
      <c r="N33" t="b">
        <v>0</v>
      </c>
    </row>
    <row r="34" spans="1:14" x14ac:dyDescent="0.25">
      <c r="A34" s="18" t="s">
        <v>118</v>
      </c>
      <c r="B34" t="s">
        <v>101</v>
      </c>
      <c r="C34" t="s">
        <v>91</v>
      </c>
      <c r="D34">
        <v>330</v>
      </c>
      <c r="E34" s="20">
        <v>46178.498101851852</v>
      </c>
      <c r="F34" t="b">
        <v>1</v>
      </c>
      <c r="G34" s="18" t="s">
        <v>47</v>
      </c>
      <c r="H34" s="18" t="s">
        <v>7</v>
      </c>
      <c r="I34" s="18" t="s">
        <v>10</v>
      </c>
      <c r="J34">
        <v>0</v>
      </c>
      <c r="K34" s="18" t="s">
        <v>81</v>
      </c>
      <c r="L34" t="b">
        <v>0</v>
      </c>
      <c r="M34" t="b">
        <v>0</v>
      </c>
      <c r="N34" t="b">
        <v>0</v>
      </c>
    </row>
    <row r="35" spans="1:14" x14ac:dyDescent="0.25">
      <c r="A35" s="18" t="s">
        <v>118</v>
      </c>
      <c r="B35" t="s">
        <v>102</v>
      </c>
      <c r="C35" t="s">
        <v>91</v>
      </c>
      <c r="D35">
        <v>85</v>
      </c>
      <c r="E35" s="20">
        <v>46178.498101851852</v>
      </c>
      <c r="F35" t="b">
        <v>1</v>
      </c>
      <c r="G35" s="18" t="s">
        <v>48</v>
      </c>
      <c r="H35" s="18" t="s">
        <v>7</v>
      </c>
      <c r="I35" s="18" t="s">
        <v>10</v>
      </c>
      <c r="J35">
        <v>0</v>
      </c>
      <c r="K35" s="18" t="s">
        <v>81</v>
      </c>
      <c r="L35" t="b">
        <v>0</v>
      </c>
      <c r="M35" t="b">
        <v>0</v>
      </c>
      <c r="N35" t="b">
        <v>0</v>
      </c>
    </row>
    <row r="36" spans="1:14" x14ac:dyDescent="0.25">
      <c r="A36" s="18" t="s">
        <v>118</v>
      </c>
      <c r="B36" t="s">
        <v>103</v>
      </c>
      <c r="C36" t="s">
        <v>91</v>
      </c>
      <c r="D36">
        <v>359</v>
      </c>
      <c r="E36" s="20">
        <v>46178.498101851852</v>
      </c>
      <c r="F36" t="b">
        <v>1</v>
      </c>
      <c r="G36" s="18" t="s">
        <v>49</v>
      </c>
      <c r="H36" s="18" t="s">
        <v>7</v>
      </c>
      <c r="I36" s="18" t="s">
        <v>10</v>
      </c>
      <c r="J36">
        <v>0</v>
      </c>
      <c r="K36" s="18" t="s">
        <v>81</v>
      </c>
      <c r="L36" t="b">
        <v>0</v>
      </c>
      <c r="M36" t="b">
        <v>0</v>
      </c>
      <c r="N36" t="b">
        <v>0</v>
      </c>
    </row>
    <row r="37" spans="1:14" x14ac:dyDescent="0.25">
      <c r="A37" s="18" t="s">
        <v>118</v>
      </c>
      <c r="B37" t="s">
        <v>104</v>
      </c>
      <c r="C37" t="s">
        <v>91</v>
      </c>
      <c r="D37">
        <v>156</v>
      </c>
      <c r="E37" s="20">
        <v>46178.498101851852</v>
      </c>
      <c r="F37" t="b">
        <v>1</v>
      </c>
      <c r="G37" s="18" t="s">
        <v>50</v>
      </c>
      <c r="H37" s="18" t="s">
        <v>7</v>
      </c>
      <c r="I37" s="18" t="s">
        <v>10</v>
      </c>
      <c r="J37">
        <v>0</v>
      </c>
      <c r="K37" s="18" t="s">
        <v>81</v>
      </c>
      <c r="L37" t="b">
        <v>0</v>
      </c>
      <c r="M37" t="b">
        <v>0</v>
      </c>
      <c r="N37" t="b">
        <v>0</v>
      </c>
    </row>
    <row r="38" spans="1:14" x14ac:dyDescent="0.25">
      <c r="A38" s="18" t="s">
        <v>118</v>
      </c>
      <c r="B38" t="s">
        <v>105</v>
      </c>
      <c r="C38" t="s">
        <v>91</v>
      </c>
      <c r="D38">
        <v>35</v>
      </c>
      <c r="E38" s="20">
        <v>46178.498101851852</v>
      </c>
      <c r="F38" t="b">
        <v>1</v>
      </c>
      <c r="G38" s="18" t="s">
        <v>51</v>
      </c>
      <c r="H38" s="18" t="s">
        <v>7</v>
      </c>
      <c r="I38" s="18" t="s">
        <v>10</v>
      </c>
      <c r="J38">
        <v>0</v>
      </c>
      <c r="K38" s="18" t="s">
        <v>81</v>
      </c>
      <c r="L38" t="b">
        <v>0</v>
      </c>
      <c r="M38" t="b">
        <v>0</v>
      </c>
      <c r="N38" t="b">
        <v>0</v>
      </c>
    </row>
    <row r="39" spans="1:14" x14ac:dyDescent="0.25">
      <c r="A39" s="18" t="s">
        <v>118</v>
      </c>
      <c r="B39" t="s">
        <v>106</v>
      </c>
      <c r="C39" t="s">
        <v>91</v>
      </c>
      <c r="D39">
        <v>35</v>
      </c>
      <c r="E39" s="20">
        <v>46178.498101851852</v>
      </c>
      <c r="F39" t="b">
        <v>1</v>
      </c>
      <c r="G39" s="18" t="s">
        <v>52</v>
      </c>
      <c r="H39" s="18" t="s">
        <v>7</v>
      </c>
      <c r="I39" s="18" t="s">
        <v>10</v>
      </c>
      <c r="J39">
        <v>0</v>
      </c>
      <c r="K39" s="18" t="s">
        <v>81</v>
      </c>
      <c r="L39" t="b">
        <v>0</v>
      </c>
      <c r="M39" t="b">
        <v>0</v>
      </c>
      <c r="N39" t="b">
        <v>0</v>
      </c>
    </row>
    <row r="40" spans="1:14" x14ac:dyDescent="0.25">
      <c r="A40" s="18" t="s">
        <v>125</v>
      </c>
      <c r="B40" t="s">
        <v>80</v>
      </c>
      <c r="D40" t="e">
        <v>#N/A</v>
      </c>
      <c r="E40" s="19">
        <v>0</v>
      </c>
      <c r="F40" t="b">
        <v>1</v>
      </c>
      <c r="G40" s="18" t="s">
        <v>213</v>
      </c>
      <c r="H40" s="18" t="s">
        <v>7</v>
      </c>
      <c r="I40" s="18" t="s">
        <v>193</v>
      </c>
      <c r="J40">
        <v>0</v>
      </c>
      <c r="K40" s="18" t="s">
        <v>81</v>
      </c>
      <c r="L40" t="b">
        <v>0</v>
      </c>
      <c r="M40" t="b">
        <v>0</v>
      </c>
      <c r="N40" t="b">
        <v>0</v>
      </c>
    </row>
    <row r="41" spans="1:14" x14ac:dyDescent="0.25">
      <c r="A41" s="18" t="s">
        <v>125</v>
      </c>
      <c r="B41" t="s">
        <v>82</v>
      </c>
      <c r="D41" t="e">
        <v>#N/A</v>
      </c>
      <c r="E41" s="19">
        <v>0</v>
      </c>
      <c r="F41" t="b">
        <v>1</v>
      </c>
      <c r="G41" s="18" t="s">
        <v>214</v>
      </c>
      <c r="H41" s="18" t="s">
        <v>7</v>
      </c>
      <c r="I41" s="18" t="s">
        <v>193</v>
      </c>
      <c r="J41">
        <v>0</v>
      </c>
      <c r="K41" s="18" t="s">
        <v>81</v>
      </c>
      <c r="L41" t="b">
        <v>0</v>
      </c>
      <c r="M41" t="b">
        <v>0</v>
      </c>
      <c r="N41" t="b">
        <v>0</v>
      </c>
    </row>
    <row r="42" spans="1:14" x14ac:dyDescent="0.25">
      <c r="A42" s="18" t="s">
        <v>125</v>
      </c>
      <c r="B42" t="s">
        <v>83</v>
      </c>
      <c r="D42" t="e">
        <v>#N/A</v>
      </c>
      <c r="E42" s="19">
        <v>0</v>
      </c>
      <c r="F42" t="b">
        <v>1</v>
      </c>
      <c r="G42" s="18" t="s">
        <v>215</v>
      </c>
      <c r="H42" s="18" t="s">
        <v>7</v>
      </c>
      <c r="I42" s="18" t="s">
        <v>193</v>
      </c>
      <c r="J42">
        <v>0</v>
      </c>
      <c r="K42" s="18" t="s">
        <v>81</v>
      </c>
      <c r="L42" t="b">
        <v>0</v>
      </c>
      <c r="M42" t="b">
        <v>0</v>
      </c>
      <c r="N42" t="b">
        <v>0</v>
      </c>
    </row>
    <row r="43" spans="1:14" x14ac:dyDescent="0.25">
      <c r="A43" s="18" t="s">
        <v>125</v>
      </c>
      <c r="B43" t="s">
        <v>84</v>
      </c>
      <c r="D43" t="e">
        <v>#N/A</v>
      </c>
      <c r="E43" s="19">
        <v>0</v>
      </c>
      <c r="F43" t="b">
        <v>1</v>
      </c>
      <c r="G43" s="18" t="s">
        <v>199</v>
      </c>
      <c r="H43" s="18" t="s">
        <v>7</v>
      </c>
      <c r="I43" s="18" t="s">
        <v>193</v>
      </c>
      <c r="J43">
        <v>0</v>
      </c>
      <c r="K43" s="18" t="s">
        <v>81</v>
      </c>
      <c r="L43" t="b">
        <v>0</v>
      </c>
      <c r="M43" t="b">
        <v>0</v>
      </c>
      <c r="N43" t="b">
        <v>0</v>
      </c>
    </row>
    <row r="44" spans="1:14" x14ac:dyDescent="0.25">
      <c r="A44" s="18" t="s">
        <v>125</v>
      </c>
      <c r="B44" t="s">
        <v>85</v>
      </c>
      <c r="D44" t="e">
        <v>#N/A</v>
      </c>
      <c r="E44" s="19">
        <v>0</v>
      </c>
      <c r="F44" t="b">
        <v>1</v>
      </c>
      <c r="G44" s="18" t="s">
        <v>216</v>
      </c>
      <c r="H44" s="18" t="s">
        <v>7</v>
      </c>
      <c r="I44" s="18" t="s">
        <v>193</v>
      </c>
      <c r="J44">
        <v>0</v>
      </c>
      <c r="K44" s="18" t="s">
        <v>81</v>
      </c>
      <c r="L44" t="b">
        <v>0</v>
      </c>
      <c r="M44" t="b">
        <v>0</v>
      </c>
      <c r="N44" t="b">
        <v>0</v>
      </c>
    </row>
    <row r="45" spans="1:14" x14ac:dyDescent="0.25">
      <c r="A45" s="18" t="s">
        <v>125</v>
      </c>
      <c r="B45" t="s">
        <v>86</v>
      </c>
      <c r="D45" t="e">
        <v>#N/A</v>
      </c>
      <c r="E45" s="19">
        <v>0</v>
      </c>
      <c r="F45" t="b">
        <v>1</v>
      </c>
      <c r="G45" s="18" t="s">
        <v>201</v>
      </c>
      <c r="H45" s="18" t="s">
        <v>7</v>
      </c>
      <c r="I45" s="18" t="s">
        <v>193</v>
      </c>
      <c r="J45">
        <v>0</v>
      </c>
      <c r="K45" s="18" t="s">
        <v>81</v>
      </c>
      <c r="L45" t="b">
        <v>0</v>
      </c>
      <c r="M45" t="b">
        <v>0</v>
      </c>
      <c r="N45" t="b">
        <v>0</v>
      </c>
    </row>
    <row r="46" spans="1:14" x14ac:dyDescent="0.25">
      <c r="A46" s="18" t="s">
        <v>125</v>
      </c>
      <c r="B46" t="s">
        <v>87</v>
      </c>
      <c r="D46" t="e">
        <v>#N/A</v>
      </c>
      <c r="E46" s="19">
        <v>0</v>
      </c>
      <c r="F46" t="b">
        <v>1</v>
      </c>
      <c r="G46" s="18" t="s">
        <v>202</v>
      </c>
      <c r="H46" s="18" t="s">
        <v>7</v>
      </c>
      <c r="I46" s="18" t="s">
        <v>193</v>
      </c>
      <c r="J46">
        <v>0</v>
      </c>
      <c r="K46" s="18" t="s">
        <v>81</v>
      </c>
      <c r="L46" t="b">
        <v>0</v>
      </c>
      <c r="M46" t="b">
        <v>0</v>
      </c>
      <c r="N46" t="b">
        <v>0</v>
      </c>
    </row>
    <row r="47" spans="1:14" x14ac:dyDescent="0.25">
      <c r="A47" s="18" t="s">
        <v>125</v>
      </c>
      <c r="B47" t="s">
        <v>88</v>
      </c>
      <c r="D47" t="e">
        <v>#N/A</v>
      </c>
      <c r="E47" s="19">
        <v>0</v>
      </c>
      <c r="F47" t="b">
        <v>1</v>
      </c>
      <c r="G47" s="18" t="s">
        <v>126</v>
      </c>
      <c r="H47" s="18" t="s">
        <v>7</v>
      </c>
      <c r="I47" s="18" t="s">
        <v>13</v>
      </c>
      <c r="J47">
        <v>0</v>
      </c>
      <c r="K47" s="18" t="s">
        <v>81</v>
      </c>
      <c r="L47" t="b">
        <v>0</v>
      </c>
      <c r="M47" t="b">
        <v>0</v>
      </c>
      <c r="N47" t="b">
        <v>0</v>
      </c>
    </row>
    <row r="48" spans="1:14" x14ac:dyDescent="0.25">
      <c r="A48" s="18" t="s">
        <v>125</v>
      </c>
      <c r="B48" t="s">
        <v>90</v>
      </c>
      <c r="C48" t="s">
        <v>91</v>
      </c>
      <c r="D48">
        <v>68.347640555445295</v>
      </c>
      <c r="E48" s="20">
        <v>46178.498159722221</v>
      </c>
      <c r="F48" t="b">
        <v>1</v>
      </c>
      <c r="G48" s="18" t="s">
        <v>127</v>
      </c>
      <c r="H48" s="18" t="s">
        <v>7</v>
      </c>
      <c r="I48" s="18" t="s">
        <v>10</v>
      </c>
      <c r="J48">
        <v>0</v>
      </c>
      <c r="K48" s="18" t="s">
        <v>81</v>
      </c>
      <c r="L48" t="b">
        <v>0</v>
      </c>
      <c r="M48" t="b">
        <v>0</v>
      </c>
      <c r="N48" t="b">
        <v>0</v>
      </c>
    </row>
    <row r="49" spans="1:14" x14ac:dyDescent="0.25">
      <c r="A49" s="18" t="s">
        <v>125</v>
      </c>
      <c r="B49" t="s">
        <v>93</v>
      </c>
      <c r="C49" t="s">
        <v>91</v>
      </c>
      <c r="D49">
        <v>0.86450741438940804</v>
      </c>
      <c r="E49" s="20">
        <v>46178.498171296298</v>
      </c>
      <c r="F49" t="b">
        <v>1</v>
      </c>
      <c r="G49" s="18" t="s">
        <v>128</v>
      </c>
      <c r="H49" s="18" t="s">
        <v>7</v>
      </c>
      <c r="I49" s="18" t="s">
        <v>10</v>
      </c>
      <c r="J49">
        <v>0</v>
      </c>
      <c r="K49" s="18" t="s">
        <v>81</v>
      </c>
      <c r="L49" t="b">
        <v>0</v>
      </c>
      <c r="M49" t="b">
        <v>0</v>
      </c>
      <c r="N49" t="b">
        <v>0</v>
      </c>
    </row>
    <row r="50" spans="1:14" x14ac:dyDescent="0.25">
      <c r="A50" s="18" t="s">
        <v>125</v>
      </c>
      <c r="B50" t="s">
        <v>95</v>
      </c>
      <c r="C50" t="s">
        <v>91</v>
      </c>
      <c r="D50">
        <v>80.896181538461505</v>
      </c>
      <c r="E50" s="20">
        <v>46178.498171296298</v>
      </c>
      <c r="F50" t="b">
        <v>1</v>
      </c>
      <c r="G50" s="18" t="s">
        <v>129</v>
      </c>
      <c r="H50" s="18" t="s">
        <v>7</v>
      </c>
      <c r="I50" s="18" t="s">
        <v>10</v>
      </c>
      <c r="J50">
        <v>0</v>
      </c>
      <c r="K50" s="18" t="s">
        <v>81</v>
      </c>
      <c r="L50" t="b">
        <v>0</v>
      </c>
      <c r="M50" t="b">
        <v>0</v>
      </c>
      <c r="N50" t="b">
        <v>0</v>
      </c>
    </row>
    <row r="51" spans="1:14" x14ac:dyDescent="0.25">
      <c r="A51" s="18" t="s">
        <v>125</v>
      </c>
      <c r="B51" t="s">
        <v>97</v>
      </c>
      <c r="C51" t="s">
        <v>91</v>
      </c>
      <c r="D51">
        <v>0.3</v>
      </c>
      <c r="E51" s="20">
        <v>46178.498171296298</v>
      </c>
      <c r="F51" t="b">
        <v>1</v>
      </c>
      <c r="G51" s="18" t="s">
        <v>130</v>
      </c>
      <c r="H51" s="18" t="s">
        <v>7</v>
      </c>
      <c r="I51" s="18" t="s">
        <v>10</v>
      </c>
      <c r="J51">
        <v>0</v>
      </c>
      <c r="K51" s="18" t="s">
        <v>81</v>
      </c>
      <c r="L51" t="b">
        <v>0</v>
      </c>
      <c r="M51" t="b">
        <v>0</v>
      </c>
      <c r="N51" t="b">
        <v>0</v>
      </c>
    </row>
    <row r="52" spans="1:14" x14ac:dyDescent="0.25">
      <c r="A52" s="18" t="s">
        <v>125</v>
      </c>
      <c r="B52" t="s">
        <v>99</v>
      </c>
      <c r="D52" t="e">
        <v>#N/A</v>
      </c>
      <c r="E52" s="19">
        <v>0</v>
      </c>
      <c r="F52" t="b">
        <v>1</v>
      </c>
      <c r="G52" s="18" t="s">
        <v>131</v>
      </c>
      <c r="H52" s="18" t="s">
        <v>7</v>
      </c>
      <c r="I52" s="18" t="s">
        <v>10</v>
      </c>
      <c r="J52">
        <v>0</v>
      </c>
      <c r="K52" s="18" t="s">
        <v>81</v>
      </c>
      <c r="L52" t="b">
        <v>0</v>
      </c>
      <c r="M52" t="b">
        <v>0</v>
      </c>
      <c r="N52" t="b">
        <v>0</v>
      </c>
    </row>
    <row r="53" spans="1:14" x14ac:dyDescent="0.25">
      <c r="A53" s="18" t="s">
        <v>125</v>
      </c>
      <c r="B53" t="s">
        <v>101</v>
      </c>
      <c r="C53" t="s">
        <v>91</v>
      </c>
      <c r="D53">
        <v>330</v>
      </c>
      <c r="E53" s="20">
        <v>46178.498194444444</v>
      </c>
      <c r="F53" t="b">
        <v>1</v>
      </c>
      <c r="G53" s="18" t="s">
        <v>47</v>
      </c>
      <c r="H53" s="18" t="s">
        <v>7</v>
      </c>
      <c r="I53" s="18" t="s">
        <v>10</v>
      </c>
      <c r="J53">
        <v>0</v>
      </c>
      <c r="K53" s="18" t="s">
        <v>81</v>
      </c>
      <c r="L53" t="b">
        <v>0</v>
      </c>
      <c r="M53" t="b">
        <v>0</v>
      </c>
      <c r="N53" t="b">
        <v>0</v>
      </c>
    </row>
    <row r="54" spans="1:14" x14ac:dyDescent="0.25">
      <c r="A54" s="18" t="s">
        <v>125</v>
      </c>
      <c r="B54" t="s">
        <v>102</v>
      </c>
      <c r="C54" t="s">
        <v>91</v>
      </c>
      <c r="D54">
        <v>85</v>
      </c>
      <c r="E54" s="20">
        <v>46178.498194444444</v>
      </c>
      <c r="F54" t="b">
        <v>1</v>
      </c>
      <c r="G54" s="18" t="s">
        <v>48</v>
      </c>
      <c r="H54" s="18" t="s">
        <v>7</v>
      </c>
      <c r="I54" s="18" t="s">
        <v>10</v>
      </c>
      <c r="J54">
        <v>0</v>
      </c>
      <c r="K54" s="18" t="s">
        <v>81</v>
      </c>
      <c r="L54" t="b">
        <v>0</v>
      </c>
      <c r="M54" t="b">
        <v>0</v>
      </c>
      <c r="N54" t="b">
        <v>0</v>
      </c>
    </row>
    <row r="55" spans="1:14" x14ac:dyDescent="0.25">
      <c r="A55" s="18" t="s">
        <v>125</v>
      </c>
      <c r="B55" t="s">
        <v>103</v>
      </c>
      <c r="C55" t="s">
        <v>91</v>
      </c>
      <c r="D55">
        <v>359</v>
      </c>
      <c r="E55" s="20">
        <v>46178.498194444444</v>
      </c>
      <c r="F55" t="b">
        <v>1</v>
      </c>
      <c r="G55" s="18" t="s">
        <v>49</v>
      </c>
      <c r="H55" s="18" t="s">
        <v>7</v>
      </c>
      <c r="I55" s="18" t="s">
        <v>10</v>
      </c>
      <c r="J55">
        <v>0</v>
      </c>
      <c r="K55" s="18" t="s">
        <v>81</v>
      </c>
      <c r="L55" t="b">
        <v>0</v>
      </c>
      <c r="M55" t="b">
        <v>0</v>
      </c>
      <c r="N55" t="b">
        <v>0</v>
      </c>
    </row>
    <row r="56" spans="1:14" x14ac:dyDescent="0.25">
      <c r="A56" s="18" t="s">
        <v>125</v>
      </c>
      <c r="B56" t="s">
        <v>104</v>
      </c>
      <c r="C56" t="s">
        <v>91</v>
      </c>
      <c r="D56">
        <v>156</v>
      </c>
      <c r="E56" s="20">
        <v>46178.498194444444</v>
      </c>
      <c r="F56" t="b">
        <v>1</v>
      </c>
      <c r="G56" s="18" t="s">
        <v>50</v>
      </c>
      <c r="H56" s="18" t="s">
        <v>7</v>
      </c>
      <c r="I56" s="18" t="s">
        <v>10</v>
      </c>
      <c r="J56">
        <v>0</v>
      </c>
      <c r="K56" s="18" t="s">
        <v>81</v>
      </c>
      <c r="L56" t="b">
        <v>0</v>
      </c>
      <c r="M56" t="b">
        <v>0</v>
      </c>
      <c r="N56" t="b">
        <v>0</v>
      </c>
    </row>
    <row r="57" spans="1:14" x14ac:dyDescent="0.25">
      <c r="A57" s="18" t="s">
        <v>125</v>
      </c>
      <c r="B57" t="s">
        <v>105</v>
      </c>
      <c r="C57" t="s">
        <v>91</v>
      </c>
      <c r="D57">
        <v>35</v>
      </c>
      <c r="E57" s="20">
        <v>46178.498194444444</v>
      </c>
      <c r="F57" t="b">
        <v>1</v>
      </c>
      <c r="G57" s="18" t="s">
        <v>51</v>
      </c>
      <c r="H57" s="18" t="s">
        <v>7</v>
      </c>
      <c r="I57" s="18" t="s">
        <v>10</v>
      </c>
      <c r="J57">
        <v>0</v>
      </c>
      <c r="K57" s="18" t="s">
        <v>81</v>
      </c>
      <c r="L57" t="b">
        <v>0</v>
      </c>
      <c r="M57" t="b">
        <v>0</v>
      </c>
      <c r="N57" t="b">
        <v>0</v>
      </c>
    </row>
    <row r="58" spans="1:14" x14ac:dyDescent="0.25">
      <c r="A58" s="18" t="s">
        <v>125</v>
      </c>
      <c r="B58" t="s">
        <v>106</v>
      </c>
      <c r="C58" t="s">
        <v>91</v>
      </c>
      <c r="D58">
        <v>35</v>
      </c>
      <c r="E58" s="20">
        <v>46178.498194444444</v>
      </c>
      <c r="F58" t="b">
        <v>1</v>
      </c>
      <c r="G58" s="18" t="s">
        <v>52</v>
      </c>
      <c r="H58" s="18" t="s">
        <v>7</v>
      </c>
      <c r="I58" s="18" t="s">
        <v>10</v>
      </c>
      <c r="J58">
        <v>0</v>
      </c>
      <c r="K58" s="18" t="s">
        <v>81</v>
      </c>
      <c r="L58" t="b">
        <v>0</v>
      </c>
      <c r="M58" t="b">
        <v>0</v>
      </c>
      <c r="N58" t="b">
        <v>0</v>
      </c>
    </row>
    <row r="59" spans="1:14" x14ac:dyDescent="0.25">
      <c r="A59" s="18" t="s">
        <v>132</v>
      </c>
      <c r="B59" t="s">
        <v>80</v>
      </c>
      <c r="D59" t="e">
        <v>#N/A</v>
      </c>
      <c r="E59" s="19">
        <v>0</v>
      </c>
      <c r="F59" t="b">
        <v>1</v>
      </c>
      <c r="G59" s="18" t="s">
        <v>217</v>
      </c>
      <c r="H59" s="18" t="s">
        <v>7</v>
      </c>
      <c r="I59" s="18" t="s">
        <v>193</v>
      </c>
      <c r="J59">
        <v>0</v>
      </c>
      <c r="K59" s="18" t="s">
        <v>81</v>
      </c>
      <c r="L59" t="b">
        <v>0</v>
      </c>
      <c r="M59" t="b">
        <v>0</v>
      </c>
      <c r="N59" t="b">
        <v>0</v>
      </c>
    </row>
    <row r="60" spans="1:14" x14ac:dyDescent="0.25">
      <c r="A60" s="18" t="s">
        <v>132</v>
      </c>
      <c r="B60" t="s">
        <v>82</v>
      </c>
      <c r="D60" t="e">
        <v>#N/A</v>
      </c>
      <c r="E60" s="19">
        <v>0</v>
      </c>
      <c r="F60" t="b">
        <v>1</v>
      </c>
      <c r="G60" s="18" t="s">
        <v>218</v>
      </c>
      <c r="H60" s="18" t="s">
        <v>7</v>
      </c>
      <c r="I60" s="18" t="s">
        <v>193</v>
      </c>
      <c r="J60">
        <v>0</v>
      </c>
      <c r="K60" s="18" t="s">
        <v>81</v>
      </c>
      <c r="L60" t="b">
        <v>0</v>
      </c>
      <c r="M60" t="b">
        <v>0</v>
      </c>
      <c r="N60" t="b">
        <v>0</v>
      </c>
    </row>
    <row r="61" spans="1:14" x14ac:dyDescent="0.25">
      <c r="A61" s="18" t="s">
        <v>132</v>
      </c>
      <c r="B61" t="s">
        <v>83</v>
      </c>
      <c r="D61" t="e">
        <v>#N/A</v>
      </c>
      <c r="E61" s="19">
        <v>0</v>
      </c>
      <c r="F61" t="b">
        <v>1</v>
      </c>
      <c r="G61" s="18" t="s">
        <v>219</v>
      </c>
      <c r="H61" s="18" t="s">
        <v>7</v>
      </c>
      <c r="I61" s="18" t="s">
        <v>193</v>
      </c>
      <c r="J61">
        <v>0</v>
      </c>
      <c r="K61" s="18" t="s">
        <v>81</v>
      </c>
      <c r="L61" t="b">
        <v>0</v>
      </c>
      <c r="M61" t="b">
        <v>0</v>
      </c>
      <c r="N61" t="b">
        <v>0</v>
      </c>
    </row>
    <row r="62" spans="1:14" x14ac:dyDescent="0.25">
      <c r="A62" s="18" t="s">
        <v>132</v>
      </c>
      <c r="B62" t="s">
        <v>84</v>
      </c>
      <c r="D62" t="e">
        <v>#N/A</v>
      </c>
      <c r="E62" s="19">
        <v>0</v>
      </c>
      <c r="F62" t="b">
        <v>1</v>
      </c>
      <c r="G62" s="18" t="s">
        <v>199</v>
      </c>
      <c r="H62" s="18" t="s">
        <v>7</v>
      </c>
      <c r="I62" s="18" t="s">
        <v>193</v>
      </c>
      <c r="J62">
        <v>0</v>
      </c>
      <c r="K62" s="18" t="s">
        <v>81</v>
      </c>
      <c r="L62" t="b">
        <v>0</v>
      </c>
      <c r="M62" t="b">
        <v>0</v>
      </c>
      <c r="N62" t="b">
        <v>0</v>
      </c>
    </row>
    <row r="63" spans="1:14" x14ac:dyDescent="0.25">
      <c r="A63" s="18" t="s">
        <v>132</v>
      </c>
      <c r="B63" t="s">
        <v>85</v>
      </c>
      <c r="D63" t="e">
        <v>#N/A</v>
      </c>
      <c r="E63" s="19">
        <v>0</v>
      </c>
      <c r="F63" t="b">
        <v>1</v>
      </c>
      <c r="G63" s="18" t="s">
        <v>220</v>
      </c>
      <c r="H63" s="18" t="s">
        <v>7</v>
      </c>
      <c r="I63" s="18" t="s">
        <v>193</v>
      </c>
      <c r="J63">
        <v>0</v>
      </c>
      <c r="K63" s="18" t="s">
        <v>81</v>
      </c>
      <c r="L63" t="b">
        <v>0</v>
      </c>
      <c r="M63" t="b">
        <v>0</v>
      </c>
      <c r="N63" t="b">
        <v>0</v>
      </c>
    </row>
    <row r="64" spans="1:14" x14ac:dyDescent="0.25">
      <c r="A64" s="18" t="s">
        <v>132</v>
      </c>
      <c r="B64" t="s">
        <v>86</v>
      </c>
      <c r="D64" t="e">
        <v>#N/A</v>
      </c>
      <c r="E64" s="19">
        <v>0</v>
      </c>
      <c r="F64" t="b">
        <v>1</v>
      </c>
      <c r="G64" s="18" t="s">
        <v>201</v>
      </c>
      <c r="H64" s="18" t="s">
        <v>7</v>
      </c>
      <c r="I64" s="18" t="s">
        <v>193</v>
      </c>
      <c r="J64">
        <v>0</v>
      </c>
      <c r="K64" s="18" t="s">
        <v>81</v>
      </c>
      <c r="L64" t="b">
        <v>0</v>
      </c>
      <c r="M64" t="b">
        <v>0</v>
      </c>
      <c r="N64" t="b">
        <v>0</v>
      </c>
    </row>
    <row r="65" spans="1:14" x14ac:dyDescent="0.25">
      <c r="A65" s="18" t="s">
        <v>132</v>
      </c>
      <c r="B65" t="s">
        <v>87</v>
      </c>
      <c r="D65" t="e">
        <v>#N/A</v>
      </c>
      <c r="E65" s="19">
        <v>0</v>
      </c>
      <c r="F65" t="b">
        <v>1</v>
      </c>
      <c r="G65" s="18" t="s">
        <v>202</v>
      </c>
      <c r="H65" s="18" t="s">
        <v>7</v>
      </c>
      <c r="I65" s="18" t="s">
        <v>193</v>
      </c>
      <c r="J65">
        <v>0</v>
      </c>
      <c r="K65" s="18" t="s">
        <v>81</v>
      </c>
      <c r="L65" t="b">
        <v>0</v>
      </c>
      <c r="M65" t="b">
        <v>0</v>
      </c>
      <c r="N65" t="b">
        <v>0</v>
      </c>
    </row>
    <row r="66" spans="1:14" x14ac:dyDescent="0.25">
      <c r="A66" s="18" t="s">
        <v>132</v>
      </c>
      <c r="B66" t="s">
        <v>88</v>
      </c>
      <c r="D66" t="e">
        <v>#N/A</v>
      </c>
      <c r="E66" s="19">
        <v>0</v>
      </c>
      <c r="F66" t="b">
        <v>1</v>
      </c>
      <c r="G66" s="18" t="s">
        <v>133</v>
      </c>
      <c r="H66" s="18" t="s">
        <v>7</v>
      </c>
      <c r="I66" s="18" t="s">
        <v>13</v>
      </c>
      <c r="J66">
        <v>0</v>
      </c>
      <c r="K66" s="18" t="s">
        <v>81</v>
      </c>
      <c r="L66" t="b">
        <v>0</v>
      </c>
      <c r="M66" t="b">
        <v>0</v>
      </c>
      <c r="N66" t="b">
        <v>0</v>
      </c>
    </row>
    <row r="67" spans="1:14" x14ac:dyDescent="0.25">
      <c r="A67" s="18" t="s">
        <v>132</v>
      </c>
      <c r="B67" t="s">
        <v>90</v>
      </c>
      <c r="C67" t="s">
        <v>91</v>
      </c>
      <c r="D67">
        <v>68.347644453374599</v>
      </c>
      <c r="E67" s="20">
        <v>46178.498252314814</v>
      </c>
      <c r="F67" t="b">
        <v>1</v>
      </c>
      <c r="G67" s="18" t="s">
        <v>134</v>
      </c>
      <c r="H67" s="18" t="s">
        <v>7</v>
      </c>
      <c r="I67" s="18" t="s">
        <v>10</v>
      </c>
      <c r="J67">
        <v>0</v>
      </c>
      <c r="K67" s="18" t="s">
        <v>81</v>
      </c>
      <c r="L67" t="b">
        <v>0</v>
      </c>
      <c r="M67" t="b">
        <v>0</v>
      </c>
      <c r="N67" t="b">
        <v>0</v>
      </c>
    </row>
    <row r="68" spans="1:14" x14ac:dyDescent="0.25">
      <c r="A68" s="18" t="s">
        <v>132</v>
      </c>
      <c r="B68" t="s">
        <v>93</v>
      </c>
      <c r="C68" t="s">
        <v>91</v>
      </c>
      <c r="D68">
        <v>0.86450741438940804</v>
      </c>
      <c r="E68" s="20">
        <v>46178.498252314814</v>
      </c>
      <c r="F68" t="b">
        <v>1</v>
      </c>
      <c r="G68" s="18" t="s">
        <v>135</v>
      </c>
      <c r="H68" s="18" t="s">
        <v>7</v>
      </c>
      <c r="I68" s="18" t="s">
        <v>10</v>
      </c>
      <c r="J68">
        <v>0</v>
      </c>
      <c r="K68" s="18" t="s">
        <v>81</v>
      </c>
      <c r="L68" t="b">
        <v>0</v>
      </c>
      <c r="M68" t="b">
        <v>0</v>
      </c>
      <c r="N68" t="b">
        <v>0</v>
      </c>
    </row>
    <row r="69" spans="1:14" x14ac:dyDescent="0.25">
      <c r="A69" s="18" t="s">
        <v>132</v>
      </c>
      <c r="B69" t="s">
        <v>95</v>
      </c>
      <c r="C69" t="s">
        <v>91</v>
      </c>
      <c r="D69">
        <v>80.896181538461505</v>
      </c>
      <c r="E69" s="20">
        <v>46178.498263888891</v>
      </c>
      <c r="F69" t="b">
        <v>1</v>
      </c>
      <c r="G69" s="18" t="s">
        <v>136</v>
      </c>
      <c r="H69" s="18" t="s">
        <v>7</v>
      </c>
      <c r="I69" s="18" t="s">
        <v>10</v>
      </c>
      <c r="J69">
        <v>0</v>
      </c>
      <c r="K69" s="18" t="s">
        <v>81</v>
      </c>
      <c r="L69" t="b">
        <v>0</v>
      </c>
      <c r="M69" t="b">
        <v>0</v>
      </c>
      <c r="N69" t="b">
        <v>0</v>
      </c>
    </row>
    <row r="70" spans="1:14" x14ac:dyDescent="0.25">
      <c r="A70" s="18" t="s">
        <v>132</v>
      </c>
      <c r="B70" t="s">
        <v>97</v>
      </c>
      <c r="C70" t="s">
        <v>91</v>
      </c>
      <c r="D70">
        <v>0.3</v>
      </c>
      <c r="E70" s="20">
        <v>46178.498263888891</v>
      </c>
      <c r="F70" t="b">
        <v>1</v>
      </c>
      <c r="G70" s="18" t="s">
        <v>137</v>
      </c>
      <c r="H70" s="18" t="s">
        <v>7</v>
      </c>
      <c r="I70" s="18" t="s">
        <v>10</v>
      </c>
      <c r="J70">
        <v>0</v>
      </c>
      <c r="K70" s="18" t="s">
        <v>81</v>
      </c>
      <c r="L70" t="b">
        <v>0</v>
      </c>
      <c r="M70" t="b">
        <v>0</v>
      </c>
      <c r="N70" t="b">
        <v>0</v>
      </c>
    </row>
    <row r="71" spans="1:14" x14ac:dyDescent="0.25">
      <c r="A71" s="18" t="s">
        <v>132</v>
      </c>
      <c r="B71" t="s">
        <v>99</v>
      </c>
      <c r="D71" t="e">
        <v>#N/A</v>
      </c>
      <c r="E71" s="19">
        <v>0</v>
      </c>
      <c r="F71" t="b">
        <v>1</v>
      </c>
      <c r="G71" s="18" t="s">
        <v>138</v>
      </c>
      <c r="H71" s="18" t="s">
        <v>7</v>
      </c>
      <c r="I71" s="18" t="s">
        <v>10</v>
      </c>
      <c r="J71">
        <v>0</v>
      </c>
      <c r="K71" s="18" t="s">
        <v>81</v>
      </c>
      <c r="L71" t="b">
        <v>0</v>
      </c>
      <c r="M71" t="b">
        <v>0</v>
      </c>
      <c r="N71" t="b">
        <v>0</v>
      </c>
    </row>
    <row r="72" spans="1:14" x14ac:dyDescent="0.25">
      <c r="A72" s="18" t="s">
        <v>132</v>
      </c>
      <c r="B72" t="s">
        <v>101</v>
      </c>
      <c r="C72" t="s">
        <v>91</v>
      </c>
      <c r="D72">
        <v>330</v>
      </c>
      <c r="E72" s="20">
        <v>46178.498287037037</v>
      </c>
      <c r="F72" t="b">
        <v>1</v>
      </c>
      <c r="G72" s="18" t="s">
        <v>47</v>
      </c>
      <c r="H72" s="18" t="s">
        <v>7</v>
      </c>
      <c r="I72" s="18" t="s">
        <v>10</v>
      </c>
      <c r="J72">
        <v>0</v>
      </c>
      <c r="K72" s="18" t="s">
        <v>81</v>
      </c>
      <c r="L72" t="b">
        <v>0</v>
      </c>
      <c r="M72" t="b">
        <v>0</v>
      </c>
      <c r="N72" t="b">
        <v>0</v>
      </c>
    </row>
    <row r="73" spans="1:14" x14ac:dyDescent="0.25">
      <c r="A73" s="18" t="s">
        <v>132</v>
      </c>
      <c r="B73" t="s">
        <v>102</v>
      </c>
      <c r="C73" t="s">
        <v>91</v>
      </c>
      <c r="D73">
        <v>85</v>
      </c>
      <c r="E73" s="20">
        <v>46178.498287037037</v>
      </c>
      <c r="F73" t="b">
        <v>1</v>
      </c>
      <c r="G73" s="18" t="s">
        <v>48</v>
      </c>
      <c r="H73" s="18" t="s">
        <v>7</v>
      </c>
      <c r="I73" s="18" t="s">
        <v>10</v>
      </c>
      <c r="J73">
        <v>0</v>
      </c>
      <c r="K73" s="18" t="s">
        <v>81</v>
      </c>
      <c r="L73" t="b">
        <v>0</v>
      </c>
      <c r="M73" t="b">
        <v>0</v>
      </c>
      <c r="N73" t="b">
        <v>0</v>
      </c>
    </row>
    <row r="74" spans="1:14" x14ac:dyDescent="0.25">
      <c r="A74" s="18" t="s">
        <v>132</v>
      </c>
      <c r="B74" t="s">
        <v>103</v>
      </c>
      <c r="C74" t="s">
        <v>91</v>
      </c>
      <c r="D74">
        <v>359</v>
      </c>
      <c r="E74" s="20">
        <v>46178.498287037037</v>
      </c>
      <c r="F74" t="b">
        <v>1</v>
      </c>
      <c r="G74" s="18" t="s">
        <v>49</v>
      </c>
      <c r="H74" s="18" t="s">
        <v>7</v>
      </c>
      <c r="I74" s="18" t="s">
        <v>10</v>
      </c>
      <c r="J74">
        <v>0</v>
      </c>
      <c r="K74" s="18" t="s">
        <v>81</v>
      </c>
      <c r="L74" t="b">
        <v>0</v>
      </c>
      <c r="M74" t="b">
        <v>0</v>
      </c>
      <c r="N74" t="b">
        <v>0</v>
      </c>
    </row>
    <row r="75" spans="1:14" x14ac:dyDescent="0.25">
      <c r="A75" s="18" t="s">
        <v>132</v>
      </c>
      <c r="B75" t="s">
        <v>104</v>
      </c>
      <c r="C75" t="s">
        <v>91</v>
      </c>
      <c r="D75">
        <v>156</v>
      </c>
      <c r="E75" s="20">
        <v>46178.498287037037</v>
      </c>
      <c r="F75" t="b">
        <v>1</v>
      </c>
      <c r="G75" s="18" t="s">
        <v>50</v>
      </c>
      <c r="H75" s="18" t="s">
        <v>7</v>
      </c>
      <c r="I75" s="18" t="s">
        <v>10</v>
      </c>
      <c r="J75">
        <v>0</v>
      </c>
      <c r="K75" s="18" t="s">
        <v>81</v>
      </c>
      <c r="L75" t="b">
        <v>0</v>
      </c>
      <c r="M75" t="b">
        <v>0</v>
      </c>
      <c r="N75" t="b">
        <v>0</v>
      </c>
    </row>
    <row r="76" spans="1:14" x14ac:dyDescent="0.25">
      <c r="A76" s="18" t="s">
        <v>132</v>
      </c>
      <c r="B76" t="s">
        <v>105</v>
      </c>
      <c r="C76" t="s">
        <v>91</v>
      </c>
      <c r="D76">
        <v>35</v>
      </c>
      <c r="E76" s="20">
        <v>46178.498287037037</v>
      </c>
      <c r="F76" t="b">
        <v>1</v>
      </c>
      <c r="G76" s="18" t="s">
        <v>51</v>
      </c>
      <c r="H76" s="18" t="s">
        <v>7</v>
      </c>
      <c r="I76" s="18" t="s">
        <v>10</v>
      </c>
      <c r="J76">
        <v>0</v>
      </c>
      <c r="K76" s="18" t="s">
        <v>81</v>
      </c>
      <c r="L76" t="b">
        <v>0</v>
      </c>
      <c r="M76" t="b">
        <v>0</v>
      </c>
      <c r="N76" t="b">
        <v>0</v>
      </c>
    </row>
    <row r="77" spans="1:14" x14ac:dyDescent="0.25">
      <c r="A77" s="18" t="s">
        <v>132</v>
      </c>
      <c r="B77" t="s">
        <v>106</v>
      </c>
      <c r="C77" t="s">
        <v>91</v>
      </c>
      <c r="D77">
        <v>35</v>
      </c>
      <c r="E77" s="20">
        <v>46178.498287037037</v>
      </c>
      <c r="F77" t="b">
        <v>1</v>
      </c>
      <c r="G77" s="18" t="s">
        <v>52</v>
      </c>
      <c r="H77" s="18" t="s">
        <v>7</v>
      </c>
      <c r="I77" s="18" t="s">
        <v>10</v>
      </c>
      <c r="J77">
        <v>0</v>
      </c>
      <c r="K77" s="18" t="s">
        <v>81</v>
      </c>
      <c r="L77" t="b">
        <v>0</v>
      </c>
      <c r="M77" t="b">
        <v>0</v>
      </c>
      <c r="N77" t="b">
        <v>0</v>
      </c>
    </row>
    <row r="78" spans="1:14" x14ac:dyDescent="0.25">
      <c r="A78" s="18" t="s">
        <v>139</v>
      </c>
      <c r="B78" t="s">
        <v>80</v>
      </c>
      <c r="D78" t="e">
        <v>#N/A</v>
      </c>
      <c r="E78" s="19">
        <v>0</v>
      </c>
      <c r="F78" t="b">
        <v>1</v>
      </c>
      <c r="G78" s="18" t="s">
        <v>221</v>
      </c>
      <c r="H78" s="18" t="s">
        <v>7</v>
      </c>
      <c r="I78" s="18" t="s">
        <v>193</v>
      </c>
      <c r="J78">
        <v>0</v>
      </c>
      <c r="K78" s="18" t="s">
        <v>81</v>
      </c>
      <c r="L78" t="b">
        <v>0</v>
      </c>
      <c r="M78" t="b">
        <v>0</v>
      </c>
      <c r="N78" t="b">
        <v>0</v>
      </c>
    </row>
    <row r="79" spans="1:14" x14ac:dyDescent="0.25">
      <c r="A79" s="18" t="s">
        <v>139</v>
      </c>
      <c r="B79" t="s">
        <v>82</v>
      </c>
      <c r="D79" t="e">
        <v>#N/A</v>
      </c>
      <c r="E79" s="19">
        <v>0</v>
      </c>
      <c r="F79" t="b">
        <v>1</v>
      </c>
      <c r="G79" s="18" t="s">
        <v>222</v>
      </c>
      <c r="H79" s="18" t="s">
        <v>7</v>
      </c>
      <c r="I79" s="18" t="s">
        <v>193</v>
      </c>
      <c r="J79">
        <v>0</v>
      </c>
      <c r="K79" s="18" t="s">
        <v>81</v>
      </c>
      <c r="L79" t="b">
        <v>0</v>
      </c>
      <c r="M79" t="b">
        <v>0</v>
      </c>
      <c r="N79" t="b">
        <v>0</v>
      </c>
    </row>
    <row r="80" spans="1:14" x14ac:dyDescent="0.25">
      <c r="A80" s="18" t="s">
        <v>139</v>
      </c>
      <c r="B80" t="s">
        <v>83</v>
      </c>
      <c r="D80" t="e">
        <v>#N/A</v>
      </c>
      <c r="E80" s="19">
        <v>0</v>
      </c>
      <c r="F80" t="b">
        <v>1</v>
      </c>
      <c r="G80" s="18" t="s">
        <v>223</v>
      </c>
      <c r="H80" s="18" t="s">
        <v>7</v>
      </c>
      <c r="I80" s="18" t="s">
        <v>193</v>
      </c>
      <c r="J80">
        <v>0</v>
      </c>
      <c r="K80" s="18" t="s">
        <v>81</v>
      </c>
      <c r="L80" t="b">
        <v>0</v>
      </c>
      <c r="M80" t="b">
        <v>0</v>
      </c>
      <c r="N80" t="b">
        <v>0</v>
      </c>
    </row>
    <row r="81" spans="1:14" x14ac:dyDescent="0.25">
      <c r="A81" s="18" t="s">
        <v>139</v>
      </c>
      <c r="B81" t="s">
        <v>84</v>
      </c>
      <c r="D81" t="e">
        <v>#N/A</v>
      </c>
      <c r="E81" s="19">
        <v>0</v>
      </c>
      <c r="F81" t="b">
        <v>1</v>
      </c>
      <c r="G81" s="18" t="s">
        <v>199</v>
      </c>
      <c r="H81" s="18" t="s">
        <v>7</v>
      </c>
      <c r="I81" s="18" t="s">
        <v>193</v>
      </c>
      <c r="J81">
        <v>0</v>
      </c>
      <c r="K81" s="18" t="s">
        <v>81</v>
      </c>
      <c r="L81" t="b">
        <v>0</v>
      </c>
      <c r="M81" t="b">
        <v>0</v>
      </c>
      <c r="N81" t="b">
        <v>0</v>
      </c>
    </row>
    <row r="82" spans="1:14" x14ac:dyDescent="0.25">
      <c r="A82" s="18" t="s">
        <v>139</v>
      </c>
      <c r="B82" t="s">
        <v>85</v>
      </c>
      <c r="D82" t="e">
        <v>#N/A</v>
      </c>
      <c r="E82" s="19">
        <v>0</v>
      </c>
      <c r="F82" t="b">
        <v>1</v>
      </c>
      <c r="G82" s="18" t="s">
        <v>224</v>
      </c>
      <c r="H82" s="18" t="s">
        <v>7</v>
      </c>
      <c r="I82" s="18" t="s">
        <v>193</v>
      </c>
      <c r="J82">
        <v>0</v>
      </c>
      <c r="K82" s="18" t="s">
        <v>81</v>
      </c>
      <c r="L82" t="b">
        <v>0</v>
      </c>
      <c r="M82" t="b">
        <v>0</v>
      </c>
      <c r="N82" t="b">
        <v>0</v>
      </c>
    </row>
    <row r="83" spans="1:14" x14ac:dyDescent="0.25">
      <c r="A83" s="18" t="s">
        <v>139</v>
      </c>
      <c r="B83" t="s">
        <v>86</v>
      </c>
      <c r="D83" t="e">
        <v>#N/A</v>
      </c>
      <c r="E83" s="19">
        <v>0</v>
      </c>
      <c r="F83" t="b">
        <v>1</v>
      </c>
      <c r="G83" s="18" t="s">
        <v>201</v>
      </c>
      <c r="H83" s="18" t="s">
        <v>7</v>
      </c>
      <c r="I83" s="18" t="s">
        <v>193</v>
      </c>
      <c r="J83">
        <v>0</v>
      </c>
      <c r="K83" s="18" t="s">
        <v>81</v>
      </c>
      <c r="L83" t="b">
        <v>0</v>
      </c>
      <c r="M83" t="b">
        <v>0</v>
      </c>
      <c r="N83" t="b">
        <v>0</v>
      </c>
    </row>
    <row r="84" spans="1:14" x14ac:dyDescent="0.25">
      <c r="A84" s="18" t="s">
        <v>139</v>
      </c>
      <c r="B84" t="s">
        <v>87</v>
      </c>
      <c r="D84" t="e">
        <v>#N/A</v>
      </c>
      <c r="E84" s="19">
        <v>0</v>
      </c>
      <c r="F84" t="b">
        <v>1</v>
      </c>
      <c r="G84" s="18" t="s">
        <v>202</v>
      </c>
      <c r="H84" s="18" t="s">
        <v>7</v>
      </c>
      <c r="I84" s="18" t="s">
        <v>193</v>
      </c>
      <c r="J84">
        <v>0</v>
      </c>
      <c r="K84" s="18" t="s">
        <v>81</v>
      </c>
      <c r="L84" t="b">
        <v>0</v>
      </c>
      <c r="M84" t="b">
        <v>0</v>
      </c>
      <c r="N84" t="b">
        <v>0</v>
      </c>
    </row>
    <row r="85" spans="1:14" x14ac:dyDescent="0.25">
      <c r="A85" s="18" t="s">
        <v>139</v>
      </c>
      <c r="B85" t="s">
        <v>88</v>
      </c>
      <c r="D85" t="e">
        <v>#N/A</v>
      </c>
      <c r="E85" s="19">
        <v>0</v>
      </c>
      <c r="F85" t="b">
        <v>1</v>
      </c>
      <c r="G85" s="18" t="s">
        <v>140</v>
      </c>
      <c r="H85" s="18" t="s">
        <v>7</v>
      </c>
      <c r="I85" s="18" t="s">
        <v>13</v>
      </c>
      <c r="J85">
        <v>0</v>
      </c>
      <c r="K85" s="18" t="s">
        <v>81</v>
      </c>
      <c r="L85" t="b">
        <v>0</v>
      </c>
      <c r="M85" t="b">
        <v>0</v>
      </c>
      <c r="N85" t="b">
        <v>0</v>
      </c>
    </row>
    <row r="86" spans="1:14" x14ac:dyDescent="0.25">
      <c r="A86" s="18" t="s">
        <v>139</v>
      </c>
      <c r="B86" t="s">
        <v>90</v>
      </c>
      <c r="C86" t="s">
        <v>91</v>
      </c>
      <c r="D86">
        <v>68.291409793006196</v>
      </c>
      <c r="E86" s="20">
        <v>46178.498356481483</v>
      </c>
      <c r="F86" t="b">
        <v>1</v>
      </c>
      <c r="G86" s="18" t="s">
        <v>141</v>
      </c>
      <c r="H86" s="18" t="s">
        <v>7</v>
      </c>
      <c r="I86" s="18" t="s">
        <v>10</v>
      </c>
      <c r="J86">
        <v>0</v>
      </c>
      <c r="K86" s="18" t="s">
        <v>81</v>
      </c>
      <c r="L86" t="b">
        <v>0</v>
      </c>
      <c r="M86" t="b">
        <v>0</v>
      </c>
      <c r="N86" t="b">
        <v>0</v>
      </c>
    </row>
    <row r="87" spans="1:14" x14ac:dyDescent="0.25">
      <c r="A87" s="18" t="s">
        <v>139</v>
      </c>
      <c r="B87" t="s">
        <v>93</v>
      </c>
      <c r="C87" t="s">
        <v>91</v>
      </c>
      <c r="D87">
        <v>0.86450741438940804</v>
      </c>
      <c r="E87" s="20">
        <v>46178.498356481483</v>
      </c>
      <c r="F87" t="b">
        <v>1</v>
      </c>
      <c r="G87" s="18" t="s">
        <v>142</v>
      </c>
      <c r="H87" s="18" t="s">
        <v>7</v>
      </c>
      <c r="I87" s="18" t="s">
        <v>10</v>
      </c>
      <c r="J87">
        <v>0</v>
      </c>
      <c r="K87" s="18" t="s">
        <v>81</v>
      </c>
      <c r="L87" t="b">
        <v>0</v>
      </c>
      <c r="M87" t="b">
        <v>0</v>
      </c>
      <c r="N87" t="b">
        <v>0</v>
      </c>
    </row>
    <row r="88" spans="1:14" x14ac:dyDescent="0.25">
      <c r="A88" s="18" t="s">
        <v>139</v>
      </c>
      <c r="B88" t="s">
        <v>95</v>
      </c>
      <c r="C88" t="s">
        <v>91</v>
      </c>
      <c r="D88">
        <v>80.896181538461505</v>
      </c>
      <c r="E88" s="20">
        <v>46178.498368055552</v>
      </c>
      <c r="F88" t="b">
        <v>1</v>
      </c>
      <c r="G88" s="18" t="s">
        <v>143</v>
      </c>
      <c r="H88" s="18" t="s">
        <v>7</v>
      </c>
      <c r="I88" s="18" t="s">
        <v>10</v>
      </c>
      <c r="J88">
        <v>0</v>
      </c>
      <c r="K88" s="18" t="s">
        <v>81</v>
      </c>
      <c r="L88" t="b">
        <v>0</v>
      </c>
      <c r="M88" t="b">
        <v>0</v>
      </c>
      <c r="N88" t="b">
        <v>0</v>
      </c>
    </row>
    <row r="89" spans="1:14" x14ac:dyDescent="0.25">
      <c r="A89" s="18" t="s">
        <v>139</v>
      </c>
      <c r="B89" t="s">
        <v>97</v>
      </c>
      <c r="C89" t="s">
        <v>91</v>
      </c>
      <c r="D89">
        <v>0.3</v>
      </c>
      <c r="E89" s="20">
        <v>46178.498368055552</v>
      </c>
      <c r="F89" t="b">
        <v>1</v>
      </c>
      <c r="G89" s="18" t="s">
        <v>144</v>
      </c>
      <c r="H89" s="18" t="s">
        <v>7</v>
      </c>
      <c r="I89" s="18" t="s">
        <v>10</v>
      </c>
      <c r="J89">
        <v>0</v>
      </c>
      <c r="K89" s="18" t="s">
        <v>81</v>
      </c>
      <c r="L89" t="b">
        <v>0</v>
      </c>
      <c r="M89" t="b">
        <v>0</v>
      </c>
      <c r="N89" t="b">
        <v>0</v>
      </c>
    </row>
    <row r="90" spans="1:14" x14ac:dyDescent="0.25">
      <c r="A90" s="18" t="s">
        <v>139</v>
      </c>
      <c r="B90" t="s">
        <v>99</v>
      </c>
      <c r="D90" t="e">
        <v>#N/A</v>
      </c>
      <c r="E90" s="19">
        <v>0</v>
      </c>
      <c r="F90" t="b">
        <v>1</v>
      </c>
      <c r="G90" s="18" t="s">
        <v>145</v>
      </c>
      <c r="H90" s="18" t="s">
        <v>7</v>
      </c>
      <c r="I90" s="18" t="s">
        <v>10</v>
      </c>
      <c r="J90">
        <v>0</v>
      </c>
      <c r="K90" s="18" t="s">
        <v>81</v>
      </c>
      <c r="L90" t="b">
        <v>0</v>
      </c>
      <c r="M90" t="b">
        <v>0</v>
      </c>
      <c r="N90" t="b">
        <v>0</v>
      </c>
    </row>
    <row r="91" spans="1:14" x14ac:dyDescent="0.25">
      <c r="A91" s="18" t="s">
        <v>139</v>
      </c>
      <c r="B91" t="s">
        <v>101</v>
      </c>
      <c r="C91" t="s">
        <v>91</v>
      </c>
      <c r="D91">
        <v>330</v>
      </c>
      <c r="E91" s="20">
        <v>46178.498391203706</v>
      </c>
      <c r="F91" t="b">
        <v>1</v>
      </c>
      <c r="G91" s="18" t="s">
        <v>47</v>
      </c>
      <c r="H91" s="18" t="s">
        <v>7</v>
      </c>
      <c r="I91" s="18" t="s">
        <v>10</v>
      </c>
      <c r="J91">
        <v>0</v>
      </c>
      <c r="K91" s="18" t="s">
        <v>81</v>
      </c>
      <c r="L91" t="b">
        <v>0</v>
      </c>
      <c r="M91" t="b">
        <v>0</v>
      </c>
      <c r="N91" t="b">
        <v>0</v>
      </c>
    </row>
    <row r="92" spans="1:14" x14ac:dyDescent="0.25">
      <c r="A92" s="18" t="s">
        <v>139</v>
      </c>
      <c r="B92" t="s">
        <v>102</v>
      </c>
      <c r="C92" t="s">
        <v>91</v>
      </c>
      <c r="D92">
        <v>85</v>
      </c>
      <c r="E92" s="20">
        <v>46178.498391203706</v>
      </c>
      <c r="F92" t="b">
        <v>1</v>
      </c>
      <c r="G92" s="18" t="s">
        <v>48</v>
      </c>
      <c r="H92" s="18" t="s">
        <v>7</v>
      </c>
      <c r="I92" s="18" t="s">
        <v>10</v>
      </c>
      <c r="J92">
        <v>0</v>
      </c>
      <c r="K92" s="18" t="s">
        <v>81</v>
      </c>
      <c r="L92" t="b">
        <v>0</v>
      </c>
      <c r="M92" t="b">
        <v>0</v>
      </c>
      <c r="N92" t="b">
        <v>0</v>
      </c>
    </row>
    <row r="93" spans="1:14" x14ac:dyDescent="0.25">
      <c r="A93" s="18" t="s">
        <v>139</v>
      </c>
      <c r="B93" t="s">
        <v>103</v>
      </c>
      <c r="C93" t="s">
        <v>91</v>
      </c>
      <c r="D93">
        <v>359</v>
      </c>
      <c r="E93" s="20">
        <v>46178.498391203706</v>
      </c>
      <c r="F93" t="b">
        <v>1</v>
      </c>
      <c r="G93" s="18" t="s">
        <v>49</v>
      </c>
      <c r="H93" s="18" t="s">
        <v>7</v>
      </c>
      <c r="I93" s="18" t="s">
        <v>10</v>
      </c>
      <c r="J93">
        <v>0</v>
      </c>
      <c r="K93" s="18" t="s">
        <v>81</v>
      </c>
      <c r="L93" t="b">
        <v>0</v>
      </c>
      <c r="M93" t="b">
        <v>0</v>
      </c>
      <c r="N93" t="b">
        <v>0</v>
      </c>
    </row>
    <row r="94" spans="1:14" x14ac:dyDescent="0.25">
      <c r="A94" s="18" t="s">
        <v>139</v>
      </c>
      <c r="B94" t="s">
        <v>104</v>
      </c>
      <c r="C94" t="s">
        <v>91</v>
      </c>
      <c r="D94">
        <v>156</v>
      </c>
      <c r="E94" s="20">
        <v>46178.498391203706</v>
      </c>
      <c r="F94" t="b">
        <v>1</v>
      </c>
      <c r="G94" s="18" t="s">
        <v>50</v>
      </c>
      <c r="H94" s="18" t="s">
        <v>7</v>
      </c>
      <c r="I94" s="18" t="s">
        <v>10</v>
      </c>
      <c r="J94">
        <v>0</v>
      </c>
      <c r="K94" s="18" t="s">
        <v>81</v>
      </c>
      <c r="L94" t="b">
        <v>0</v>
      </c>
      <c r="M94" t="b">
        <v>0</v>
      </c>
      <c r="N94" t="b">
        <v>0</v>
      </c>
    </row>
    <row r="95" spans="1:14" x14ac:dyDescent="0.25">
      <c r="A95" s="18" t="s">
        <v>139</v>
      </c>
      <c r="B95" t="s">
        <v>105</v>
      </c>
      <c r="C95" t="s">
        <v>91</v>
      </c>
      <c r="D95">
        <v>35</v>
      </c>
      <c r="E95" s="20">
        <v>46178.498391203706</v>
      </c>
      <c r="F95" t="b">
        <v>1</v>
      </c>
      <c r="G95" s="18" t="s">
        <v>51</v>
      </c>
      <c r="H95" s="18" t="s">
        <v>7</v>
      </c>
      <c r="I95" s="18" t="s">
        <v>10</v>
      </c>
      <c r="J95">
        <v>0</v>
      </c>
      <c r="K95" s="18" t="s">
        <v>81</v>
      </c>
      <c r="L95" t="b">
        <v>0</v>
      </c>
      <c r="M95" t="b">
        <v>0</v>
      </c>
      <c r="N95" t="b">
        <v>0</v>
      </c>
    </row>
    <row r="96" spans="1:14" x14ac:dyDescent="0.25">
      <c r="A96" s="18" t="s">
        <v>139</v>
      </c>
      <c r="B96" t="s">
        <v>106</v>
      </c>
      <c r="C96" t="s">
        <v>91</v>
      </c>
      <c r="D96">
        <v>35</v>
      </c>
      <c r="E96" s="20">
        <v>46178.498391203706</v>
      </c>
      <c r="F96" t="b">
        <v>1</v>
      </c>
      <c r="G96" s="18" t="s">
        <v>52</v>
      </c>
      <c r="H96" s="18" t="s">
        <v>7</v>
      </c>
      <c r="I96" s="18" t="s">
        <v>10</v>
      </c>
      <c r="J96">
        <v>0</v>
      </c>
      <c r="K96" s="18" t="s">
        <v>81</v>
      </c>
      <c r="L96" t="b">
        <v>0</v>
      </c>
      <c r="M96" t="b">
        <v>0</v>
      </c>
      <c r="N96" t="b">
        <v>0</v>
      </c>
    </row>
    <row r="97" spans="1:14" x14ac:dyDescent="0.25">
      <c r="A97" s="18" t="s">
        <v>146</v>
      </c>
      <c r="B97" t="s">
        <v>80</v>
      </c>
      <c r="D97" t="e">
        <v>#N/A</v>
      </c>
      <c r="E97" s="19">
        <v>0</v>
      </c>
      <c r="F97" t="b">
        <v>1</v>
      </c>
      <c r="G97" s="18" t="s">
        <v>225</v>
      </c>
      <c r="H97" s="18" t="s">
        <v>7</v>
      </c>
      <c r="I97" s="18" t="s">
        <v>193</v>
      </c>
      <c r="J97">
        <v>0</v>
      </c>
      <c r="K97" s="18" t="s">
        <v>81</v>
      </c>
      <c r="L97" t="b">
        <v>0</v>
      </c>
      <c r="M97" t="b">
        <v>0</v>
      </c>
      <c r="N97" t="b">
        <v>0</v>
      </c>
    </row>
    <row r="98" spans="1:14" x14ac:dyDescent="0.25">
      <c r="A98" s="18" t="s">
        <v>146</v>
      </c>
      <c r="B98" t="s">
        <v>82</v>
      </c>
      <c r="D98" t="e">
        <v>#N/A</v>
      </c>
      <c r="E98" s="19">
        <v>0</v>
      </c>
      <c r="F98" t="b">
        <v>1</v>
      </c>
      <c r="G98" s="18" t="s">
        <v>226</v>
      </c>
      <c r="H98" s="18" t="s">
        <v>7</v>
      </c>
      <c r="I98" s="18" t="s">
        <v>193</v>
      </c>
      <c r="J98">
        <v>0</v>
      </c>
      <c r="K98" s="18" t="s">
        <v>81</v>
      </c>
      <c r="L98" t="b">
        <v>0</v>
      </c>
      <c r="M98" t="b">
        <v>0</v>
      </c>
      <c r="N98" t="b">
        <v>0</v>
      </c>
    </row>
    <row r="99" spans="1:14" x14ac:dyDescent="0.25">
      <c r="A99" s="18" t="s">
        <v>146</v>
      </c>
      <c r="B99" t="s">
        <v>83</v>
      </c>
      <c r="D99" t="e">
        <v>#N/A</v>
      </c>
      <c r="E99" s="19">
        <v>0</v>
      </c>
      <c r="F99" t="b">
        <v>1</v>
      </c>
      <c r="G99" s="18" t="s">
        <v>227</v>
      </c>
      <c r="H99" s="18" t="s">
        <v>7</v>
      </c>
      <c r="I99" s="18" t="s">
        <v>193</v>
      </c>
      <c r="J99">
        <v>0</v>
      </c>
      <c r="K99" s="18" t="s">
        <v>81</v>
      </c>
      <c r="L99" t="b">
        <v>0</v>
      </c>
      <c r="M99" t="b">
        <v>0</v>
      </c>
      <c r="N99" t="b">
        <v>0</v>
      </c>
    </row>
    <row r="100" spans="1:14" x14ac:dyDescent="0.25">
      <c r="A100" s="18" t="s">
        <v>146</v>
      </c>
      <c r="B100" t="s">
        <v>84</v>
      </c>
      <c r="D100" t="e">
        <v>#N/A</v>
      </c>
      <c r="E100" s="19">
        <v>0</v>
      </c>
      <c r="F100" t="b">
        <v>1</v>
      </c>
      <c r="G100" s="18" t="s">
        <v>199</v>
      </c>
      <c r="H100" s="18" t="s">
        <v>7</v>
      </c>
      <c r="I100" s="18" t="s">
        <v>193</v>
      </c>
      <c r="J100">
        <v>0</v>
      </c>
      <c r="K100" s="18" t="s">
        <v>81</v>
      </c>
      <c r="L100" t="b">
        <v>0</v>
      </c>
      <c r="M100" t="b">
        <v>0</v>
      </c>
      <c r="N100" t="b">
        <v>0</v>
      </c>
    </row>
    <row r="101" spans="1:14" x14ac:dyDescent="0.25">
      <c r="A101" s="18" t="s">
        <v>146</v>
      </c>
      <c r="B101" t="s">
        <v>85</v>
      </c>
      <c r="D101" t="e">
        <v>#N/A</v>
      </c>
      <c r="E101" s="19">
        <v>0</v>
      </c>
      <c r="F101" t="b">
        <v>1</v>
      </c>
      <c r="G101" s="18" t="s">
        <v>228</v>
      </c>
      <c r="H101" s="18" t="s">
        <v>7</v>
      </c>
      <c r="I101" s="18" t="s">
        <v>193</v>
      </c>
      <c r="J101">
        <v>0</v>
      </c>
      <c r="K101" s="18" t="s">
        <v>81</v>
      </c>
      <c r="L101" t="b">
        <v>0</v>
      </c>
      <c r="M101" t="b">
        <v>0</v>
      </c>
      <c r="N101" t="b">
        <v>0</v>
      </c>
    </row>
    <row r="102" spans="1:14" x14ac:dyDescent="0.25">
      <c r="A102" s="18" t="s">
        <v>146</v>
      </c>
      <c r="B102" t="s">
        <v>86</v>
      </c>
      <c r="D102" t="e">
        <v>#N/A</v>
      </c>
      <c r="E102" s="19">
        <v>0</v>
      </c>
      <c r="F102" t="b">
        <v>1</v>
      </c>
      <c r="G102" s="18" t="s">
        <v>201</v>
      </c>
      <c r="H102" s="18" t="s">
        <v>7</v>
      </c>
      <c r="I102" s="18" t="s">
        <v>193</v>
      </c>
      <c r="J102">
        <v>0</v>
      </c>
      <c r="K102" s="18" t="s">
        <v>81</v>
      </c>
      <c r="L102" t="b">
        <v>0</v>
      </c>
      <c r="M102" t="b">
        <v>0</v>
      </c>
      <c r="N102" t="b">
        <v>0</v>
      </c>
    </row>
    <row r="103" spans="1:14" x14ac:dyDescent="0.25">
      <c r="A103" s="18" t="s">
        <v>146</v>
      </c>
      <c r="B103" t="s">
        <v>87</v>
      </c>
      <c r="D103" t="e">
        <v>#N/A</v>
      </c>
      <c r="E103" s="19">
        <v>0</v>
      </c>
      <c r="F103" t="b">
        <v>1</v>
      </c>
      <c r="G103" s="18" t="s">
        <v>202</v>
      </c>
      <c r="H103" s="18" t="s">
        <v>7</v>
      </c>
      <c r="I103" s="18" t="s">
        <v>193</v>
      </c>
      <c r="J103">
        <v>0</v>
      </c>
      <c r="K103" s="18" t="s">
        <v>81</v>
      </c>
      <c r="L103" t="b">
        <v>0</v>
      </c>
      <c r="M103" t="b">
        <v>0</v>
      </c>
      <c r="N103" t="b">
        <v>0</v>
      </c>
    </row>
    <row r="104" spans="1:14" x14ac:dyDescent="0.25">
      <c r="A104" s="18" t="s">
        <v>146</v>
      </c>
      <c r="B104" t="s">
        <v>88</v>
      </c>
      <c r="D104" t="e">
        <v>#N/A</v>
      </c>
      <c r="E104" s="19">
        <v>0</v>
      </c>
      <c r="F104" t="b">
        <v>1</v>
      </c>
      <c r="G104" s="18" t="s">
        <v>147</v>
      </c>
      <c r="H104" s="18" t="s">
        <v>7</v>
      </c>
      <c r="I104" s="18" t="s">
        <v>13</v>
      </c>
      <c r="J104">
        <v>0</v>
      </c>
      <c r="K104" s="18" t="s">
        <v>81</v>
      </c>
      <c r="L104" t="b">
        <v>0</v>
      </c>
      <c r="M104" t="b">
        <v>0</v>
      </c>
      <c r="N104" t="b">
        <v>0</v>
      </c>
    </row>
    <row r="105" spans="1:14" x14ac:dyDescent="0.25">
      <c r="A105" s="18" t="s">
        <v>146</v>
      </c>
      <c r="B105" t="s">
        <v>90</v>
      </c>
      <c r="C105" t="s">
        <v>91</v>
      </c>
      <c r="D105">
        <v>68.291645799023001</v>
      </c>
      <c r="E105" s="20">
        <v>46178.498449074075</v>
      </c>
      <c r="F105" t="b">
        <v>1</v>
      </c>
      <c r="G105" s="18" t="s">
        <v>148</v>
      </c>
      <c r="H105" s="18" t="s">
        <v>7</v>
      </c>
      <c r="I105" s="18" t="s">
        <v>10</v>
      </c>
      <c r="J105">
        <v>0</v>
      </c>
      <c r="K105" s="18" t="s">
        <v>81</v>
      </c>
      <c r="L105" t="b">
        <v>0</v>
      </c>
      <c r="M105" t="b">
        <v>0</v>
      </c>
      <c r="N105" t="b">
        <v>0</v>
      </c>
    </row>
    <row r="106" spans="1:14" x14ac:dyDescent="0.25">
      <c r="A106" s="18" t="s">
        <v>146</v>
      </c>
      <c r="B106" t="s">
        <v>93</v>
      </c>
      <c r="C106" t="s">
        <v>91</v>
      </c>
      <c r="D106">
        <v>0.86450741438940804</v>
      </c>
      <c r="E106" s="20">
        <v>46178.498460648145</v>
      </c>
      <c r="F106" t="b">
        <v>1</v>
      </c>
      <c r="G106" s="18" t="s">
        <v>149</v>
      </c>
      <c r="H106" s="18" t="s">
        <v>7</v>
      </c>
      <c r="I106" s="18" t="s">
        <v>10</v>
      </c>
      <c r="J106">
        <v>0</v>
      </c>
      <c r="K106" s="18" t="s">
        <v>81</v>
      </c>
      <c r="L106" t="b">
        <v>0</v>
      </c>
      <c r="M106" t="b">
        <v>0</v>
      </c>
      <c r="N106" t="b">
        <v>0</v>
      </c>
    </row>
    <row r="107" spans="1:14" x14ac:dyDescent="0.25">
      <c r="A107" s="18" t="s">
        <v>146</v>
      </c>
      <c r="B107" t="s">
        <v>95</v>
      </c>
      <c r="C107" t="s">
        <v>91</v>
      </c>
      <c r="D107">
        <v>80.896181538461505</v>
      </c>
      <c r="E107" s="20">
        <v>46178.498460648145</v>
      </c>
      <c r="F107" t="b">
        <v>1</v>
      </c>
      <c r="G107" s="18" t="s">
        <v>150</v>
      </c>
      <c r="H107" s="18" t="s">
        <v>7</v>
      </c>
      <c r="I107" s="18" t="s">
        <v>10</v>
      </c>
      <c r="J107">
        <v>0</v>
      </c>
      <c r="K107" s="18" t="s">
        <v>81</v>
      </c>
      <c r="L107" t="b">
        <v>0</v>
      </c>
      <c r="M107" t="b">
        <v>0</v>
      </c>
      <c r="N107" t="b">
        <v>0</v>
      </c>
    </row>
    <row r="108" spans="1:14" x14ac:dyDescent="0.25">
      <c r="A108" s="18" t="s">
        <v>146</v>
      </c>
      <c r="B108" t="s">
        <v>97</v>
      </c>
      <c r="C108" t="s">
        <v>91</v>
      </c>
      <c r="D108">
        <v>0.3</v>
      </c>
      <c r="E108" s="20">
        <v>46178.498472222222</v>
      </c>
      <c r="F108" t="b">
        <v>1</v>
      </c>
      <c r="G108" s="18" t="s">
        <v>151</v>
      </c>
      <c r="H108" s="18" t="s">
        <v>7</v>
      </c>
      <c r="I108" s="18" t="s">
        <v>10</v>
      </c>
      <c r="J108">
        <v>0</v>
      </c>
      <c r="K108" s="18" t="s">
        <v>81</v>
      </c>
      <c r="L108" t="b">
        <v>0</v>
      </c>
      <c r="M108" t="b">
        <v>0</v>
      </c>
      <c r="N108" t="b">
        <v>0</v>
      </c>
    </row>
    <row r="109" spans="1:14" x14ac:dyDescent="0.25">
      <c r="A109" s="18" t="s">
        <v>146</v>
      </c>
      <c r="B109" t="s">
        <v>99</v>
      </c>
      <c r="D109" t="e">
        <v>#N/A</v>
      </c>
      <c r="E109" s="19">
        <v>0</v>
      </c>
      <c r="F109" t="b">
        <v>1</v>
      </c>
      <c r="G109" s="18" t="s">
        <v>152</v>
      </c>
      <c r="H109" s="18" t="s">
        <v>7</v>
      </c>
      <c r="I109" s="18" t="s">
        <v>10</v>
      </c>
      <c r="J109">
        <v>0</v>
      </c>
      <c r="K109" s="18" t="s">
        <v>81</v>
      </c>
      <c r="L109" t="b">
        <v>0</v>
      </c>
      <c r="M109" t="b">
        <v>0</v>
      </c>
      <c r="N109" t="b">
        <v>0</v>
      </c>
    </row>
    <row r="110" spans="1:14" x14ac:dyDescent="0.25">
      <c r="A110" s="18" t="s">
        <v>146</v>
      </c>
      <c r="B110" t="s">
        <v>101</v>
      </c>
      <c r="C110" t="s">
        <v>91</v>
      </c>
      <c r="D110">
        <v>330</v>
      </c>
      <c r="E110" s="20">
        <v>46178.498483796298</v>
      </c>
      <c r="F110" t="b">
        <v>1</v>
      </c>
      <c r="G110" s="18" t="s">
        <v>47</v>
      </c>
      <c r="H110" s="18" t="s">
        <v>7</v>
      </c>
      <c r="I110" s="18" t="s">
        <v>10</v>
      </c>
      <c r="J110">
        <v>0</v>
      </c>
      <c r="K110" s="18" t="s">
        <v>81</v>
      </c>
      <c r="L110" t="b">
        <v>0</v>
      </c>
      <c r="M110" t="b">
        <v>0</v>
      </c>
      <c r="N110" t="b">
        <v>0</v>
      </c>
    </row>
    <row r="111" spans="1:14" x14ac:dyDescent="0.25">
      <c r="A111" s="18" t="s">
        <v>146</v>
      </c>
      <c r="B111" t="s">
        <v>102</v>
      </c>
      <c r="C111" t="s">
        <v>91</v>
      </c>
      <c r="D111">
        <v>85</v>
      </c>
      <c r="E111" s="20">
        <v>46178.498483796298</v>
      </c>
      <c r="F111" t="b">
        <v>1</v>
      </c>
      <c r="G111" s="18" t="s">
        <v>48</v>
      </c>
      <c r="H111" s="18" t="s">
        <v>7</v>
      </c>
      <c r="I111" s="18" t="s">
        <v>10</v>
      </c>
      <c r="J111">
        <v>0</v>
      </c>
      <c r="K111" s="18" t="s">
        <v>81</v>
      </c>
      <c r="L111" t="b">
        <v>0</v>
      </c>
      <c r="M111" t="b">
        <v>0</v>
      </c>
      <c r="N111" t="b">
        <v>0</v>
      </c>
    </row>
    <row r="112" spans="1:14" x14ac:dyDescent="0.25">
      <c r="A112" s="18" t="s">
        <v>146</v>
      </c>
      <c r="B112" t="s">
        <v>103</v>
      </c>
      <c r="C112" t="s">
        <v>91</v>
      </c>
      <c r="D112">
        <v>359</v>
      </c>
      <c r="E112" s="20">
        <v>46178.498483796298</v>
      </c>
      <c r="F112" t="b">
        <v>1</v>
      </c>
      <c r="G112" s="18" t="s">
        <v>49</v>
      </c>
      <c r="H112" s="18" t="s">
        <v>7</v>
      </c>
      <c r="I112" s="18" t="s">
        <v>10</v>
      </c>
      <c r="J112">
        <v>0</v>
      </c>
      <c r="K112" s="18" t="s">
        <v>81</v>
      </c>
      <c r="L112" t="b">
        <v>0</v>
      </c>
      <c r="M112" t="b">
        <v>0</v>
      </c>
      <c r="N112" t="b">
        <v>0</v>
      </c>
    </row>
    <row r="113" spans="1:14" x14ac:dyDescent="0.25">
      <c r="A113" s="18" t="s">
        <v>146</v>
      </c>
      <c r="B113" t="s">
        <v>104</v>
      </c>
      <c r="C113" t="s">
        <v>91</v>
      </c>
      <c r="D113">
        <v>156</v>
      </c>
      <c r="E113" s="20">
        <v>46178.498495370368</v>
      </c>
      <c r="F113" t="b">
        <v>1</v>
      </c>
      <c r="G113" s="18" t="s">
        <v>50</v>
      </c>
      <c r="H113" s="18" t="s">
        <v>7</v>
      </c>
      <c r="I113" s="18" t="s">
        <v>10</v>
      </c>
      <c r="J113">
        <v>0</v>
      </c>
      <c r="K113" s="18" t="s">
        <v>81</v>
      </c>
      <c r="L113" t="b">
        <v>0</v>
      </c>
      <c r="M113" t="b">
        <v>0</v>
      </c>
      <c r="N113" t="b">
        <v>0</v>
      </c>
    </row>
    <row r="114" spans="1:14" x14ac:dyDescent="0.25">
      <c r="A114" s="18" t="s">
        <v>146</v>
      </c>
      <c r="B114" t="s">
        <v>105</v>
      </c>
      <c r="C114" t="s">
        <v>91</v>
      </c>
      <c r="D114">
        <v>35</v>
      </c>
      <c r="E114" s="20">
        <v>46178.498495370368</v>
      </c>
      <c r="F114" t="b">
        <v>1</v>
      </c>
      <c r="G114" s="18" t="s">
        <v>51</v>
      </c>
      <c r="H114" s="18" t="s">
        <v>7</v>
      </c>
      <c r="I114" s="18" t="s">
        <v>10</v>
      </c>
      <c r="J114">
        <v>0</v>
      </c>
      <c r="K114" s="18" t="s">
        <v>81</v>
      </c>
      <c r="L114" t="b">
        <v>0</v>
      </c>
      <c r="M114" t="b">
        <v>0</v>
      </c>
      <c r="N114" t="b">
        <v>0</v>
      </c>
    </row>
    <row r="115" spans="1:14" x14ac:dyDescent="0.25">
      <c r="A115" s="18" t="s">
        <v>146</v>
      </c>
      <c r="B115" t="s">
        <v>106</v>
      </c>
      <c r="C115" t="s">
        <v>91</v>
      </c>
      <c r="D115">
        <v>35</v>
      </c>
      <c r="E115" s="20">
        <v>46178.498495370368</v>
      </c>
      <c r="F115" t="b">
        <v>1</v>
      </c>
      <c r="G115" s="18" t="s">
        <v>52</v>
      </c>
      <c r="H115" s="18" t="s">
        <v>7</v>
      </c>
      <c r="I115" s="18" t="s">
        <v>10</v>
      </c>
      <c r="J115">
        <v>0</v>
      </c>
      <c r="K115" s="18" t="s">
        <v>81</v>
      </c>
      <c r="L115" t="b">
        <v>0</v>
      </c>
      <c r="M115" t="b">
        <v>0</v>
      </c>
      <c r="N115" t="b">
        <v>0</v>
      </c>
    </row>
    <row r="116" spans="1:14" x14ac:dyDescent="0.25">
      <c r="A116" s="18" t="s">
        <v>153</v>
      </c>
      <c r="B116" t="s">
        <v>80</v>
      </c>
      <c r="D116" t="e">
        <v>#N/A</v>
      </c>
      <c r="E116" s="19">
        <v>0</v>
      </c>
      <c r="F116" t="b">
        <v>1</v>
      </c>
      <c r="G116" s="18" t="s">
        <v>229</v>
      </c>
      <c r="H116" s="18" t="s">
        <v>7</v>
      </c>
      <c r="I116" s="18" t="s">
        <v>193</v>
      </c>
      <c r="J116">
        <v>0</v>
      </c>
      <c r="K116" s="18" t="s">
        <v>81</v>
      </c>
      <c r="L116" t="b">
        <v>0</v>
      </c>
      <c r="M116" t="b">
        <v>0</v>
      </c>
      <c r="N116" t="b">
        <v>0</v>
      </c>
    </row>
    <row r="117" spans="1:14" x14ac:dyDescent="0.25">
      <c r="A117" s="18" t="s">
        <v>153</v>
      </c>
      <c r="B117" t="s">
        <v>82</v>
      </c>
      <c r="D117" t="e">
        <v>#N/A</v>
      </c>
      <c r="E117" s="19">
        <v>0</v>
      </c>
      <c r="F117" t="b">
        <v>1</v>
      </c>
      <c r="G117" s="18" t="s">
        <v>230</v>
      </c>
      <c r="H117" s="18" t="s">
        <v>7</v>
      </c>
      <c r="I117" s="18" t="s">
        <v>193</v>
      </c>
      <c r="J117">
        <v>0</v>
      </c>
      <c r="K117" s="18" t="s">
        <v>81</v>
      </c>
      <c r="L117" t="b">
        <v>0</v>
      </c>
      <c r="M117" t="b">
        <v>0</v>
      </c>
      <c r="N117" t="b">
        <v>0</v>
      </c>
    </row>
    <row r="118" spans="1:14" x14ac:dyDescent="0.25">
      <c r="A118" s="18" t="s">
        <v>153</v>
      </c>
      <c r="B118" t="s">
        <v>83</v>
      </c>
      <c r="D118" t="e">
        <v>#N/A</v>
      </c>
      <c r="E118" s="19">
        <v>0</v>
      </c>
      <c r="F118" t="b">
        <v>1</v>
      </c>
      <c r="G118" s="18" t="s">
        <v>231</v>
      </c>
      <c r="H118" s="18" t="s">
        <v>7</v>
      </c>
      <c r="I118" s="18" t="s">
        <v>193</v>
      </c>
      <c r="J118">
        <v>0</v>
      </c>
      <c r="K118" s="18" t="s">
        <v>81</v>
      </c>
      <c r="L118" t="b">
        <v>0</v>
      </c>
      <c r="M118" t="b">
        <v>0</v>
      </c>
      <c r="N118" t="b">
        <v>0</v>
      </c>
    </row>
    <row r="119" spans="1:14" x14ac:dyDescent="0.25">
      <c r="A119" s="18" t="s">
        <v>153</v>
      </c>
      <c r="B119" t="s">
        <v>84</v>
      </c>
      <c r="D119" t="e">
        <v>#N/A</v>
      </c>
      <c r="E119" s="19">
        <v>0</v>
      </c>
      <c r="F119" t="b">
        <v>1</v>
      </c>
      <c r="G119" s="18" t="s">
        <v>199</v>
      </c>
      <c r="H119" s="18" t="s">
        <v>7</v>
      </c>
      <c r="I119" s="18" t="s">
        <v>193</v>
      </c>
      <c r="J119">
        <v>0</v>
      </c>
      <c r="K119" s="18" t="s">
        <v>81</v>
      </c>
      <c r="L119" t="b">
        <v>0</v>
      </c>
      <c r="M119" t="b">
        <v>0</v>
      </c>
      <c r="N119" t="b">
        <v>0</v>
      </c>
    </row>
    <row r="120" spans="1:14" x14ac:dyDescent="0.25">
      <c r="A120" s="18" t="s">
        <v>153</v>
      </c>
      <c r="B120" t="s">
        <v>85</v>
      </c>
      <c r="D120" t="e">
        <v>#N/A</v>
      </c>
      <c r="E120" s="19">
        <v>0</v>
      </c>
      <c r="F120" t="b">
        <v>1</v>
      </c>
      <c r="G120" s="18" t="s">
        <v>232</v>
      </c>
      <c r="H120" s="18" t="s">
        <v>7</v>
      </c>
      <c r="I120" s="18" t="s">
        <v>193</v>
      </c>
      <c r="J120">
        <v>0</v>
      </c>
      <c r="K120" s="18" t="s">
        <v>81</v>
      </c>
      <c r="L120" t="b">
        <v>0</v>
      </c>
      <c r="M120" t="b">
        <v>0</v>
      </c>
      <c r="N120" t="b">
        <v>0</v>
      </c>
    </row>
    <row r="121" spans="1:14" x14ac:dyDescent="0.25">
      <c r="A121" s="18" t="s">
        <v>153</v>
      </c>
      <c r="B121" t="s">
        <v>86</v>
      </c>
      <c r="D121" t="e">
        <v>#N/A</v>
      </c>
      <c r="E121" s="19">
        <v>0</v>
      </c>
      <c r="F121" t="b">
        <v>1</v>
      </c>
      <c r="G121" s="18" t="s">
        <v>201</v>
      </c>
      <c r="H121" s="18" t="s">
        <v>7</v>
      </c>
      <c r="I121" s="18" t="s">
        <v>193</v>
      </c>
      <c r="J121">
        <v>0</v>
      </c>
      <c r="K121" s="18" t="s">
        <v>81</v>
      </c>
      <c r="L121" t="b">
        <v>0</v>
      </c>
      <c r="M121" t="b">
        <v>0</v>
      </c>
      <c r="N121" t="b">
        <v>0</v>
      </c>
    </row>
    <row r="122" spans="1:14" x14ac:dyDescent="0.25">
      <c r="A122" s="18" t="s">
        <v>153</v>
      </c>
      <c r="B122" t="s">
        <v>87</v>
      </c>
      <c r="D122" t="e">
        <v>#N/A</v>
      </c>
      <c r="E122" s="19">
        <v>0</v>
      </c>
      <c r="F122" t="b">
        <v>1</v>
      </c>
      <c r="G122" s="18" t="s">
        <v>202</v>
      </c>
      <c r="H122" s="18" t="s">
        <v>7</v>
      </c>
      <c r="I122" s="18" t="s">
        <v>193</v>
      </c>
      <c r="J122">
        <v>0</v>
      </c>
      <c r="K122" s="18" t="s">
        <v>81</v>
      </c>
      <c r="L122" t="b">
        <v>0</v>
      </c>
      <c r="M122" t="b">
        <v>0</v>
      </c>
      <c r="N122" t="b">
        <v>0</v>
      </c>
    </row>
    <row r="123" spans="1:14" x14ac:dyDescent="0.25">
      <c r="A123" s="18" t="s">
        <v>153</v>
      </c>
      <c r="B123" t="s">
        <v>88</v>
      </c>
      <c r="D123" t="e">
        <v>#N/A</v>
      </c>
      <c r="E123" s="19">
        <v>0</v>
      </c>
      <c r="F123" t="b">
        <v>1</v>
      </c>
      <c r="G123" s="18" t="s">
        <v>154</v>
      </c>
      <c r="H123" s="18" t="s">
        <v>7</v>
      </c>
      <c r="I123" s="18" t="s">
        <v>13</v>
      </c>
      <c r="J123">
        <v>0</v>
      </c>
      <c r="K123" s="18" t="s">
        <v>81</v>
      </c>
      <c r="L123" t="b">
        <v>0</v>
      </c>
      <c r="M123" t="b">
        <v>0</v>
      </c>
      <c r="N123" t="b">
        <v>0</v>
      </c>
    </row>
    <row r="124" spans="1:14" x14ac:dyDescent="0.25">
      <c r="A124" s="18" t="s">
        <v>153</v>
      </c>
      <c r="B124" t="s">
        <v>90</v>
      </c>
      <c r="C124" t="s">
        <v>91</v>
      </c>
      <c r="D124">
        <v>68.291673103335697</v>
      </c>
      <c r="E124" s="20">
        <v>46178.498553240737</v>
      </c>
      <c r="F124" t="b">
        <v>1</v>
      </c>
      <c r="G124" s="18" t="s">
        <v>155</v>
      </c>
      <c r="H124" s="18" t="s">
        <v>7</v>
      </c>
      <c r="I124" s="18" t="s">
        <v>10</v>
      </c>
      <c r="J124">
        <v>0</v>
      </c>
      <c r="K124" s="18" t="s">
        <v>81</v>
      </c>
      <c r="L124" t="b">
        <v>0</v>
      </c>
      <c r="M124" t="b">
        <v>0</v>
      </c>
      <c r="N124" t="b">
        <v>0</v>
      </c>
    </row>
    <row r="125" spans="1:14" x14ac:dyDescent="0.25">
      <c r="A125" s="18" t="s">
        <v>153</v>
      </c>
      <c r="B125" t="s">
        <v>93</v>
      </c>
      <c r="C125" t="s">
        <v>91</v>
      </c>
      <c r="D125">
        <v>0.71982449635397405</v>
      </c>
      <c r="E125" s="20">
        <v>46178.498564814814</v>
      </c>
      <c r="F125" t="b">
        <v>1</v>
      </c>
      <c r="G125" s="18" t="s">
        <v>156</v>
      </c>
      <c r="H125" s="18" t="s">
        <v>7</v>
      </c>
      <c r="I125" s="18" t="s">
        <v>10</v>
      </c>
      <c r="J125">
        <v>0</v>
      </c>
      <c r="K125" s="18" t="s">
        <v>81</v>
      </c>
      <c r="L125" t="b">
        <v>0</v>
      </c>
      <c r="M125" t="b">
        <v>0</v>
      </c>
      <c r="N125" t="b">
        <v>0</v>
      </c>
    </row>
    <row r="126" spans="1:14" x14ac:dyDescent="0.25">
      <c r="A126" s="18" t="s">
        <v>153</v>
      </c>
      <c r="B126" t="s">
        <v>95</v>
      </c>
      <c r="C126" t="s">
        <v>91</v>
      </c>
      <c r="D126">
        <v>80.896181538461505</v>
      </c>
      <c r="E126" s="20">
        <v>46178.498564814814</v>
      </c>
      <c r="F126" t="b">
        <v>1</v>
      </c>
      <c r="G126" s="18" t="s">
        <v>157</v>
      </c>
      <c r="H126" s="18" t="s">
        <v>7</v>
      </c>
      <c r="I126" s="18" t="s">
        <v>10</v>
      </c>
      <c r="J126">
        <v>0</v>
      </c>
      <c r="K126" s="18" t="s">
        <v>81</v>
      </c>
      <c r="L126" t="b">
        <v>0</v>
      </c>
      <c r="M126" t="b">
        <v>0</v>
      </c>
      <c r="N126" t="b">
        <v>0</v>
      </c>
    </row>
    <row r="127" spans="1:14" x14ac:dyDescent="0.25">
      <c r="A127" s="18" t="s">
        <v>153</v>
      </c>
      <c r="B127" t="s">
        <v>97</v>
      </c>
      <c r="C127" t="s">
        <v>91</v>
      </c>
      <c r="D127">
        <v>0.3</v>
      </c>
      <c r="E127" s="20">
        <v>46178.498576388891</v>
      </c>
      <c r="F127" t="b">
        <v>1</v>
      </c>
      <c r="G127" s="18" t="s">
        <v>158</v>
      </c>
      <c r="H127" s="18" t="s">
        <v>7</v>
      </c>
      <c r="I127" s="18" t="s">
        <v>10</v>
      </c>
      <c r="J127">
        <v>0</v>
      </c>
      <c r="K127" s="18" t="s">
        <v>81</v>
      </c>
      <c r="L127" t="b">
        <v>0</v>
      </c>
      <c r="M127" t="b">
        <v>0</v>
      </c>
      <c r="N127" t="b">
        <v>0</v>
      </c>
    </row>
    <row r="128" spans="1:14" x14ac:dyDescent="0.25">
      <c r="A128" s="18" t="s">
        <v>153</v>
      </c>
      <c r="B128" t="s">
        <v>99</v>
      </c>
      <c r="D128" t="e">
        <v>#N/A</v>
      </c>
      <c r="E128" s="19">
        <v>0</v>
      </c>
      <c r="F128" t="b">
        <v>1</v>
      </c>
      <c r="G128" s="18" t="s">
        <v>159</v>
      </c>
      <c r="H128" s="18" t="s">
        <v>7</v>
      </c>
      <c r="I128" s="18" t="s">
        <v>10</v>
      </c>
      <c r="J128">
        <v>0</v>
      </c>
      <c r="K128" s="18" t="s">
        <v>81</v>
      </c>
      <c r="L128" t="b">
        <v>0</v>
      </c>
      <c r="M128" t="b">
        <v>0</v>
      </c>
      <c r="N128" t="b">
        <v>0</v>
      </c>
    </row>
    <row r="129" spans="1:14" x14ac:dyDescent="0.25">
      <c r="A129" s="18" t="s">
        <v>153</v>
      </c>
      <c r="B129" t="s">
        <v>101</v>
      </c>
      <c r="C129" t="s">
        <v>91</v>
      </c>
      <c r="D129">
        <v>330</v>
      </c>
      <c r="E129" s="20">
        <v>46178.49858796296</v>
      </c>
      <c r="F129" t="b">
        <v>1</v>
      </c>
      <c r="G129" s="18" t="s">
        <v>47</v>
      </c>
      <c r="H129" s="18" t="s">
        <v>7</v>
      </c>
      <c r="I129" s="18" t="s">
        <v>10</v>
      </c>
      <c r="J129">
        <v>0</v>
      </c>
      <c r="K129" s="18" t="s">
        <v>81</v>
      </c>
      <c r="L129" t="b">
        <v>0</v>
      </c>
      <c r="M129" t="b">
        <v>0</v>
      </c>
      <c r="N129" t="b">
        <v>0</v>
      </c>
    </row>
    <row r="130" spans="1:14" x14ac:dyDescent="0.25">
      <c r="A130" s="18" t="s">
        <v>153</v>
      </c>
      <c r="B130" t="s">
        <v>102</v>
      </c>
      <c r="C130" t="s">
        <v>91</v>
      </c>
      <c r="D130">
        <v>85</v>
      </c>
      <c r="E130" s="20">
        <v>46178.49858796296</v>
      </c>
      <c r="F130" t="b">
        <v>1</v>
      </c>
      <c r="G130" s="18" t="s">
        <v>48</v>
      </c>
      <c r="H130" s="18" t="s">
        <v>7</v>
      </c>
      <c r="I130" s="18" t="s">
        <v>10</v>
      </c>
      <c r="J130">
        <v>0</v>
      </c>
      <c r="K130" s="18" t="s">
        <v>81</v>
      </c>
      <c r="L130" t="b">
        <v>0</v>
      </c>
      <c r="M130" t="b">
        <v>0</v>
      </c>
      <c r="N130" t="b">
        <v>0</v>
      </c>
    </row>
    <row r="131" spans="1:14" x14ac:dyDescent="0.25">
      <c r="A131" s="18" t="s">
        <v>153</v>
      </c>
      <c r="B131" t="s">
        <v>103</v>
      </c>
      <c r="C131" t="s">
        <v>91</v>
      </c>
      <c r="D131">
        <v>359</v>
      </c>
      <c r="E131" s="20">
        <v>46178.49858796296</v>
      </c>
      <c r="F131" t="b">
        <v>1</v>
      </c>
      <c r="G131" s="18" t="s">
        <v>49</v>
      </c>
      <c r="H131" s="18" t="s">
        <v>7</v>
      </c>
      <c r="I131" s="18" t="s">
        <v>10</v>
      </c>
      <c r="J131">
        <v>0</v>
      </c>
      <c r="K131" s="18" t="s">
        <v>81</v>
      </c>
      <c r="L131" t="b">
        <v>0</v>
      </c>
      <c r="M131" t="b">
        <v>0</v>
      </c>
      <c r="N131" t="b">
        <v>0</v>
      </c>
    </row>
    <row r="132" spans="1:14" x14ac:dyDescent="0.25">
      <c r="A132" s="18" t="s">
        <v>153</v>
      </c>
      <c r="B132" t="s">
        <v>104</v>
      </c>
      <c r="C132" t="s">
        <v>91</v>
      </c>
      <c r="D132">
        <v>156</v>
      </c>
      <c r="E132" s="20">
        <v>46178.49858796296</v>
      </c>
      <c r="F132" t="b">
        <v>1</v>
      </c>
      <c r="G132" s="18" t="s">
        <v>50</v>
      </c>
      <c r="H132" s="18" t="s">
        <v>7</v>
      </c>
      <c r="I132" s="18" t="s">
        <v>10</v>
      </c>
      <c r="J132">
        <v>0</v>
      </c>
      <c r="K132" s="18" t="s">
        <v>81</v>
      </c>
      <c r="L132" t="b">
        <v>0</v>
      </c>
      <c r="M132" t="b">
        <v>0</v>
      </c>
      <c r="N132" t="b">
        <v>0</v>
      </c>
    </row>
    <row r="133" spans="1:14" x14ac:dyDescent="0.25">
      <c r="A133" s="18" t="s">
        <v>153</v>
      </c>
      <c r="B133" t="s">
        <v>105</v>
      </c>
      <c r="C133" t="s">
        <v>91</v>
      </c>
      <c r="D133">
        <v>35</v>
      </c>
      <c r="E133" s="20">
        <v>46178.49858796296</v>
      </c>
      <c r="F133" t="b">
        <v>1</v>
      </c>
      <c r="G133" s="18" t="s">
        <v>51</v>
      </c>
      <c r="H133" s="18" t="s">
        <v>7</v>
      </c>
      <c r="I133" s="18" t="s">
        <v>10</v>
      </c>
      <c r="J133">
        <v>0</v>
      </c>
      <c r="K133" s="18" t="s">
        <v>81</v>
      </c>
      <c r="L133" t="b">
        <v>0</v>
      </c>
      <c r="M133" t="b">
        <v>0</v>
      </c>
      <c r="N133" t="b">
        <v>0</v>
      </c>
    </row>
    <row r="134" spans="1:14" x14ac:dyDescent="0.25">
      <c r="A134" s="18" t="s">
        <v>153</v>
      </c>
      <c r="B134" t="s">
        <v>106</v>
      </c>
      <c r="C134" t="s">
        <v>91</v>
      </c>
      <c r="D134">
        <v>35</v>
      </c>
      <c r="E134" s="20">
        <v>46178.49858796296</v>
      </c>
      <c r="F134" t="b">
        <v>1</v>
      </c>
      <c r="G134" s="18" t="s">
        <v>52</v>
      </c>
      <c r="H134" s="18" t="s">
        <v>7</v>
      </c>
      <c r="I134" s="18" t="s">
        <v>10</v>
      </c>
      <c r="J134">
        <v>0</v>
      </c>
      <c r="K134" s="18" t="s">
        <v>81</v>
      </c>
      <c r="L134" t="b">
        <v>0</v>
      </c>
      <c r="M134" t="b">
        <v>0</v>
      </c>
      <c r="N134" t="b">
        <v>0</v>
      </c>
    </row>
    <row r="135" spans="1:14" x14ac:dyDescent="0.25">
      <c r="A135" s="18" t="s">
        <v>160</v>
      </c>
      <c r="B135" t="s">
        <v>80</v>
      </c>
      <c r="D135" t="e">
        <v>#N/A</v>
      </c>
      <c r="E135" s="19">
        <v>0</v>
      </c>
      <c r="F135" t="b">
        <v>1</v>
      </c>
      <c r="G135" s="18" t="s">
        <v>233</v>
      </c>
      <c r="H135" s="18" t="s">
        <v>7</v>
      </c>
      <c r="I135" s="18" t="s">
        <v>193</v>
      </c>
      <c r="J135">
        <v>0</v>
      </c>
      <c r="K135" s="18" t="s">
        <v>81</v>
      </c>
      <c r="L135" t="b">
        <v>0</v>
      </c>
      <c r="M135" t="b">
        <v>0</v>
      </c>
      <c r="N135" t="b">
        <v>0</v>
      </c>
    </row>
    <row r="136" spans="1:14" x14ac:dyDescent="0.25">
      <c r="A136" s="18" t="s">
        <v>160</v>
      </c>
      <c r="B136" t="s">
        <v>82</v>
      </c>
      <c r="D136" t="e">
        <v>#N/A</v>
      </c>
      <c r="E136" s="19">
        <v>0</v>
      </c>
      <c r="F136" t="b">
        <v>1</v>
      </c>
      <c r="G136" s="18" t="s">
        <v>234</v>
      </c>
      <c r="H136" s="18" t="s">
        <v>7</v>
      </c>
      <c r="I136" s="18" t="s">
        <v>193</v>
      </c>
      <c r="J136">
        <v>0</v>
      </c>
      <c r="K136" s="18" t="s">
        <v>81</v>
      </c>
      <c r="L136" t="b">
        <v>0</v>
      </c>
      <c r="M136" t="b">
        <v>0</v>
      </c>
      <c r="N136" t="b">
        <v>0</v>
      </c>
    </row>
    <row r="137" spans="1:14" x14ac:dyDescent="0.25">
      <c r="A137" s="18" t="s">
        <v>160</v>
      </c>
      <c r="B137" t="s">
        <v>83</v>
      </c>
      <c r="D137" t="e">
        <v>#N/A</v>
      </c>
      <c r="E137" s="19">
        <v>0</v>
      </c>
      <c r="F137" t="b">
        <v>1</v>
      </c>
      <c r="G137" s="18" t="s">
        <v>235</v>
      </c>
      <c r="H137" s="18" t="s">
        <v>7</v>
      </c>
      <c r="I137" s="18" t="s">
        <v>193</v>
      </c>
      <c r="J137">
        <v>0</v>
      </c>
      <c r="K137" s="18" t="s">
        <v>81</v>
      </c>
      <c r="L137" t="b">
        <v>0</v>
      </c>
      <c r="M137" t="b">
        <v>0</v>
      </c>
      <c r="N137" t="b">
        <v>0</v>
      </c>
    </row>
    <row r="138" spans="1:14" x14ac:dyDescent="0.25">
      <c r="A138" s="18" t="s">
        <v>160</v>
      </c>
      <c r="B138" t="s">
        <v>84</v>
      </c>
      <c r="D138" t="e">
        <v>#N/A</v>
      </c>
      <c r="E138" s="19">
        <v>0</v>
      </c>
      <c r="F138" t="b">
        <v>1</v>
      </c>
      <c r="G138" s="18" t="s">
        <v>199</v>
      </c>
      <c r="H138" s="18" t="s">
        <v>7</v>
      </c>
      <c r="I138" s="18" t="s">
        <v>193</v>
      </c>
      <c r="J138">
        <v>0</v>
      </c>
      <c r="K138" s="18" t="s">
        <v>81</v>
      </c>
      <c r="L138" t="b">
        <v>0</v>
      </c>
      <c r="M138" t="b">
        <v>0</v>
      </c>
      <c r="N138" t="b">
        <v>0</v>
      </c>
    </row>
    <row r="139" spans="1:14" x14ac:dyDescent="0.25">
      <c r="A139" s="18" t="s">
        <v>160</v>
      </c>
      <c r="B139" t="s">
        <v>85</v>
      </c>
      <c r="D139" t="e">
        <v>#N/A</v>
      </c>
      <c r="E139" s="19">
        <v>0</v>
      </c>
      <c r="F139" t="b">
        <v>1</v>
      </c>
      <c r="G139" s="18" t="s">
        <v>236</v>
      </c>
      <c r="H139" s="18" t="s">
        <v>7</v>
      </c>
      <c r="I139" s="18" t="s">
        <v>193</v>
      </c>
      <c r="J139">
        <v>0</v>
      </c>
      <c r="K139" s="18" t="s">
        <v>81</v>
      </c>
      <c r="L139" t="b">
        <v>0</v>
      </c>
      <c r="M139" t="b">
        <v>0</v>
      </c>
      <c r="N139" t="b">
        <v>0</v>
      </c>
    </row>
    <row r="140" spans="1:14" x14ac:dyDescent="0.25">
      <c r="A140" s="18" t="s">
        <v>160</v>
      </c>
      <c r="B140" t="s">
        <v>86</v>
      </c>
      <c r="D140" t="e">
        <v>#N/A</v>
      </c>
      <c r="E140" s="19">
        <v>0</v>
      </c>
      <c r="F140" t="b">
        <v>1</v>
      </c>
      <c r="G140" s="18" t="s">
        <v>201</v>
      </c>
      <c r="H140" s="18" t="s">
        <v>7</v>
      </c>
      <c r="I140" s="18" t="s">
        <v>193</v>
      </c>
      <c r="J140">
        <v>0</v>
      </c>
      <c r="K140" s="18" t="s">
        <v>81</v>
      </c>
      <c r="L140" t="b">
        <v>0</v>
      </c>
      <c r="M140" t="b">
        <v>0</v>
      </c>
      <c r="N140" t="b">
        <v>0</v>
      </c>
    </row>
    <row r="141" spans="1:14" x14ac:dyDescent="0.25">
      <c r="A141" s="18" t="s">
        <v>160</v>
      </c>
      <c r="B141" t="s">
        <v>87</v>
      </c>
      <c r="D141" t="e">
        <v>#N/A</v>
      </c>
      <c r="E141" s="19">
        <v>0</v>
      </c>
      <c r="F141" t="b">
        <v>1</v>
      </c>
      <c r="G141" s="18" t="s">
        <v>202</v>
      </c>
      <c r="H141" s="18" t="s">
        <v>7</v>
      </c>
      <c r="I141" s="18" t="s">
        <v>193</v>
      </c>
      <c r="J141">
        <v>0</v>
      </c>
      <c r="K141" s="18" t="s">
        <v>81</v>
      </c>
      <c r="L141" t="b">
        <v>0</v>
      </c>
      <c r="M141" t="b">
        <v>0</v>
      </c>
      <c r="N141" t="b">
        <v>0</v>
      </c>
    </row>
    <row r="142" spans="1:14" x14ac:dyDescent="0.25">
      <c r="A142" s="18" t="s">
        <v>160</v>
      </c>
      <c r="B142" t="s">
        <v>88</v>
      </c>
      <c r="D142" t="e">
        <v>#N/A</v>
      </c>
      <c r="E142" s="19">
        <v>0</v>
      </c>
      <c r="F142" t="b">
        <v>1</v>
      </c>
      <c r="G142" s="18" t="s">
        <v>161</v>
      </c>
      <c r="H142" s="18" t="s">
        <v>7</v>
      </c>
      <c r="I142" s="18" t="s">
        <v>13</v>
      </c>
      <c r="J142">
        <v>0</v>
      </c>
      <c r="K142" s="18" t="s">
        <v>81</v>
      </c>
      <c r="L142" t="b">
        <v>0</v>
      </c>
      <c r="M142" t="b">
        <v>0</v>
      </c>
      <c r="N142" t="b">
        <v>0</v>
      </c>
    </row>
    <row r="143" spans="1:14" x14ac:dyDescent="0.25">
      <c r="A143" s="18" t="s">
        <v>160</v>
      </c>
      <c r="B143" t="s">
        <v>90</v>
      </c>
      <c r="C143" t="s">
        <v>91</v>
      </c>
      <c r="D143">
        <v>68.291668825013403</v>
      </c>
      <c r="E143" s="20">
        <v>46178.498645833337</v>
      </c>
      <c r="F143" t="b">
        <v>1</v>
      </c>
      <c r="G143" s="18" t="s">
        <v>162</v>
      </c>
      <c r="H143" s="18" t="s">
        <v>7</v>
      </c>
      <c r="I143" s="18" t="s">
        <v>10</v>
      </c>
      <c r="J143">
        <v>0</v>
      </c>
      <c r="K143" s="18" t="s">
        <v>81</v>
      </c>
      <c r="L143" t="b">
        <v>0</v>
      </c>
      <c r="M143" t="b">
        <v>0</v>
      </c>
      <c r="N143" t="b">
        <v>0</v>
      </c>
    </row>
    <row r="144" spans="1:14" x14ac:dyDescent="0.25">
      <c r="A144" s="18" t="s">
        <v>160</v>
      </c>
      <c r="B144" t="s">
        <v>93</v>
      </c>
      <c r="C144" t="s">
        <v>91</v>
      </c>
      <c r="D144">
        <v>0.71982449635397405</v>
      </c>
      <c r="E144" s="20">
        <v>46178.498657407406</v>
      </c>
      <c r="F144" t="b">
        <v>1</v>
      </c>
      <c r="G144" s="18" t="s">
        <v>163</v>
      </c>
      <c r="H144" s="18" t="s">
        <v>7</v>
      </c>
      <c r="I144" s="18" t="s">
        <v>10</v>
      </c>
      <c r="J144">
        <v>0</v>
      </c>
      <c r="K144" s="18" t="s">
        <v>81</v>
      </c>
      <c r="L144" t="b">
        <v>0</v>
      </c>
      <c r="M144" t="b">
        <v>0</v>
      </c>
      <c r="N144" t="b">
        <v>0</v>
      </c>
    </row>
    <row r="145" spans="1:14" x14ac:dyDescent="0.25">
      <c r="A145" s="18" t="s">
        <v>160</v>
      </c>
      <c r="B145" t="s">
        <v>95</v>
      </c>
      <c r="C145" t="s">
        <v>91</v>
      </c>
      <c r="D145">
        <v>80.896181538461505</v>
      </c>
      <c r="E145" s="20">
        <v>46178.498657407406</v>
      </c>
      <c r="F145" t="b">
        <v>1</v>
      </c>
      <c r="G145" s="18" t="s">
        <v>164</v>
      </c>
      <c r="H145" s="18" t="s">
        <v>7</v>
      </c>
      <c r="I145" s="18" t="s">
        <v>10</v>
      </c>
      <c r="J145">
        <v>0</v>
      </c>
      <c r="K145" s="18" t="s">
        <v>81</v>
      </c>
      <c r="L145" t="b">
        <v>0</v>
      </c>
      <c r="M145" t="b">
        <v>0</v>
      </c>
      <c r="N145" t="b">
        <v>0</v>
      </c>
    </row>
    <row r="146" spans="1:14" x14ac:dyDescent="0.25">
      <c r="A146" s="18" t="s">
        <v>160</v>
      </c>
      <c r="B146" t="s">
        <v>97</v>
      </c>
      <c r="C146" t="s">
        <v>91</v>
      </c>
      <c r="D146">
        <v>0.13372854541610901</v>
      </c>
      <c r="E146" s="20">
        <v>46178.498668981483</v>
      </c>
      <c r="F146" t="b">
        <v>1</v>
      </c>
      <c r="G146" s="18" t="s">
        <v>165</v>
      </c>
      <c r="H146" s="18" t="s">
        <v>7</v>
      </c>
      <c r="I146" s="18" t="s">
        <v>10</v>
      </c>
      <c r="J146">
        <v>0</v>
      </c>
      <c r="K146" s="18" t="s">
        <v>81</v>
      </c>
      <c r="L146" t="b">
        <v>0</v>
      </c>
      <c r="M146" t="b">
        <v>0</v>
      </c>
      <c r="N146" t="b">
        <v>0</v>
      </c>
    </row>
    <row r="147" spans="1:14" x14ac:dyDescent="0.25">
      <c r="A147" s="18" t="s">
        <v>160</v>
      </c>
      <c r="B147" t="s">
        <v>99</v>
      </c>
      <c r="C147" t="s">
        <v>91</v>
      </c>
      <c r="D147">
        <v>0.20789577611610899</v>
      </c>
      <c r="E147" s="20">
        <v>46178.498680555553</v>
      </c>
      <c r="F147" t="b">
        <v>1</v>
      </c>
      <c r="G147" s="18" t="s">
        <v>166</v>
      </c>
      <c r="H147" s="18" t="s">
        <v>7</v>
      </c>
      <c r="I147" s="18" t="s">
        <v>10</v>
      </c>
      <c r="J147">
        <v>0</v>
      </c>
      <c r="K147" s="18" t="s">
        <v>81</v>
      </c>
      <c r="L147" t="b">
        <v>0</v>
      </c>
      <c r="M147" t="b">
        <v>0</v>
      </c>
      <c r="N147" t="b">
        <v>0</v>
      </c>
    </row>
    <row r="148" spans="1:14" x14ac:dyDescent="0.25">
      <c r="A148" s="18" t="s">
        <v>160</v>
      </c>
      <c r="B148" t="s">
        <v>101</v>
      </c>
      <c r="C148" t="s">
        <v>91</v>
      </c>
      <c r="D148">
        <v>330</v>
      </c>
      <c r="E148" s="20">
        <v>46178.498680555553</v>
      </c>
      <c r="F148" t="b">
        <v>1</v>
      </c>
      <c r="G148" s="18" t="s">
        <v>47</v>
      </c>
      <c r="H148" s="18" t="s">
        <v>7</v>
      </c>
      <c r="I148" s="18" t="s">
        <v>10</v>
      </c>
      <c r="J148">
        <v>0</v>
      </c>
      <c r="K148" s="18" t="s">
        <v>81</v>
      </c>
      <c r="L148" t="b">
        <v>0</v>
      </c>
      <c r="M148" t="b">
        <v>0</v>
      </c>
      <c r="N148" t="b">
        <v>0</v>
      </c>
    </row>
    <row r="149" spans="1:14" x14ac:dyDescent="0.25">
      <c r="A149" s="18" t="s">
        <v>160</v>
      </c>
      <c r="B149" t="s">
        <v>102</v>
      </c>
      <c r="C149" t="s">
        <v>91</v>
      </c>
      <c r="D149">
        <v>85</v>
      </c>
      <c r="E149" s="20">
        <v>46178.498680555553</v>
      </c>
      <c r="F149" t="b">
        <v>1</v>
      </c>
      <c r="G149" s="18" t="s">
        <v>48</v>
      </c>
      <c r="H149" s="18" t="s">
        <v>7</v>
      </c>
      <c r="I149" s="18" t="s">
        <v>10</v>
      </c>
      <c r="J149">
        <v>0</v>
      </c>
      <c r="K149" s="18" t="s">
        <v>81</v>
      </c>
      <c r="L149" t="b">
        <v>0</v>
      </c>
      <c r="M149" t="b">
        <v>0</v>
      </c>
      <c r="N149" t="b">
        <v>0</v>
      </c>
    </row>
    <row r="150" spans="1:14" x14ac:dyDescent="0.25">
      <c r="A150" s="18" t="s">
        <v>160</v>
      </c>
      <c r="B150" t="s">
        <v>103</v>
      </c>
      <c r="C150" t="s">
        <v>91</v>
      </c>
      <c r="D150">
        <v>359</v>
      </c>
      <c r="E150" s="20">
        <v>46178.498680555553</v>
      </c>
      <c r="F150" t="b">
        <v>1</v>
      </c>
      <c r="G150" s="18" t="s">
        <v>49</v>
      </c>
      <c r="H150" s="18" t="s">
        <v>7</v>
      </c>
      <c r="I150" s="18" t="s">
        <v>10</v>
      </c>
      <c r="J150">
        <v>0</v>
      </c>
      <c r="K150" s="18" t="s">
        <v>81</v>
      </c>
      <c r="L150" t="b">
        <v>0</v>
      </c>
      <c r="M150" t="b">
        <v>0</v>
      </c>
      <c r="N150" t="b">
        <v>0</v>
      </c>
    </row>
    <row r="151" spans="1:14" x14ac:dyDescent="0.25">
      <c r="A151" s="18" t="s">
        <v>160</v>
      </c>
      <c r="B151" t="s">
        <v>104</v>
      </c>
      <c r="C151" t="s">
        <v>91</v>
      </c>
      <c r="D151">
        <v>156</v>
      </c>
      <c r="E151" s="20">
        <v>46178.498680555553</v>
      </c>
      <c r="F151" t="b">
        <v>1</v>
      </c>
      <c r="G151" s="18" t="s">
        <v>50</v>
      </c>
      <c r="H151" s="18" t="s">
        <v>7</v>
      </c>
      <c r="I151" s="18" t="s">
        <v>10</v>
      </c>
      <c r="J151">
        <v>0</v>
      </c>
      <c r="K151" s="18" t="s">
        <v>81</v>
      </c>
      <c r="L151" t="b">
        <v>0</v>
      </c>
      <c r="M151" t="b">
        <v>0</v>
      </c>
      <c r="N151" t="b">
        <v>0</v>
      </c>
    </row>
    <row r="152" spans="1:14" x14ac:dyDescent="0.25">
      <c r="A152" s="18" t="s">
        <v>160</v>
      </c>
      <c r="B152" t="s">
        <v>105</v>
      </c>
      <c r="C152" t="s">
        <v>91</v>
      </c>
      <c r="D152">
        <v>35</v>
      </c>
      <c r="E152" s="20">
        <v>46178.498680555553</v>
      </c>
      <c r="F152" t="b">
        <v>1</v>
      </c>
      <c r="G152" s="18" t="s">
        <v>51</v>
      </c>
      <c r="H152" s="18" t="s">
        <v>7</v>
      </c>
      <c r="I152" s="18" t="s">
        <v>10</v>
      </c>
      <c r="J152">
        <v>0</v>
      </c>
      <c r="K152" s="18" t="s">
        <v>81</v>
      </c>
      <c r="L152" t="b">
        <v>0</v>
      </c>
      <c r="M152" t="b">
        <v>0</v>
      </c>
      <c r="N152" t="b">
        <v>0</v>
      </c>
    </row>
    <row r="153" spans="1:14" x14ac:dyDescent="0.25">
      <c r="A153" s="18" t="s">
        <v>160</v>
      </c>
      <c r="B153" t="s">
        <v>106</v>
      </c>
      <c r="C153" t="s">
        <v>91</v>
      </c>
      <c r="D153">
        <v>35</v>
      </c>
      <c r="E153" s="20">
        <v>46178.498680555553</v>
      </c>
      <c r="F153" t="b">
        <v>1</v>
      </c>
      <c r="G153" s="18" t="s">
        <v>52</v>
      </c>
      <c r="H153" s="18" t="s">
        <v>7</v>
      </c>
      <c r="I153" s="18" t="s">
        <v>10</v>
      </c>
      <c r="J153">
        <v>0</v>
      </c>
      <c r="K153" s="18" t="s">
        <v>81</v>
      </c>
      <c r="L153" t="b">
        <v>0</v>
      </c>
      <c r="M153" t="b">
        <v>0</v>
      </c>
      <c r="N153" t="b">
        <v>0</v>
      </c>
    </row>
    <row r="154" spans="1:14" x14ac:dyDescent="0.25">
      <c r="A154" s="18" t="s">
        <v>167</v>
      </c>
      <c r="B154" t="s">
        <v>80</v>
      </c>
      <c r="D154" t="e">
        <v>#N/A</v>
      </c>
      <c r="E154" s="19">
        <v>0</v>
      </c>
      <c r="F154" t="b">
        <v>1</v>
      </c>
      <c r="G154" s="18" t="s">
        <v>237</v>
      </c>
      <c r="H154" s="18" t="s">
        <v>7</v>
      </c>
      <c r="I154" s="18" t="s">
        <v>193</v>
      </c>
      <c r="J154">
        <v>0</v>
      </c>
      <c r="K154" s="18" t="s">
        <v>81</v>
      </c>
      <c r="L154" t="b">
        <v>0</v>
      </c>
      <c r="M154" t="b">
        <v>0</v>
      </c>
      <c r="N154" t="b">
        <v>0</v>
      </c>
    </row>
    <row r="155" spans="1:14" x14ac:dyDescent="0.25">
      <c r="A155" s="18" t="s">
        <v>167</v>
      </c>
      <c r="B155" t="s">
        <v>82</v>
      </c>
      <c r="D155" t="e">
        <v>#N/A</v>
      </c>
      <c r="E155" s="19">
        <v>0</v>
      </c>
      <c r="F155" t="b">
        <v>1</v>
      </c>
      <c r="G155" s="18" t="s">
        <v>238</v>
      </c>
      <c r="H155" s="18" t="s">
        <v>7</v>
      </c>
      <c r="I155" s="18" t="s">
        <v>193</v>
      </c>
      <c r="J155">
        <v>0</v>
      </c>
      <c r="K155" s="18" t="s">
        <v>81</v>
      </c>
      <c r="L155" t="b">
        <v>0</v>
      </c>
      <c r="M155" t="b">
        <v>0</v>
      </c>
      <c r="N155" t="b">
        <v>0</v>
      </c>
    </row>
    <row r="156" spans="1:14" x14ac:dyDescent="0.25">
      <c r="A156" s="18" t="s">
        <v>167</v>
      </c>
      <c r="B156" t="s">
        <v>83</v>
      </c>
      <c r="D156" t="e">
        <v>#N/A</v>
      </c>
      <c r="E156" s="19">
        <v>0</v>
      </c>
      <c r="F156" t="b">
        <v>1</v>
      </c>
      <c r="G156" s="18" t="s">
        <v>239</v>
      </c>
      <c r="H156" s="18" t="s">
        <v>7</v>
      </c>
      <c r="I156" s="18" t="s">
        <v>193</v>
      </c>
      <c r="J156">
        <v>0</v>
      </c>
      <c r="K156" s="18" t="s">
        <v>81</v>
      </c>
      <c r="L156" t="b">
        <v>0</v>
      </c>
      <c r="M156" t="b">
        <v>0</v>
      </c>
      <c r="N156" t="b">
        <v>0</v>
      </c>
    </row>
    <row r="157" spans="1:14" x14ac:dyDescent="0.25">
      <c r="A157" s="18" t="s">
        <v>167</v>
      </c>
      <c r="B157" t="s">
        <v>84</v>
      </c>
      <c r="D157" t="e">
        <v>#N/A</v>
      </c>
      <c r="E157" s="19">
        <v>0</v>
      </c>
      <c r="F157" t="b">
        <v>1</v>
      </c>
      <c r="G157" s="18" t="s">
        <v>199</v>
      </c>
      <c r="H157" s="18" t="s">
        <v>7</v>
      </c>
      <c r="I157" s="18" t="s">
        <v>193</v>
      </c>
      <c r="J157">
        <v>0</v>
      </c>
      <c r="K157" s="18" t="s">
        <v>81</v>
      </c>
      <c r="L157" t="b">
        <v>0</v>
      </c>
      <c r="M157" t="b">
        <v>0</v>
      </c>
      <c r="N157" t="b">
        <v>0</v>
      </c>
    </row>
    <row r="158" spans="1:14" x14ac:dyDescent="0.25">
      <c r="A158" s="18" t="s">
        <v>167</v>
      </c>
      <c r="B158" t="s">
        <v>85</v>
      </c>
      <c r="D158" t="e">
        <v>#N/A</v>
      </c>
      <c r="E158" s="19">
        <v>0</v>
      </c>
      <c r="F158" t="b">
        <v>1</v>
      </c>
      <c r="G158" s="18" t="s">
        <v>240</v>
      </c>
      <c r="H158" s="18" t="s">
        <v>7</v>
      </c>
      <c r="I158" s="18" t="s">
        <v>193</v>
      </c>
      <c r="J158">
        <v>0</v>
      </c>
      <c r="K158" s="18" t="s">
        <v>81</v>
      </c>
      <c r="L158" t="b">
        <v>0</v>
      </c>
      <c r="M158" t="b">
        <v>0</v>
      </c>
      <c r="N158" t="b">
        <v>0</v>
      </c>
    </row>
    <row r="159" spans="1:14" x14ac:dyDescent="0.25">
      <c r="A159" s="18" t="s">
        <v>167</v>
      </c>
      <c r="B159" t="s">
        <v>86</v>
      </c>
      <c r="D159" t="e">
        <v>#N/A</v>
      </c>
      <c r="E159" s="19">
        <v>0</v>
      </c>
      <c r="F159" t="b">
        <v>1</v>
      </c>
      <c r="G159" s="18" t="s">
        <v>201</v>
      </c>
      <c r="H159" s="18" t="s">
        <v>7</v>
      </c>
      <c r="I159" s="18" t="s">
        <v>193</v>
      </c>
      <c r="J159">
        <v>0</v>
      </c>
      <c r="K159" s="18" t="s">
        <v>81</v>
      </c>
      <c r="L159" t="b">
        <v>0</v>
      </c>
      <c r="M159" t="b">
        <v>0</v>
      </c>
      <c r="N159" t="b">
        <v>0</v>
      </c>
    </row>
    <row r="160" spans="1:14" x14ac:dyDescent="0.25">
      <c r="A160" s="18" t="s">
        <v>167</v>
      </c>
      <c r="B160" t="s">
        <v>87</v>
      </c>
      <c r="D160" t="e">
        <v>#N/A</v>
      </c>
      <c r="E160" s="19">
        <v>0</v>
      </c>
      <c r="F160" t="b">
        <v>1</v>
      </c>
      <c r="G160" s="18" t="s">
        <v>202</v>
      </c>
      <c r="H160" s="18" t="s">
        <v>7</v>
      </c>
      <c r="I160" s="18" t="s">
        <v>193</v>
      </c>
      <c r="J160">
        <v>0</v>
      </c>
      <c r="K160" s="18" t="s">
        <v>81</v>
      </c>
      <c r="L160" t="b">
        <v>0</v>
      </c>
      <c r="M160" t="b">
        <v>0</v>
      </c>
      <c r="N160" t="b">
        <v>0</v>
      </c>
    </row>
    <row r="161" spans="1:14" x14ac:dyDescent="0.25">
      <c r="A161" s="18" t="s">
        <v>167</v>
      </c>
      <c r="B161" t="s">
        <v>88</v>
      </c>
      <c r="D161" t="e">
        <v>#N/A</v>
      </c>
      <c r="E161" s="19">
        <v>0</v>
      </c>
      <c r="F161" t="b">
        <v>1</v>
      </c>
      <c r="G161" s="18" t="s">
        <v>168</v>
      </c>
      <c r="H161" s="18" t="s">
        <v>7</v>
      </c>
      <c r="I161" s="18" t="s">
        <v>13</v>
      </c>
      <c r="J161">
        <v>0</v>
      </c>
      <c r="K161" s="18" t="s">
        <v>81</v>
      </c>
      <c r="L161" t="b">
        <v>0</v>
      </c>
      <c r="M161" t="b">
        <v>0</v>
      </c>
      <c r="N161" t="b">
        <v>0</v>
      </c>
    </row>
    <row r="162" spans="1:14" x14ac:dyDescent="0.25">
      <c r="A162" s="18" t="s">
        <v>167</v>
      </c>
      <c r="B162" t="s">
        <v>90</v>
      </c>
      <c r="C162" t="s">
        <v>91</v>
      </c>
      <c r="D162">
        <v>68.291668825013403</v>
      </c>
      <c r="E162" s="20">
        <v>46178.498738425929</v>
      </c>
      <c r="F162" t="b">
        <v>1</v>
      </c>
      <c r="G162" s="18" t="s">
        <v>169</v>
      </c>
      <c r="H162" s="18" t="s">
        <v>7</v>
      </c>
      <c r="I162" s="18" t="s">
        <v>10</v>
      </c>
      <c r="J162">
        <v>0</v>
      </c>
      <c r="K162" s="18" t="s">
        <v>81</v>
      </c>
      <c r="L162" t="b">
        <v>0</v>
      </c>
      <c r="M162" t="b">
        <v>0</v>
      </c>
      <c r="N162" t="b">
        <v>0</v>
      </c>
    </row>
    <row r="163" spans="1:14" x14ac:dyDescent="0.25">
      <c r="A163" s="18" t="s">
        <v>167</v>
      </c>
      <c r="B163" t="s">
        <v>93</v>
      </c>
      <c r="C163" t="s">
        <v>91</v>
      </c>
      <c r="D163">
        <v>0.71982449635397405</v>
      </c>
      <c r="E163" s="20">
        <v>46178.498738425929</v>
      </c>
      <c r="F163" t="b">
        <v>1</v>
      </c>
      <c r="G163" s="18" t="s">
        <v>170</v>
      </c>
      <c r="H163" s="18" t="s">
        <v>7</v>
      </c>
      <c r="I163" s="18" t="s">
        <v>10</v>
      </c>
      <c r="J163">
        <v>0</v>
      </c>
      <c r="K163" s="18" t="s">
        <v>81</v>
      </c>
      <c r="L163" t="b">
        <v>0</v>
      </c>
      <c r="M163" t="b">
        <v>0</v>
      </c>
      <c r="N163" t="b">
        <v>0</v>
      </c>
    </row>
    <row r="164" spans="1:14" x14ac:dyDescent="0.25">
      <c r="A164" s="18" t="s">
        <v>167</v>
      </c>
      <c r="B164" t="s">
        <v>95</v>
      </c>
      <c r="C164" t="s">
        <v>91</v>
      </c>
      <c r="D164">
        <v>80.896181538461505</v>
      </c>
      <c r="E164" s="20">
        <v>46178.498749999999</v>
      </c>
      <c r="F164" t="b">
        <v>1</v>
      </c>
      <c r="G164" s="18" t="s">
        <v>171</v>
      </c>
      <c r="H164" s="18" t="s">
        <v>7</v>
      </c>
      <c r="I164" s="18" t="s">
        <v>10</v>
      </c>
      <c r="J164">
        <v>0</v>
      </c>
      <c r="K164" s="18" t="s">
        <v>81</v>
      </c>
      <c r="L164" t="b">
        <v>0</v>
      </c>
      <c r="M164" t="b">
        <v>0</v>
      </c>
      <c r="N164" t="b">
        <v>0</v>
      </c>
    </row>
    <row r="165" spans="1:14" x14ac:dyDescent="0.25">
      <c r="A165" s="18" t="s">
        <v>167</v>
      </c>
      <c r="B165" t="s">
        <v>97</v>
      </c>
      <c r="C165" t="s">
        <v>91</v>
      </c>
      <c r="D165">
        <v>0.3</v>
      </c>
      <c r="E165" s="20">
        <v>46178.498749999999</v>
      </c>
      <c r="F165" t="b">
        <v>1</v>
      </c>
      <c r="G165" s="18" t="s">
        <v>172</v>
      </c>
      <c r="H165" s="18" t="s">
        <v>7</v>
      </c>
      <c r="I165" s="18" t="s">
        <v>10</v>
      </c>
      <c r="J165">
        <v>0</v>
      </c>
      <c r="K165" s="18" t="s">
        <v>81</v>
      </c>
      <c r="L165" t="b">
        <v>0</v>
      </c>
      <c r="M165" t="b">
        <v>0</v>
      </c>
      <c r="N165" t="b">
        <v>0</v>
      </c>
    </row>
    <row r="166" spans="1:14" x14ac:dyDescent="0.25">
      <c r="A166" s="18" t="s">
        <v>167</v>
      </c>
      <c r="B166" t="s">
        <v>99</v>
      </c>
      <c r="C166" t="s">
        <v>91</v>
      </c>
      <c r="D166">
        <v>0.20789577611610899</v>
      </c>
      <c r="E166" s="20">
        <v>46178.498749999999</v>
      </c>
      <c r="F166" t="b">
        <v>1</v>
      </c>
      <c r="G166" s="18" t="s">
        <v>173</v>
      </c>
      <c r="H166" s="18" t="s">
        <v>7</v>
      </c>
      <c r="I166" s="18" t="s">
        <v>10</v>
      </c>
      <c r="J166">
        <v>0</v>
      </c>
      <c r="K166" s="18" t="s">
        <v>81</v>
      </c>
      <c r="L166" t="b">
        <v>0</v>
      </c>
      <c r="M166" t="b">
        <v>0</v>
      </c>
      <c r="N166" t="b">
        <v>0</v>
      </c>
    </row>
    <row r="167" spans="1:14" x14ac:dyDescent="0.25">
      <c r="A167" s="18" t="s">
        <v>167</v>
      </c>
      <c r="B167" t="s">
        <v>101</v>
      </c>
      <c r="C167" t="s">
        <v>91</v>
      </c>
      <c r="D167">
        <v>330</v>
      </c>
      <c r="E167" s="20">
        <v>46178.498749999999</v>
      </c>
      <c r="F167" t="b">
        <v>1</v>
      </c>
      <c r="G167" s="18" t="s">
        <v>47</v>
      </c>
      <c r="H167" s="18" t="s">
        <v>7</v>
      </c>
      <c r="I167" s="18" t="s">
        <v>10</v>
      </c>
      <c r="J167">
        <v>0</v>
      </c>
      <c r="K167" s="18" t="s">
        <v>81</v>
      </c>
      <c r="L167" t="b">
        <v>0</v>
      </c>
      <c r="M167" t="b">
        <v>0</v>
      </c>
      <c r="N167" t="b">
        <v>0</v>
      </c>
    </row>
    <row r="168" spans="1:14" x14ac:dyDescent="0.25">
      <c r="A168" s="18" t="s">
        <v>167</v>
      </c>
      <c r="B168" t="s">
        <v>102</v>
      </c>
      <c r="C168" t="s">
        <v>91</v>
      </c>
      <c r="D168">
        <v>85</v>
      </c>
      <c r="E168" s="20">
        <v>46178.498749999999</v>
      </c>
      <c r="F168" t="b">
        <v>1</v>
      </c>
      <c r="G168" s="18" t="s">
        <v>48</v>
      </c>
      <c r="H168" s="18" t="s">
        <v>7</v>
      </c>
      <c r="I168" s="18" t="s">
        <v>10</v>
      </c>
      <c r="J168">
        <v>0</v>
      </c>
      <c r="K168" s="18" t="s">
        <v>81</v>
      </c>
      <c r="L168" t="b">
        <v>0</v>
      </c>
      <c r="M168" t="b">
        <v>0</v>
      </c>
      <c r="N168" t="b">
        <v>0</v>
      </c>
    </row>
    <row r="169" spans="1:14" x14ac:dyDescent="0.25">
      <c r="A169" s="18" t="s">
        <v>167</v>
      </c>
      <c r="B169" t="s">
        <v>103</v>
      </c>
      <c r="C169" t="s">
        <v>91</v>
      </c>
      <c r="D169">
        <v>359</v>
      </c>
      <c r="E169" s="20">
        <v>46178.498749999999</v>
      </c>
      <c r="F169" t="b">
        <v>1</v>
      </c>
      <c r="G169" s="18" t="s">
        <v>49</v>
      </c>
      <c r="H169" s="18" t="s">
        <v>7</v>
      </c>
      <c r="I169" s="18" t="s">
        <v>10</v>
      </c>
      <c r="J169">
        <v>0</v>
      </c>
      <c r="K169" s="18" t="s">
        <v>81</v>
      </c>
      <c r="L169" t="b">
        <v>0</v>
      </c>
      <c r="M169" t="b">
        <v>0</v>
      </c>
      <c r="N169" t="b">
        <v>0</v>
      </c>
    </row>
    <row r="170" spans="1:14" x14ac:dyDescent="0.25">
      <c r="A170" s="18" t="s">
        <v>167</v>
      </c>
      <c r="B170" t="s">
        <v>104</v>
      </c>
      <c r="C170" t="s">
        <v>91</v>
      </c>
      <c r="D170">
        <v>156</v>
      </c>
      <c r="E170" s="20">
        <v>46178.498761574076</v>
      </c>
      <c r="F170" t="b">
        <v>1</v>
      </c>
      <c r="G170" s="18" t="s">
        <v>50</v>
      </c>
      <c r="H170" s="18" t="s">
        <v>7</v>
      </c>
      <c r="I170" s="18" t="s">
        <v>10</v>
      </c>
      <c r="J170">
        <v>0</v>
      </c>
      <c r="K170" s="18" t="s">
        <v>81</v>
      </c>
      <c r="L170" t="b">
        <v>0</v>
      </c>
      <c r="M170" t="b">
        <v>0</v>
      </c>
      <c r="N170" t="b">
        <v>0</v>
      </c>
    </row>
    <row r="171" spans="1:14" x14ac:dyDescent="0.25">
      <c r="A171" s="18" t="s">
        <v>167</v>
      </c>
      <c r="B171" t="s">
        <v>105</v>
      </c>
      <c r="C171" t="s">
        <v>91</v>
      </c>
      <c r="D171">
        <v>35</v>
      </c>
      <c r="E171" s="20">
        <v>46178.498761574076</v>
      </c>
      <c r="F171" t="b">
        <v>1</v>
      </c>
      <c r="G171" s="18" t="s">
        <v>51</v>
      </c>
      <c r="H171" s="18" t="s">
        <v>7</v>
      </c>
      <c r="I171" s="18" t="s">
        <v>10</v>
      </c>
      <c r="J171">
        <v>0</v>
      </c>
      <c r="K171" s="18" t="s">
        <v>81</v>
      </c>
      <c r="L171" t="b">
        <v>0</v>
      </c>
      <c r="M171" t="b">
        <v>0</v>
      </c>
      <c r="N171" t="b">
        <v>0</v>
      </c>
    </row>
    <row r="172" spans="1:14" x14ac:dyDescent="0.25">
      <c r="A172" s="18" t="s">
        <v>167</v>
      </c>
      <c r="B172" t="s">
        <v>106</v>
      </c>
      <c r="C172" t="s">
        <v>91</v>
      </c>
      <c r="D172">
        <v>35</v>
      </c>
      <c r="E172" s="20">
        <v>46178.498761574076</v>
      </c>
      <c r="F172" t="b">
        <v>1</v>
      </c>
      <c r="G172" s="18" t="s">
        <v>52</v>
      </c>
      <c r="H172" s="18" t="s">
        <v>7</v>
      </c>
      <c r="I172" s="18" t="s">
        <v>10</v>
      </c>
      <c r="J172">
        <v>0</v>
      </c>
      <c r="K172" s="18" t="s">
        <v>81</v>
      </c>
      <c r="L172" t="b">
        <v>0</v>
      </c>
      <c r="M172" t="b">
        <v>0</v>
      </c>
      <c r="N172" t="b">
        <v>0</v>
      </c>
    </row>
    <row r="173" spans="1:14" x14ac:dyDescent="0.25">
      <c r="A173" s="18" t="s">
        <v>79</v>
      </c>
      <c r="B173" t="s">
        <v>80</v>
      </c>
      <c r="D173" t="e">
        <v>#N/A</v>
      </c>
      <c r="E173" s="19">
        <v>0</v>
      </c>
      <c r="F173" t="b">
        <v>1</v>
      </c>
      <c r="G173" s="18" t="s">
        <v>241</v>
      </c>
      <c r="H173" s="18" t="s">
        <v>7</v>
      </c>
      <c r="I173" s="18" t="s">
        <v>193</v>
      </c>
      <c r="J173">
        <v>0</v>
      </c>
      <c r="K173" s="18" t="s">
        <v>81</v>
      </c>
      <c r="L173" t="b">
        <v>0</v>
      </c>
      <c r="M173" t="b">
        <v>0</v>
      </c>
      <c r="N173" t="b">
        <v>0</v>
      </c>
    </row>
    <row r="174" spans="1:14" x14ac:dyDescent="0.25">
      <c r="A174" s="18" t="s">
        <v>79</v>
      </c>
      <c r="B174" t="s">
        <v>82</v>
      </c>
      <c r="D174" t="e">
        <v>#N/A</v>
      </c>
      <c r="E174" s="19">
        <v>0</v>
      </c>
      <c r="F174" t="b">
        <v>1</v>
      </c>
      <c r="G174" s="18" t="s">
        <v>242</v>
      </c>
      <c r="H174" s="18" t="s">
        <v>7</v>
      </c>
      <c r="I174" s="18" t="s">
        <v>193</v>
      </c>
      <c r="J174">
        <v>0</v>
      </c>
      <c r="K174" s="18" t="s">
        <v>81</v>
      </c>
      <c r="L174" t="b">
        <v>0</v>
      </c>
      <c r="M174" t="b">
        <v>0</v>
      </c>
      <c r="N174" t="b">
        <v>0</v>
      </c>
    </row>
    <row r="175" spans="1:14" x14ac:dyDescent="0.25">
      <c r="A175" s="18" t="s">
        <v>79</v>
      </c>
      <c r="B175" t="s">
        <v>83</v>
      </c>
      <c r="D175" t="e">
        <v>#N/A</v>
      </c>
      <c r="E175" s="19">
        <v>0</v>
      </c>
      <c r="F175" t="b">
        <v>1</v>
      </c>
      <c r="G175" s="18" t="s">
        <v>243</v>
      </c>
      <c r="H175" s="18" t="s">
        <v>7</v>
      </c>
      <c r="I175" s="18" t="s">
        <v>193</v>
      </c>
      <c r="J175">
        <v>0</v>
      </c>
      <c r="K175" s="18" t="s">
        <v>81</v>
      </c>
      <c r="L175" t="b">
        <v>0</v>
      </c>
      <c r="M175" t="b">
        <v>0</v>
      </c>
      <c r="N175" t="b">
        <v>0</v>
      </c>
    </row>
    <row r="176" spans="1:14" x14ac:dyDescent="0.25">
      <c r="A176" s="18" t="s">
        <v>79</v>
      </c>
      <c r="B176" t="s">
        <v>84</v>
      </c>
      <c r="D176" t="e">
        <v>#N/A</v>
      </c>
      <c r="E176" s="19">
        <v>0</v>
      </c>
      <c r="F176" t="b">
        <v>1</v>
      </c>
      <c r="G176" s="18" t="s">
        <v>199</v>
      </c>
      <c r="H176" s="18" t="s">
        <v>7</v>
      </c>
      <c r="I176" s="18" t="s">
        <v>193</v>
      </c>
      <c r="J176">
        <v>0</v>
      </c>
      <c r="K176" s="18" t="s">
        <v>81</v>
      </c>
      <c r="L176" t="b">
        <v>0</v>
      </c>
      <c r="M176" t="b">
        <v>0</v>
      </c>
      <c r="N176" t="b">
        <v>0</v>
      </c>
    </row>
    <row r="177" spans="1:14" x14ac:dyDescent="0.25">
      <c r="A177" s="18" t="s">
        <v>79</v>
      </c>
      <c r="B177" t="s">
        <v>85</v>
      </c>
      <c r="D177" t="e">
        <v>#N/A</v>
      </c>
      <c r="E177" s="19">
        <v>0</v>
      </c>
      <c r="F177" t="b">
        <v>1</v>
      </c>
      <c r="G177" s="18" t="s">
        <v>244</v>
      </c>
      <c r="H177" s="18" t="s">
        <v>7</v>
      </c>
      <c r="I177" s="18" t="s">
        <v>193</v>
      </c>
      <c r="J177">
        <v>0</v>
      </c>
      <c r="K177" s="18" t="s">
        <v>81</v>
      </c>
      <c r="L177" t="b">
        <v>0</v>
      </c>
      <c r="M177" t="b">
        <v>0</v>
      </c>
      <c r="N177" t="b">
        <v>0</v>
      </c>
    </row>
    <row r="178" spans="1:14" x14ac:dyDescent="0.25">
      <c r="A178" s="18" t="s">
        <v>79</v>
      </c>
      <c r="B178" t="s">
        <v>86</v>
      </c>
      <c r="D178" t="e">
        <v>#N/A</v>
      </c>
      <c r="E178" s="19">
        <v>0</v>
      </c>
      <c r="F178" t="b">
        <v>1</v>
      </c>
      <c r="G178" s="18" t="s">
        <v>201</v>
      </c>
      <c r="H178" s="18" t="s">
        <v>7</v>
      </c>
      <c r="I178" s="18" t="s">
        <v>193</v>
      </c>
      <c r="J178">
        <v>0</v>
      </c>
      <c r="K178" s="18" t="s">
        <v>81</v>
      </c>
      <c r="L178" t="b">
        <v>0</v>
      </c>
      <c r="M178" t="b">
        <v>0</v>
      </c>
      <c r="N178" t="b">
        <v>0</v>
      </c>
    </row>
    <row r="179" spans="1:14" x14ac:dyDescent="0.25">
      <c r="A179" s="18" t="s">
        <v>79</v>
      </c>
      <c r="B179" t="s">
        <v>87</v>
      </c>
      <c r="D179" t="e">
        <v>#N/A</v>
      </c>
      <c r="E179" s="19">
        <v>0</v>
      </c>
      <c r="F179" t="b">
        <v>1</v>
      </c>
      <c r="G179" s="18" t="s">
        <v>202</v>
      </c>
      <c r="H179" s="18" t="s">
        <v>7</v>
      </c>
      <c r="I179" s="18" t="s">
        <v>193</v>
      </c>
      <c r="J179">
        <v>0</v>
      </c>
      <c r="K179" s="18" t="s">
        <v>81</v>
      </c>
      <c r="L179" t="b">
        <v>0</v>
      </c>
      <c r="M179" t="b">
        <v>0</v>
      </c>
      <c r="N179" t="b">
        <v>0</v>
      </c>
    </row>
    <row r="180" spans="1:14" x14ac:dyDescent="0.25">
      <c r="A180" s="18" t="s">
        <v>79</v>
      </c>
      <c r="B180" t="s">
        <v>88</v>
      </c>
      <c r="D180" t="e">
        <v>#N/A</v>
      </c>
      <c r="E180" s="19">
        <v>0</v>
      </c>
      <c r="F180" t="b">
        <v>1</v>
      </c>
      <c r="G180" s="18" t="s">
        <v>89</v>
      </c>
      <c r="H180" s="18" t="s">
        <v>7</v>
      </c>
      <c r="I180" s="18" t="s">
        <v>13</v>
      </c>
      <c r="J180">
        <v>0</v>
      </c>
      <c r="K180" s="18" t="s">
        <v>81</v>
      </c>
      <c r="L180" t="b">
        <v>0</v>
      </c>
      <c r="M180" t="b">
        <v>0</v>
      </c>
      <c r="N180" t="b">
        <v>0</v>
      </c>
    </row>
    <row r="181" spans="1:14" x14ac:dyDescent="0.25">
      <c r="A181" s="18" t="s">
        <v>79</v>
      </c>
      <c r="B181" t="s">
        <v>90</v>
      </c>
      <c r="C181" t="s">
        <v>91</v>
      </c>
      <c r="D181">
        <v>68.274786414580404</v>
      </c>
      <c r="E181" s="20">
        <v>46178.498819444445</v>
      </c>
      <c r="F181" t="b">
        <v>1</v>
      </c>
      <c r="G181" s="18" t="s">
        <v>92</v>
      </c>
      <c r="H181" s="18" t="s">
        <v>7</v>
      </c>
      <c r="I181" s="18" t="s">
        <v>10</v>
      </c>
      <c r="J181">
        <v>0</v>
      </c>
      <c r="K181" s="18" t="s">
        <v>81</v>
      </c>
      <c r="L181" t="b">
        <v>0</v>
      </c>
      <c r="M181" t="b">
        <v>0</v>
      </c>
      <c r="N181" t="b">
        <v>0</v>
      </c>
    </row>
    <row r="182" spans="1:14" x14ac:dyDescent="0.25">
      <c r="A182" s="18" t="s">
        <v>79</v>
      </c>
      <c r="B182" t="s">
        <v>93</v>
      </c>
      <c r="C182" t="s">
        <v>91</v>
      </c>
      <c r="D182">
        <v>0.71982449635397305</v>
      </c>
      <c r="E182" s="20">
        <v>46178.498819444445</v>
      </c>
      <c r="F182" t="b">
        <v>1</v>
      </c>
      <c r="G182" s="18" t="s">
        <v>94</v>
      </c>
      <c r="H182" s="18" t="s">
        <v>7</v>
      </c>
      <c r="I182" s="18" t="s">
        <v>10</v>
      </c>
      <c r="J182">
        <v>0</v>
      </c>
      <c r="K182" s="18" t="s">
        <v>81</v>
      </c>
      <c r="L182" t="b">
        <v>0</v>
      </c>
      <c r="M182" t="b">
        <v>0</v>
      </c>
      <c r="N182" t="b">
        <v>0</v>
      </c>
    </row>
    <row r="183" spans="1:14" x14ac:dyDescent="0.25">
      <c r="A183" s="18" t="s">
        <v>79</v>
      </c>
      <c r="B183" t="s">
        <v>95</v>
      </c>
      <c r="C183" t="s">
        <v>91</v>
      </c>
      <c r="D183">
        <v>80.896181538461505</v>
      </c>
      <c r="E183" s="20">
        <v>46178.498831018522</v>
      </c>
      <c r="F183" t="b">
        <v>1</v>
      </c>
      <c r="G183" s="18" t="s">
        <v>96</v>
      </c>
      <c r="H183" s="18" t="s">
        <v>7</v>
      </c>
      <c r="I183" s="18" t="s">
        <v>10</v>
      </c>
      <c r="J183">
        <v>0</v>
      </c>
      <c r="K183" s="18" t="s">
        <v>81</v>
      </c>
      <c r="L183" t="b">
        <v>0</v>
      </c>
      <c r="M183" t="b">
        <v>0</v>
      </c>
      <c r="N183" t="b">
        <v>0</v>
      </c>
    </row>
    <row r="184" spans="1:14" x14ac:dyDescent="0.25">
      <c r="A184" s="18" t="s">
        <v>79</v>
      </c>
      <c r="B184" t="s">
        <v>97</v>
      </c>
      <c r="C184" t="s">
        <v>91</v>
      </c>
      <c r="D184">
        <v>0.3</v>
      </c>
      <c r="E184" s="20">
        <v>46178.498831018522</v>
      </c>
      <c r="F184" t="b">
        <v>1</v>
      </c>
      <c r="G184" s="18" t="s">
        <v>98</v>
      </c>
      <c r="H184" s="18" t="s">
        <v>7</v>
      </c>
      <c r="I184" s="18" t="s">
        <v>10</v>
      </c>
      <c r="J184">
        <v>0</v>
      </c>
      <c r="K184" s="18" t="s">
        <v>81</v>
      </c>
      <c r="L184" t="b">
        <v>0</v>
      </c>
      <c r="M184" t="b">
        <v>0</v>
      </c>
      <c r="N184" t="b">
        <v>0</v>
      </c>
    </row>
    <row r="185" spans="1:14" x14ac:dyDescent="0.25">
      <c r="A185" s="18" t="s">
        <v>79</v>
      </c>
      <c r="B185" t="s">
        <v>99</v>
      </c>
      <c r="C185" t="s">
        <v>91</v>
      </c>
      <c r="D185">
        <v>0.20789577611610899</v>
      </c>
      <c r="E185" s="20">
        <v>46178.498831018522</v>
      </c>
      <c r="F185" t="b">
        <v>1</v>
      </c>
      <c r="G185" s="18" t="s">
        <v>100</v>
      </c>
      <c r="H185" s="18" t="s">
        <v>7</v>
      </c>
      <c r="I185" s="18" t="s">
        <v>10</v>
      </c>
      <c r="J185">
        <v>0</v>
      </c>
      <c r="K185" s="18" t="s">
        <v>81</v>
      </c>
      <c r="L185" t="b">
        <v>0</v>
      </c>
      <c r="M185" t="b">
        <v>0</v>
      </c>
      <c r="N185" t="b">
        <v>0</v>
      </c>
    </row>
    <row r="186" spans="1:14" x14ac:dyDescent="0.25">
      <c r="A186" s="18" t="s">
        <v>79</v>
      </c>
      <c r="B186" t="s">
        <v>101</v>
      </c>
      <c r="C186" t="s">
        <v>91</v>
      </c>
      <c r="D186">
        <v>330</v>
      </c>
      <c r="E186" s="20">
        <v>46178.498831018522</v>
      </c>
      <c r="F186" t="b">
        <v>1</v>
      </c>
      <c r="G186" s="18" t="s">
        <v>47</v>
      </c>
      <c r="H186" s="18" t="s">
        <v>7</v>
      </c>
      <c r="I186" s="18" t="s">
        <v>10</v>
      </c>
      <c r="J186">
        <v>0</v>
      </c>
      <c r="K186" s="18" t="s">
        <v>81</v>
      </c>
      <c r="L186" t="b">
        <v>0</v>
      </c>
      <c r="M186" t="b">
        <v>0</v>
      </c>
      <c r="N186" t="b">
        <v>0</v>
      </c>
    </row>
    <row r="187" spans="1:14" x14ac:dyDescent="0.25">
      <c r="A187" s="18" t="s">
        <v>79</v>
      </c>
      <c r="B187" t="s">
        <v>102</v>
      </c>
      <c r="C187" t="s">
        <v>91</v>
      </c>
      <c r="D187">
        <v>85</v>
      </c>
      <c r="E187" s="20">
        <v>46178.498831018522</v>
      </c>
      <c r="F187" t="b">
        <v>1</v>
      </c>
      <c r="G187" s="18" t="s">
        <v>48</v>
      </c>
      <c r="H187" s="18" t="s">
        <v>7</v>
      </c>
      <c r="I187" s="18" t="s">
        <v>10</v>
      </c>
      <c r="J187">
        <v>0</v>
      </c>
      <c r="K187" s="18" t="s">
        <v>81</v>
      </c>
      <c r="L187" t="b">
        <v>0</v>
      </c>
      <c r="M187" t="b">
        <v>0</v>
      </c>
      <c r="N187" t="b">
        <v>0</v>
      </c>
    </row>
    <row r="188" spans="1:14" x14ac:dyDescent="0.25">
      <c r="A188" s="18" t="s">
        <v>79</v>
      </c>
      <c r="B188" t="s">
        <v>103</v>
      </c>
      <c r="C188" t="s">
        <v>91</v>
      </c>
      <c r="D188">
        <v>359</v>
      </c>
      <c r="E188" s="20">
        <v>46178.498831018522</v>
      </c>
      <c r="F188" t="b">
        <v>1</v>
      </c>
      <c r="G188" s="18" t="s">
        <v>49</v>
      </c>
      <c r="H188" s="18" t="s">
        <v>7</v>
      </c>
      <c r="I188" s="18" t="s">
        <v>10</v>
      </c>
      <c r="J188">
        <v>0</v>
      </c>
      <c r="K188" s="18" t="s">
        <v>81</v>
      </c>
      <c r="L188" t="b">
        <v>0</v>
      </c>
      <c r="M188" t="b">
        <v>0</v>
      </c>
      <c r="N188" t="b">
        <v>0</v>
      </c>
    </row>
    <row r="189" spans="1:14" x14ac:dyDescent="0.25">
      <c r="A189" s="18" t="s">
        <v>79</v>
      </c>
      <c r="B189" t="s">
        <v>104</v>
      </c>
      <c r="C189" t="s">
        <v>91</v>
      </c>
      <c r="D189">
        <v>156</v>
      </c>
      <c r="E189" s="20">
        <v>46178.498831018522</v>
      </c>
      <c r="F189" t="b">
        <v>1</v>
      </c>
      <c r="G189" s="18" t="s">
        <v>50</v>
      </c>
      <c r="H189" s="18" t="s">
        <v>7</v>
      </c>
      <c r="I189" s="18" t="s">
        <v>10</v>
      </c>
      <c r="J189">
        <v>0</v>
      </c>
      <c r="K189" s="18" t="s">
        <v>81</v>
      </c>
      <c r="L189" t="b">
        <v>0</v>
      </c>
      <c r="M189" t="b">
        <v>0</v>
      </c>
      <c r="N189" t="b">
        <v>0</v>
      </c>
    </row>
    <row r="190" spans="1:14" x14ac:dyDescent="0.25">
      <c r="A190" s="18" t="s">
        <v>79</v>
      </c>
      <c r="B190" t="s">
        <v>105</v>
      </c>
      <c r="C190" t="s">
        <v>91</v>
      </c>
      <c r="D190">
        <v>35</v>
      </c>
      <c r="E190" s="20">
        <v>46178.498831018522</v>
      </c>
      <c r="F190" t="b">
        <v>1</v>
      </c>
      <c r="G190" s="18" t="s">
        <v>51</v>
      </c>
      <c r="H190" s="18" t="s">
        <v>7</v>
      </c>
      <c r="I190" s="18" t="s">
        <v>10</v>
      </c>
      <c r="J190">
        <v>0</v>
      </c>
      <c r="K190" s="18" t="s">
        <v>81</v>
      </c>
      <c r="L190" t="b">
        <v>0</v>
      </c>
      <c r="M190" t="b">
        <v>0</v>
      </c>
      <c r="N190" t="b">
        <v>0</v>
      </c>
    </row>
    <row r="191" spans="1:14" x14ac:dyDescent="0.25">
      <c r="A191" s="18" t="s">
        <v>79</v>
      </c>
      <c r="B191" t="s">
        <v>106</v>
      </c>
      <c r="C191" t="s">
        <v>91</v>
      </c>
      <c r="D191">
        <v>35</v>
      </c>
      <c r="E191" s="20">
        <v>46178.498831018522</v>
      </c>
      <c r="F191" t="b">
        <v>1</v>
      </c>
      <c r="G191" s="18" t="s">
        <v>52</v>
      </c>
      <c r="H191" s="18" t="s">
        <v>7</v>
      </c>
      <c r="I191" s="18" t="s">
        <v>10</v>
      </c>
      <c r="J191">
        <v>0</v>
      </c>
      <c r="K191" s="18" t="s">
        <v>81</v>
      </c>
      <c r="L191" t="b">
        <v>0</v>
      </c>
      <c r="M191" t="b">
        <v>0</v>
      </c>
      <c r="N191" t="b">
        <v>0</v>
      </c>
    </row>
    <row r="192" spans="1:14" x14ac:dyDescent="0.25">
      <c r="A192" s="18" t="s">
        <v>107</v>
      </c>
      <c r="B192" t="s">
        <v>80</v>
      </c>
      <c r="D192" t="e">
        <v>#N/A</v>
      </c>
      <c r="E192" s="19">
        <v>0</v>
      </c>
      <c r="F192" t="b">
        <v>1</v>
      </c>
      <c r="G192" s="18" t="s">
        <v>245</v>
      </c>
      <c r="H192" s="18" t="s">
        <v>7</v>
      </c>
      <c r="I192" s="18" t="s">
        <v>193</v>
      </c>
      <c r="J192">
        <v>0</v>
      </c>
      <c r="K192" s="18" t="s">
        <v>81</v>
      </c>
      <c r="L192" t="b">
        <v>0</v>
      </c>
      <c r="M192" t="b">
        <v>0</v>
      </c>
      <c r="N192" t="b">
        <v>0</v>
      </c>
    </row>
    <row r="193" spans="1:14" x14ac:dyDescent="0.25">
      <c r="A193" s="18" t="s">
        <v>107</v>
      </c>
      <c r="B193" t="s">
        <v>82</v>
      </c>
      <c r="D193" t="e">
        <v>#N/A</v>
      </c>
      <c r="E193" s="19">
        <v>0</v>
      </c>
      <c r="F193" t="b">
        <v>1</v>
      </c>
      <c r="G193" s="18" t="s">
        <v>246</v>
      </c>
      <c r="H193" s="18" t="s">
        <v>7</v>
      </c>
      <c r="I193" s="18" t="s">
        <v>193</v>
      </c>
      <c r="J193">
        <v>0</v>
      </c>
      <c r="K193" s="18" t="s">
        <v>81</v>
      </c>
      <c r="L193" t="b">
        <v>0</v>
      </c>
      <c r="M193" t="b">
        <v>0</v>
      </c>
      <c r="N193" t="b">
        <v>0</v>
      </c>
    </row>
    <row r="194" spans="1:14" x14ac:dyDescent="0.25">
      <c r="A194" s="18" t="s">
        <v>107</v>
      </c>
      <c r="B194" t="s">
        <v>83</v>
      </c>
      <c r="D194" t="e">
        <v>#N/A</v>
      </c>
      <c r="E194" s="19">
        <v>0</v>
      </c>
      <c r="F194" t="b">
        <v>1</v>
      </c>
      <c r="G194" s="18" t="s">
        <v>247</v>
      </c>
      <c r="H194" s="18" t="s">
        <v>7</v>
      </c>
      <c r="I194" s="18" t="s">
        <v>193</v>
      </c>
      <c r="J194">
        <v>0</v>
      </c>
      <c r="K194" s="18" t="s">
        <v>81</v>
      </c>
      <c r="L194" t="b">
        <v>0</v>
      </c>
      <c r="M194" t="b">
        <v>0</v>
      </c>
      <c r="N194" t="b">
        <v>0</v>
      </c>
    </row>
    <row r="195" spans="1:14" x14ac:dyDescent="0.25">
      <c r="A195" s="18" t="s">
        <v>107</v>
      </c>
      <c r="B195" t="s">
        <v>84</v>
      </c>
      <c r="D195" t="e">
        <v>#N/A</v>
      </c>
      <c r="E195" s="19">
        <v>0</v>
      </c>
      <c r="F195" t="b">
        <v>1</v>
      </c>
      <c r="G195" s="18" t="s">
        <v>199</v>
      </c>
      <c r="H195" s="18" t="s">
        <v>7</v>
      </c>
      <c r="I195" s="18" t="s">
        <v>193</v>
      </c>
      <c r="J195">
        <v>0</v>
      </c>
      <c r="K195" s="18" t="s">
        <v>81</v>
      </c>
      <c r="L195" t="b">
        <v>0</v>
      </c>
      <c r="M195" t="b">
        <v>0</v>
      </c>
      <c r="N195" t="b">
        <v>0</v>
      </c>
    </row>
    <row r="196" spans="1:14" x14ac:dyDescent="0.25">
      <c r="A196" s="18" t="s">
        <v>107</v>
      </c>
      <c r="B196" t="s">
        <v>85</v>
      </c>
      <c r="D196" t="e">
        <v>#N/A</v>
      </c>
      <c r="E196" s="19">
        <v>0</v>
      </c>
      <c r="F196" t="b">
        <v>1</v>
      </c>
      <c r="G196" s="18" t="s">
        <v>248</v>
      </c>
      <c r="H196" s="18" t="s">
        <v>7</v>
      </c>
      <c r="I196" s="18" t="s">
        <v>193</v>
      </c>
      <c r="J196">
        <v>0</v>
      </c>
      <c r="K196" s="18" t="s">
        <v>81</v>
      </c>
      <c r="L196" t="b">
        <v>0</v>
      </c>
      <c r="M196" t="b">
        <v>0</v>
      </c>
      <c r="N196" t="b">
        <v>0</v>
      </c>
    </row>
    <row r="197" spans="1:14" x14ac:dyDescent="0.25">
      <c r="A197" s="18" t="s">
        <v>107</v>
      </c>
      <c r="B197" t="s">
        <v>86</v>
      </c>
      <c r="D197" t="e">
        <v>#N/A</v>
      </c>
      <c r="E197" s="19">
        <v>0</v>
      </c>
      <c r="F197" t="b">
        <v>1</v>
      </c>
      <c r="G197" s="18" t="s">
        <v>201</v>
      </c>
      <c r="H197" s="18" t="s">
        <v>7</v>
      </c>
      <c r="I197" s="18" t="s">
        <v>193</v>
      </c>
      <c r="J197">
        <v>0</v>
      </c>
      <c r="K197" s="18" t="s">
        <v>81</v>
      </c>
      <c r="L197" t="b">
        <v>0</v>
      </c>
      <c r="M197" t="b">
        <v>0</v>
      </c>
      <c r="N197" t="b">
        <v>0</v>
      </c>
    </row>
    <row r="198" spans="1:14" x14ac:dyDescent="0.25">
      <c r="A198" s="18" t="s">
        <v>107</v>
      </c>
      <c r="B198" t="s">
        <v>87</v>
      </c>
      <c r="D198" t="e">
        <v>#N/A</v>
      </c>
      <c r="E198" s="19">
        <v>0</v>
      </c>
      <c r="F198" t="b">
        <v>1</v>
      </c>
      <c r="G198" s="18" t="s">
        <v>202</v>
      </c>
      <c r="H198" s="18" t="s">
        <v>7</v>
      </c>
      <c r="I198" s="18" t="s">
        <v>193</v>
      </c>
      <c r="J198">
        <v>0</v>
      </c>
      <c r="K198" s="18" t="s">
        <v>81</v>
      </c>
      <c r="L198" t="b">
        <v>0</v>
      </c>
      <c r="M198" t="b">
        <v>0</v>
      </c>
      <c r="N198" t="b">
        <v>0</v>
      </c>
    </row>
    <row r="199" spans="1:14" x14ac:dyDescent="0.25">
      <c r="A199" s="18" t="s">
        <v>107</v>
      </c>
      <c r="B199" t="s">
        <v>88</v>
      </c>
      <c r="D199" t="e">
        <v>#N/A</v>
      </c>
      <c r="E199" s="19">
        <v>0</v>
      </c>
      <c r="F199" t="b">
        <v>1</v>
      </c>
      <c r="G199" s="18" t="s">
        <v>174</v>
      </c>
      <c r="H199" s="18" t="s">
        <v>7</v>
      </c>
      <c r="I199" s="18" t="s">
        <v>13</v>
      </c>
      <c r="J199">
        <v>0</v>
      </c>
      <c r="K199" s="18" t="s">
        <v>81</v>
      </c>
      <c r="L199" t="b">
        <v>0</v>
      </c>
      <c r="M199" t="b">
        <v>0</v>
      </c>
      <c r="N199" t="b">
        <v>0</v>
      </c>
    </row>
    <row r="200" spans="1:14" x14ac:dyDescent="0.25">
      <c r="A200" s="18" t="s">
        <v>107</v>
      </c>
      <c r="B200" t="s">
        <v>90</v>
      </c>
      <c r="C200" t="s">
        <v>91</v>
      </c>
      <c r="D200">
        <v>68.274787902373603</v>
      </c>
      <c r="E200" s="20">
        <v>46178.498900462961</v>
      </c>
      <c r="F200" t="b">
        <v>1</v>
      </c>
      <c r="G200" s="18" t="s">
        <v>175</v>
      </c>
      <c r="H200" s="18" t="s">
        <v>7</v>
      </c>
      <c r="I200" s="18" t="s">
        <v>10</v>
      </c>
      <c r="J200">
        <v>0</v>
      </c>
      <c r="K200" s="18" t="s">
        <v>81</v>
      </c>
      <c r="L200" t="b">
        <v>0</v>
      </c>
      <c r="M200" t="b">
        <v>0</v>
      </c>
      <c r="N200" t="b">
        <v>0</v>
      </c>
    </row>
    <row r="201" spans="1:14" x14ac:dyDescent="0.25">
      <c r="A201" s="18" t="s">
        <v>107</v>
      </c>
      <c r="B201" t="s">
        <v>93</v>
      </c>
      <c r="C201" t="s">
        <v>91</v>
      </c>
      <c r="D201">
        <v>0.69676277490104199</v>
      </c>
      <c r="E201" s="20">
        <v>46178.498912037037</v>
      </c>
      <c r="F201" t="b">
        <v>1</v>
      </c>
      <c r="G201" s="18" t="s">
        <v>176</v>
      </c>
      <c r="H201" s="18" t="s">
        <v>7</v>
      </c>
      <c r="I201" s="18" t="s">
        <v>10</v>
      </c>
      <c r="J201">
        <v>0</v>
      </c>
      <c r="K201" s="18" t="s">
        <v>81</v>
      </c>
      <c r="L201" t="b">
        <v>0</v>
      </c>
      <c r="M201" t="b">
        <v>0</v>
      </c>
      <c r="N201" t="b">
        <v>0</v>
      </c>
    </row>
    <row r="202" spans="1:14" x14ac:dyDescent="0.25">
      <c r="A202" s="18" t="s">
        <v>107</v>
      </c>
      <c r="B202" t="s">
        <v>95</v>
      </c>
      <c r="C202" t="s">
        <v>91</v>
      </c>
      <c r="D202">
        <v>80.896181538461505</v>
      </c>
      <c r="E202" s="20">
        <v>46178.498912037037</v>
      </c>
      <c r="F202" t="b">
        <v>1</v>
      </c>
      <c r="G202" s="18" t="s">
        <v>177</v>
      </c>
      <c r="H202" s="18" t="s">
        <v>7</v>
      </c>
      <c r="I202" s="18" t="s">
        <v>10</v>
      </c>
      <c r="J202">
        <v>0</v>
      </c>
      <c r="K202" s="18" t="s">
        <v>81</v>
      </c>
      <c r="L202" t="b">
        <v>0</v>
      </c>
      <c r="M202" t="b">
        <v>0</v>
      </c>
      <c r="N202" t="b">
        <v>0</v>
      </c>
    </row>
    <row r="203" spans="1:14" x14ac:dyDescent="0.25">
      <c r="A203" s="18" t="s">
        <v>107</v>
      </c>
      <c r="B203" t="s">
        <v>97</v>
      </c>
      <c r="C203" t="s">
        <v>91</v>
      </c>
      <c r="D203">
        <v>0.3</v>
      </c>
      <c r="E203" s="20">
        <v>46178.498923611114</v>
      </c>
      <c r="F203" t="b">
        <v>1</v>
      </c>
      <c r="G203" s="18" t="s">
        <v>178</v>
      </c>
      <c r="H203" s="18" t="s">
        <v>7</v>
      </c>
      <c r="I203" s="18" t="s">
        <v>10</v>
      </c>
      <c r="J203">
        <v>0</v>
      </c>
      <c r="K203" s="18" t="s">
        <v>81</v>
      </c>
      <c r="L203" t="b">
        <v>0</v>
      </c>
      <c r="M203" t="b">
        <v>0</v>
      </c>
      <c r="N203" t="b">
        <v>0</v>
      </c>
    </row>
    <row r="204" spans="1:14" x14ac:dyDescent="0.25">
      <c r="A204" s="18" t="s">
        <v>107</v>
      </c>
      <c r="B204" t="s">
        <v>99</v>
      </c>
      <c r="C204" t="s">
        <v>91</v>
      </c>
      <c r="D204">
        <v>0.20789577611610899</v>
      </c>
      <c r="E204" s="20">
        <v>46178.498923611114</v>
      </c>
      <c r="F204" t="b">
        <v>1</v>
      </c>
      <c r="G204" s="18" t="s">
        <v>179</v>
      </c>
      <c r="H204" s="18" t="s">
        <v>7</v>
      </c>
      <c r="I204" s="18" t="s">
        <v>10</v>
      </c>
      <c r="J204">
        <v>0</v>
      </c>
      <c r="K204" s="18" t="s">
        <v>81</v>
      </c>
      <c r="L204" t="b">
        <v>0</v>
      </c>
      <c r="M204" t="b">
        <v>0</v>
      </c>
      <c r="N204" t="b">
        <v>0</v>
      </c>
    </row>
    <row r="205" spans="1:14" x14ac:dyDescent="0.25">
      <c r="A205" s="18" t="s">
        <v>107</v>
      </c>
      <c r="B205" t="s">
        <v>101</v>
      </c>
      <c r="C205" t="s">
        <v>91</v>
      </c>
      <c r="D205">
        <v>330</v>
      </c>
      <c r="E205" s="20">
        <v>46178.498923611114</v>
      </c>
      <c r="F205" t="b">
        <v>1</v>
      </c>
      <c r="G205" s="18" t="s">
        <v>47</v>
      </c>
      <c r="H205" s="18" t="s">
        <v>7</v>
      </c>
      <c r="I205" s="18" t="s">
        <v>10</v>
      </c>
      <c r="J205">
        <v>0</v>
      </c>
      <c r="K205" s="18" t="s">
        <v>81</v>
      </c>
      <c r="L205" t="b">
        <v>0</v>
      </c>
      <c r="M205" t="b">
        <v>0</v>
      </c>
      <c r="N205" t="b">
        <v>0</v>
      </c>
    </row>
    <row r="206" spans="1:14" x14ac:dyDescent="0.25">
      <c r="A206" s="18" t="s">
        <v>107</v>
      </c>
      <c r="B206" t="s">
        <v>102</v>
      </c>
      <c r="C206" t="s">
        <v>91</v>
      </c>
      <c r="D206">
        <v>85</v>
      </c>
      <c r="E206" s="20">
        <v>46178.498923611114</v>
      </c>
      <c r="F206" t="b">
        <v>1</v>
      </c>
      <c r="G206" s="18" t="s">
        <v>48</v>
      </c>
      <c r="H206" s="18" t="s">
        <v>7</v>
      </c>
      <c r="I206" s="18" t="s">
        <v>10</v>
      </c>
      <c r="J206">
        <v>0</v>
      </c>
      <c r="K206" s="18" t="s">
        <v>81</v>
      </c>
      <c r="L206" t="b">
        <v>0</v>
      </c>
      <c r="M206" t="b">
        <v>0</v>
      </c>
      <c r="N206" t="b">
        <v>0</v>
      </c>
    </row>
    <row r="207" spans="1:14" x14ac:dyDescent="0.25">
      <c r="A207" s="18" t="s">
        <v>107</v>
      </c>
      <c r="B207" t="s">
        <v>103</v>
      </c>
      <c r="C207" t="s">
        <v>91</v>
      </c>
      <c r="D207">
        <v>359</v>
      </c>
      <c r="E207" s="20">
        <v>46178.498923611114</v>
      </c>
      <c r="F207" t="b">
        <v>1</v>
      </c>
      <c r="G207" s="18" t="s">
        <v>49</v>
      </c>
      <c r="H207" s="18" t="s">
        <v>7</v>
      </c>
      <c r="I207" s="18" t="s">
        <v>10</v>
      </c>
      <c r="J207">
        <v>0</v>
      </c>
      <c r="K207" s="18" t="s">
        <v>81</v>
      </c>
      <c r="L207" t="b">
        <v>0</v>
      </c>
      <c r="M207" t="b">
        <v>0</v>
      </c>
      <c r="N207" t="b">
        <v>0</v>
      </c>
    </row>
    <row r="208" spans="1:14" x14ac:dyDescent="0.25">
      <c r="A208" s="18" t="s">
        <v>107</v>
      </c>
      <c r="B208" t="s">
        <v>104</v>
      </c>
      <c r="C208" t="s">
        <v>91</v>
      </c>
      <c r="D208">
        <v>156</v>
      </c>
      <c r="E208" s="20">
        <v>46178.498923611114</v>
      </c>
      <c r="F208" t="b">
        <v>1</v>
      </c>
      <c r="G208" s="18" t="s">
        <v>50</v>
      </c>
      <c r="H208" s="18" t="s">
        <v>7</v>
      </c>
      <c r="I208" s="18" t="s">
        <v>10</v>
      </c>
      <c r="J208">
        <v>0</v>
      </c>
      <c r="K208" s="18" t="s">
        <v>81</v>
      </c>
      <c r="L208" t="b">
        <v>0</v>
      </c>
      <c r="M208" t="b">
        <v>0</v>
      </c>
      <c r="N208" t="b">
        <v>0</v>
      </c>
    </row>
    <row r="209" spans="1:14" x14ac:dyDescent="0.25">
      <c r="A209" s="18" t="s">
        <v>107</v>
      </c>
      <c r="B209" t="s">
        <v>105</v>
      </c>
      <c r="C209" t="s">
        <v>91</v>
      </c>
      <c r="D209">
        <v>35</v>
      </c>
      <c r="E209" s="20">
        <v>46178.498923611114</v>
      </c>
      <c r="F209" t="b">
        <v>1</v>
      </c>
      <c r="G209" s="18" t="s">
        <v>51</v>
      </c>
      <c r="H209" s="18" t="s">
        <v>7</v>
      </c>
      <c r="I209" s="18" t="s">
        <v>10</v>
      </c>
      <c r="J209">
        <v>0</v>
      </c>
      <c r="K209" s="18" t="s">
        <v>81</v>
      </c>
      <c r="L209" t="b">
        <v>0</v>
      </c>
      <c r="M209" t="b">
        <v>0</v>
      </c>
      <c r="N209" t="b">
        <v>0</v>
      </c>
    </row>
    <row r="210" spans="1:14" x14ac:dyDescent="0.25">
      <c r="A210" s="18" t="s">
        <v>107</v>
      </c>
      <c r="B210" t="s">
        <v>106</v>
      </c>
      <c r="C210" t="s">
        <v>91</v>
      </c>
      <c r="D210">
        <v>35</v>
      </c>
      <c r="E210" s="20">
        <v>46178.498923611114</v>
      </c>
      <c r="F210" t="b">
        <v>1</v>
      </c>
      <c r="G210" s="18" t="s">
        <v>52</v>
      </c>
      <c r="H210" s="18" t="s">
        <v>7</v>
      </c>
      <c r="I210" s="18" t="s">
        <v>10</v>
      </c>
      <c r="J210">
        <v>0</v>
      </c>
      <c r="K210" s="18" t="s">
        <v>81</v>
      </c>
      <c r="L210" t="b">
        <v>0</v>
      </c>
      <c r="M210" t="b">
        <v>0</v>
      </c>
      <c r="N210" t="b">
        <v>0</v>
      </c>
    </row>
    <row r="211" spans="1:14" x14ac:dyDescent="0.25">
      <c r="A211" s="18" t="s">
        <v>108</v>
      </c>
      <c r="B211" t="s">
        <v>80</v>
      </c>
      <c r="D211" t="e">
        <v>#N/A</v>
      </c>
      <c r="E211" s="19">
        <v>0</v>
      </c>
      <c r="F211" t="b">
        <v>1</v>
      </c>
      <c r="G211" s="18" t="s">
        <v>249</v>
      </c>
      <c r="H211" s="18" t="s">
        <v>7</v>
      </c>
      <c r="I211" s="18" t="s">
        <v>193</v>
      </c>
      <c r="J211">
        <v>0</v>
      </c>
      <c r="K211" s="18" t="s">
        <v>81</v>
      </c>
      <c r="L211" t="b">
        <v>0</v>
      </c>
      <c r="M211" t="b">
        <v>0</v>
      </c>
      <c r="N211" t="b">
        <v>0</v>
      </c>
    </row>
    <row r="212" spans="1:14" x14ac:dyDescent="0.25">
      <c r="A212" s="18" t="s">
        <v>108</v>
      </c>
      <c r="B212" t="s">
        <v>82</v>
      </c>
      <c r="D212" t="e">
        <v>#N/A</v>
      </c>
      <c r="E212" s="19">
        <v>0</v>
      </c>
      <c r="F212" t="b">
        <v>1</v>
      </c>
      <c r="G212" s="18" t="s">
        <v>250</v>
      </c>
      <c r="H212" s="18" t="s">
        <v>7</v>
      </c>
      <c r="I212" s="18" t="s">
        <v>193</v>
      </c>
      <c r="J212">
        <v>0</v>
      </c>
      <c r="K212" s="18" t="s">
        <v>81</v>
      </c>
      <c r="L212" t="b">
        <v>0</v>
      </c>
      <c r="M212" t="b">
        <v>0</v>
      </c>
      <c r="N212" t="b">
        <v>0</v>
      </c>
    </row>
    <row r="213" spans="1:14" x14ac:dyDescent="0.25">
      <c r="A213" s="18" t="s">
        <v>108</v>
      </c>
      <c r="B213" t="s">
        <v>83</v>
      </c>
      <c r="D213" t="e">
        <v>#N/A</v>
      </c>
      <c r="E213" s="19">
        <v>0</v>
      </c>
      <c r="F213" t="b">
        <v>1</v>
      </c>
      <c r="G213" s="18" t="s">
        <v>251</v>
      </c>
      <c r="H213" s="18" t="s">
        <v>7</v>
      </c>
      <c r="I213" s="18" t="s">
        <v>193</v>
      </c>
      <c r="J213">
        <v>0</v>
      </c>
      <c r="K213" s="18" t="s">
        <v>81</v>
      </c>
      <c r="L213" t="b">
        <v>0</v>
      </c>
      <c r="M213" t="b">
        <v>0</v>
      </c>
      <c r="N213" t="b">
        <v>0</v>
      </c>
    </row>
    <row r="214" spans="1:14" x14ac:dyDescent="0.25">
      <c r="A214" s="18" t="s">
        <v>108</v>
      </c>
      <c r="B214" t="s">
        <v>84</v>
      </c>
      <c r="D214" t="e">
        <v>#N/A</v>
      </c>
      <c r="E214" s="19">
        <v>0</v>
      </c>
      <c r="F214" t="b">
        <v>1</v>
      </c>
      <c r="G214" s="18" t="s">
        <v>199</v>
      </c>
      <c r="H214" s="18" t="s">
        <v>7</v>
      </c>
      <c r="I214" s="18" t="s">
        <v>193</v>
      </c>
      <c r="J214">
        <v>0</v>
      </c>
      <c r="K214" s="18" t="s">
        <v>81</v>
      </c>
      <c r="L214" t="b">
        <v>0</v>
      </c>
      <c r="M214" t="b">
        <v>0</v>
      </c>
      <c r="N214" t="b">
        <v>0</v>
      </c>
    </row>
    <row r="215" spans="1:14" x14ac:dyDescent="0.25">
      <c r="A215" s="18" t="s">
        <v>108</v>
      </c>
      <c r="B215" t="s">
        <v>85</v>
      </c>
      <c r="D215" t="e">
        <v>#N/A</v>
      </c>
      <c r="E215" s="19">
        <v>0</v>
      </c>
      <c r="F215" t="b">
        <v>1</v>
      </c>
      <c r="G215" s="18" t="s">
        <v>252</v>
      </c>
      <c r="H215" s="18" t="s">
        <v>7</v>
      </c>
      <c r="I215" s="18" t="s">
        <v>193</v>
      </c>
      <c r="J215">
        <v>0</v>
      </c>
      <c r="K215" s="18" t="s">
        <v>81</v>
      </c>
      <c r="L215" t="b">
        <v>0</v>
      </c>
      <c r="M215" t="b">
        <v>0</v>
      </c>
      <c r="N215" t="b">
        <v>0</v>
      </c>
    </row>
    <row r="216" spans="1:14" x14ac:dyDescent="0.25">
      <c r="A216" s="18" t="s">
        <v>108</v>
      </c>
      <c r="B216" t="s">
        <v>86</v>
      </c>
      <c r="D216" t="e">
        <v>#N/A</v>
      </c>
      <c r="E216" s="19">
        <v>0</v>
      </c>
      <c r="F216" t="b">
        <v>1</v>
      </c>
      <c r="G216" s="18" t="s">
        <v>201</v>
      </c>
      <c r="H216" s="18" t="s">
        <v>7</v>
      </c>
      <c r="I216" s="18" t="s">
        <v>193</v>
      </c>
      <c r="J216">
        <v>0</v>
      </c>
      <c r="K216" s="18" t="s">
        <v>81</v>
      </c>
      <c r="L216" t="b">
        <v>0</v>
      </c>
      <c r="M216" t="b">
        <v>0</v>
      </c>
      <c r="N216" t="b">
        <v>0</v>
      </c>
    </row>
    <row r="217" spans="1:14" x14ac:dyDescent="0.25">
      <c r="A217" s="18" t="s">
        <v>108</v>
      </c>
      <c r="B217" t="s">
        <v>87</v>
      </c>
      <c r="D217" t="e">
        <v>#N/A</v>
      </c>
      <c r="E217" s="19">
        <v>0</v>
      </c>
      <c r="F217" t="b">
        <v>1</v>
      </c>
      <c r="G217" s="18" t="s">
        <v>202</v>
      </c>
      <c r="H217" s="18" t="s">
        <v>7</v>
      </c>
      <c r="I217" s="18" t="s">
        <v>193</v>
      </c>
      <c r="J217">
        <v>0</v>
      </c>
      <c r="K217" s="18" t="s">
        <v>81</v>
      </c>
      <c r="L217" t="b">
        <v>0</v>
      </c>
      <c r="M217" t="b">
        <v>0</v>
      </c>
      <c r="N217" t="b">
        <v>0</v>
      </c>
    </row>
    <row r="218" spans="1:14" x14ac:dyDescent="0.25">
      <c r="A218" s="18" t="s">
        <v>108</v>
      </c>
      <c r="B218" t="s">
        <v>88</v>
      </c>
      <c r="D218" t="e">
        <v>#N/A</v>
      </c>
      <c r="E218" s="19">
        <v>0</v>
      </c>
      <c r="F218" t="b">
        <v>1</v>
      </c>
      <c r="G218" s="18" t="s">
        <v>180</v>
      </c>
      <c r="H218" s="18" t="s">
        <v>7</v>
      </c>
      <c r="I218" s="18" t="s">
        <v>13</v>
      </c>
      <c r="J218">
        <v>0</v>
      </c>
      <c r="K218" s="18" t="s">
        <v>81</v>
      </c>
      <c r="L218" t="b">
        <v>0</v>
      </c>
      <c r="M218" t="b">
        <v>0</v>
      </c>
      <c r="N218" t="b">
        <v>0</v>
      </c>
    </row>
    <row r="219" spans="1:14" x14ac:dyDescent="0.25">
      <c r="A219" s="18" t="s">
        <v>108</v>
      </c>
      <c r="B219" t="s">
        <v>90</v>
      </c>
      <c r="C219" t="s">
        <v>91</v>
      </c>
      <c r="D219">
        <v>68.2747845747502</v>
      </c>
      <c r="E219" s="20">
        <v>46178.49900462963</v>
      </c>
      <c r="F219" t="b">
        <v>1</v>
      </c>
      <c r="G219" s="18" t="s">
        <v>181</v>
      </c>
      <c r="H219" s="18" t="s">
        <v>7</v>
      </c>
      <c r="I219" s="18" t="s">
        <v>10</v>
      </c>
      <c r="J219">
        <v>0</v>
      </c>
      <c r="K219" s="18" t="s">
        <v>81</v>
      </c>
      <c r="L219" t="b">
        <v>0</v>
      </c>
      <c r="M219" t="b">
        <v>0</v>
      </c>
      <c r="N219" t="b">
        <v>0</v>
      </c>
    </row>
    <row r="220" spans="1:14" x14ac:dyDescent="0.25">
      <c r="A220" s="18" t="s">
        <v>108</v>
      </c>
      <c r="B220" t="s">
        <v>93</v>
      </c>
      <c r="C220" t="s">
        <v>91</v>
      </c>
      <c r="D220">
        <v>0.69676277490104199</v>
      </c>
      <c r="E220" s="20">
        <v>46178.49900462963</v>
      </c>
      <c r="F220" t="b">
        <v>1</v>
      </c>
      <c r="G220" s="18" t="s">
        <v>182</v>
      </c>
      <c r="H220" s="18" t="s">
        <v>7</v>
      </c>
      <c r="I220" s="18" t="s">
        <v>10</v>
      </c>
      <c r="J220">
        <v>0</v>
      </c>
      <c r="K220" s="18" t="s">
        <v>81</v>
      </c>
      <c r="L220" t="b">
        <v>0</v>
      </c>
      <c r="M220" t="b">
        <v>0</v>
      </c>
      <c r="N220" t="b">
        <v>0</v>
      </c>
    </row>
    <row r="221" spans="1:14" x14ac:dyDescent="0.25">
      <c r="A221" s="18" t="s">
        <v>108</v>
      </c>
      <c r="B221" t="s">
        <v>95</v>
      </c>
      <c r="C221" t="s">
        <v>91</v>
      </c>
      <c r="D221">
        <v>80.896181538461505</v>
      </c>
      <c r="E221" s="20">
        <v>46178.499027777776</v>
      </c>
      <c r="F221" t="b">
        <v>1</v>
      </c>
      <c r="G221" s="18" t="s">
        <v>183</v>
      </c>
      <c r="H221" s="18" t="s">
        <v>7</v>
      </c>
      <c r="I221" s="18" t="s">
        <v>10</v>
      </c>
      <c r="J221">
        <v>0</v>
      </c>
      <c r="K221" s="18" t="s">
        <v>81</v>
      </c>
      <c r="L221" t="b">
        <v>0</v>
      </c>
      <c r="M221" t="b">
        <v>0</v>
      </c>
      <c r="N221" t="b">
        <v>0</v>
      </c>
    </row>
    <row r="222" spans="1:14" x14ac:dyDescent="0.25">
      <c r="A222" s="18" t="s">
        <v>108</v>
      </c>
      <c r="B222" t="s">
        <v>97</v>
      </c>
      <c r="C222" t="s">
        <v>91</v>
      </c>
      <c r="D222">
        <v>0.3</v>
      </c>
      <c r="E222" s="20">
        <v>46178.499027777776</v>
      </c>
      <c r="F222" t="b">
        <v>1</v>
      </c>
      <c r="G222" s="18" t="s">
        <v>184</v>
      </c>
      <c r="H222" s="18" t="s">
        <v>7</v>
      </c>
      <c r="I222" s="18" t="s">
        <v>10</v>
      </c>
      <c r="J222">
        <v>0</v>
      </c>
      <c r="K222" s="18" t="s">
        <v>81</v>
      </c>
      <c r="L222" t="b">
        <v>0</v>
      </c>
      <c r="M222" t="b">
        <v>0</v>
      </c>
      <c r="N222" t="b">
        <v>0</v>
      </c>
    </row>
    <row r="223" spans="1:14" x14ac:dyDescent="0.25">
      <c r="A223" s="18" t="s">
        <v>108</v>
      </c>
      <c r="B223" t="s">
        <v>99</v>
      </c>
      <c r="C223" t="s">
        <v>91</v>
      </c>
      <c r="D223">
        <v>0.20789577611610899</v>
      </c>
      <c r="E223" s="20">
        <v>46178.499039351853</v>
      </c>
      <c r="F223" t="b">
        <v>1</v>
      </c>
      <c r="G223" s="18" t="s">
        <v>185</v>
      </c>
      <c r="H223" s="18" t="s">
        <v>7</v>
      </c>
      <c r="I223" s="18" t="s">
        <v>10</v>
      </c>
      <c r="J223">
        <v>0</v>
      </c>
      <c r="K223" s="18" t="s">
        <v>81</v>
      </c>
      <c r="L223" t="b">
        <v>0</v>
      </c>
      <c r="M223" t="b">
        <v>0</v>
      </c>
      <c r="N223" t="b">
        <v>0</v>
      </c>
    </row>
    <row r="224" spans="1:14" x14ac:dyDescent="0.25">
      <c r="A224" s="18" t="s">
        <v>108</v>
      </c>
      <c r="B224" t="s">
        <v>101</v>
      </c>
      <c r="C224" t="s">
        <v>91</v>
      </c>
      <c r="D224">
        <v>330</v>
      </c>
      <c r="E224" s="20">
        <v>46178.499039351853</v>
      </c>
      <c r="F224" t="b">
        <v>1</v>
      </c>
      <c r="G224" s="18" t="s">
        <v>47</v>
      </c>
      <c r="H224" s="18" t="s">
        <v>7</v>
      </c>
      <c r="I224" s="18" t="s">
        <v>10</v>
      </c>
      <c r="J224">
        <v>0</v>
      </c>
      <c r="K224" s="18" t="s">
        <v>81</v>
      </c>
      <c r="L224" t="b">
        <v>0</v>
      </c>
      <c r="M224" t="b">
        <v>0</v>
      </c>
      <c r="N224" t="b">
        <v>0</v>
      </c>
    </row>
    <row r="225" spans="1:14" x14ac:dyDescent="0.25">
      <c r="A225" s="18" t="s">
        <v>108</v>
      </c>
      <c r="B225" t="s">
        <v>102</v>
      </c>
      <c r="C225" t="s">
        <v>91</v>
      </c>
      <c r="D225">
        <v>85</v>
      </c>
      <c r="E225" s="20">
        <v>46178.499039351853</v>
      </c>
      <c r="F225" t="b">
        <v>1</v>
      </c>
      <c r="G225" s="18" t="s">
        <v>48</v>
      </c>
      <c r="H225" s="18" t="s">
        <v>7</v>
      </c>
      <c r="I225" s="18" t="s">
        <v>10</v>
      </c>
      <c r="J225">
        <v>0</v>
      </c>
      <c r="K225" s="18" t="s">
        <v>81</v>
      </c>
      <c r="L225" t="b">
        <v>0</v>
      </c>
      <c r="M225" t="b">
        <v>0</v>
      </c>
      <c r="N225" t="b">
        <v>0</v>
      </c>
    </row>
    <row r="226" spans="1:14" x14ac:dyDescent="0.25">
      <c r="A226" s="18" t="s">
        <v>108</v>
      </c>
      <c r="B226" t="s">
        <v>103</v>
      </c>
      <c r="C226" t="s">
        <v>91</v>
      </c>
      <c r="D226">
        <v>359</v>
      </c>
      <c r="E226" s="20">
        <v>46178.499039351853</v>
      </c>
      <c r="F226" t="b">
        <v>1</v>
      </c>
      <c r="G226" s="18" t="s">
        <v>49</v>
      </c>
      <c r="H226" s="18" t="s">
        <v>7</v>
      </c>
      <c r="I226" s="18" t="s">
        <v>10</v>
      </c>
      <c r="J226">
        <v>0</v>
      </c>
      <c r="K226" s="18" t="s">
        <v>81</v>
      </c>
      <c r="L226" t="b">
        <v>0</v>
      </c>
      <c r="M226" t="b">
        <v>0</v>
      </c>
      <c r="N226" t="b">
        <v>0</v>
      </c>
    </row>
    <row r="227" spans="1:14" x14ac:dyDescent="0.25">
      <c r="A227" s="18" t="s">
        <v>108</v>
      </c>
      <c r="B227" t="s">
        <v>104</v>
      </c>
      <c r="C227" t="s">
        <v>91</v>
      </c>
      <c r="D227">
        <v>156</v>
      </c>
      <c r="E227" s="20">
        <v>46178.499039351853</v>
      </c>
      <c r="F227" t="b">
        <v>1</v>
      </c>
      <c r="G227" s="18" t="s">
        <v>50</v>
      </c>
      <c r="H227" s="18" t="s">
        <v>7</v>
      </c>
      <c r="I227" s="18" t="s">
        <v>10</v>
      </c>
      <c r="J227">
        <v>0</v>
      </c>
      <c r="K227" s="18" t="s">
        <v>81</v>
      </c>
      <c r="L227" t="b">
        <v>0</v>
      </c>
      <c r="M227" t="b">
        <v>0</v>
      </c>
      <c r="N227" t="b">
        <v>0</v>
      </c>
    </row>
    <row r="228" spans="1:14" x14ac:dyDescent="0.25">
      <c r="A228" s="18" t="s">
        <v>108</v>
      </c>
      <c r="B228" t="s">
        <v>105</v>
      </c>
      <c r="C228" t="s">
        <v>91</v>
      </c>
      <c r="D228">
        <v>35</v>
      </c>
      <c r="E228" s="20">
        <v>46178.499039351853</v>
      </c>
      <c r="F228" t="b">
        <v>1</v>
      </c>
      <c r="G228" s="18" t="s">
        <v>51</v>
      </c>
      <c r="H228" s="18" t="s">
        <v>7</v>
      </c>
      <c r="I228" s="18" t="s">
        <v>10</v>
      </c>
      <c r="J228">
        <v>0</v>
      </c>
      <c r="K228" s="18" t="s">
        <v>81</v>
      </c>
      <c r="L228" t="b">
        <v>0</v>
      </c>
      <c r="M228" t="b">
        <v>0</v>
      </c>
      <c r="N228" t="b">
        <v>0</v>
      </c>
    </row>
    <row r="229" spans="1:14" x14ac:dyDescent="0.25">
      <c r="A229" s="18" t="s">
        <v>108</v>
      </c>
      <c r="B229" t="s">
        <v>106</v>
      </c>
      <c r="C229" t="s">
        <v>91</v>
      </c>
      <c r="D229">
        <v>35</v>
      </c>
      <c r="E229" s="20">
        <v>46178.499039351853</v>
      </c>
      <c r="F229" t="b">
        <v>1</v>
      </c>
      <c r="G229" s="18" t="s">
        <v>52</v>
      </c>
      <c r="H229" s="18" t="s">
        <v>7</v>
      </c>
      <c r="I229" s="18" t="s">
        <v>10</v>
      </c>
      <c r="J229">
        <v>0</v>
      </c>
      <c r="K229" s="18" t="s">
        <v>81</v>
      </c>
      <c r="L229" t="b">
        <v>0</v>
      </c>
      <c r="M229" t="b">
        <v>0</v>
      </c>
      <c r="N229" t="b">
        <v>0</v>
      </c>
    </row>
    <row r="230" spans="1:14" x14ac:dyDescent="0.25">
      <c r="A230" s="18" t="s">
        <v>109</v>
      </c>
      <c r="B230" t="s">
        <v>80</v>
      </c>
      <c r="D230" t="e">
        <v>#N/A</v>
      </c>
      <c r="E230" s="19">
        <v>0</v>
      </c>
      <c r="F230" t="b">
        <v>1</v>
      </c>
      <c r="G230" s="18" t="s">
        <v>253</v>
      </c>
      <c r="H230" s="18" t="s">
        <v>7</v>
      </c>
      <c r="I230" s="18" t="s">
        <v>193</v>
      </c>
      <c r="J230">
        <v>0</v>
      </c>
      <c r="K230" s="18" t="s">
        <v>81</v>
      </c>
      <c r="L230" t="b">
        <v>0</v>
      </c>
      <c r="M230" t="b">
        <v>0</v>
      </c>
      <c r="N230" t="b">
        <v>0</v>
      </c>
    </row>
    <row r="231" spans="1:14" x14ac:dyDescent="0.25">
      <c r="A231" s="18" t="s">
        <v>109</v>
      </c>
      <c r="B231" t="s">
        <v>82</v>
      </c>
      <c r="D231" t="e">
        <v>#N/A</v>
      </c>
      <c r="E231" s="19">
        <v>0</v>
      </c>
      <c r="F231" t="b">
        <v>1</v>
      </c>
      <c r="G231" s="18" t="s">
        <v>254</v>
      </c>
      <c r="H231" s="18" t="s">
        <v>7</v>
      </c>
      <c r="I231" s="18" t="s">
        <v>193</v>
      </c>
      <c r="J231">
        <v>0</v>
      </c>
      <c r="K231" s="18" t="s">
        <v>81</v>
      </c>
      <c r="L231" t="b">
        <v>0</v>
      </c>
      <c r="M231" t="b">
        <v>0</v>
      </c>
      <c r="N231" t="b">
        <v>0</v>
      </c>
    </row>
    <row r="232" spans="1:14" x14ac:dyDescent="0.25">
      <c r="A232" s="18" t="s">
        <v>109</v>
      </c>
      <c r="B232" t="s">
        <v>83</v>
      </c>
      <c r="D232" t="e">
        <v>#N/A</v>
      </c>
      <c r="E232" s="19">
        <v>0</v>
      </c>
      <c r="F232" t="b">
        <v>1</v>
      </c>
      <c r="G232" s="18" t="s">
        <v>255</v>
      </c>
      <c r="H232" s="18" t="s">
        <v>7</v>
      </c>
      <c r="I232" s="18" t="s">
        <v>193</v>
      </c>
      <c r="J232">
        <v>0</v>
      </c>
      <c r="K232" s="18" t="s">
        <v>81</v>
      </c>
      <c r="L232" t="b">
        <v>0</v>
      </c>
      <c r="M232" t="b">
        <v>0</v>
      </c>
      <c r="N232" t="b">
        <v>0</v>
      </c>
    </row>
    <row r="233" spans="1:14" x14ac:dyDescent="0.25">
      <c r="A233" s="18" t="s">
        <v>109</v>
      </c>
      <c r="B233" t="s">
        <v>84</v>
      </c>
      <c r="D233" t="e">
        <v>#N/A</v>
      </c>
      <c r="E233" s="19">
        <v>0</v>
      </c>
      <c r="F233" t="b">
        <v>1</v>
      </c>
      <c r="G233" s="18" t="s">
        <v>199</v>
      </c>
      <c r="H233" s="18" t="s">
        <v>7</v>
      </c>
      <c r="I233" s="18" t="s">
        <v>193</v>
      </c>
      <c r="J233">
        <v>0</v>
      </c>
      <c r="K233" s="18" t="s">
        <v>81</v>
      </c>
      <c r="L233" t="b">
        <v>0</v>
      </c>
      <c r="M233" t="b">
        <v>0</v>
      </c>
      <c r="N233" t="b">
        <v>0</v>
      </c>
    </row>
    <row r="234" spans="1:14" x14ac:dyDescent="0.25">
      <c r="A234" s="18" t="s">
        <v>109</v>
      </c>
      <c r="B234" t="s">
        <v>85</v>
      </c>
      <c r="D234" t="e">
        <v>#N/A</v>
      </c>
      <c r="E234" s="19">
        <v>0</v>
      </c>
      <c r="F234" t="b">
        <v>1</v>
      </c>
      <c r="G234" s="18" t="s">
        <v>256</v>
      </c>
      <c r="H234" s="18" t="s">
        <v>7</v>
      </c>
      <c r="I234" s="18" t="s">
        <v>193</v>
      </c>
      <c r="J234">
        <v>0</v>
      </c>
      <c r="K234" s="18" t="s">
        <v>81</v>
      </c>
      <c r="L234" t="b">
        <v>0</v>
      </c>
      <c r="M234" t="b">
        <v>0</v>
      </c>
      <c r="N234" t="b">
        <v>0</v>
      </c>
    </row>
    <row r="235" spans="1:14" x14ac:dyDescent="0.25">
      <c r="A235" s="18" t="s">
        <v>109</v>
      </c>
      <c r="B235" t="s">
        <v>86</v>
      </c>
      <c r="D235" t="e">
        <v>#N/A</v>
      </c>
      <c r="E235" s="19">
        <v>0</v>
      </c>
      <c r="F235" t="b">
        <v>1</v>
      </c>
      <c r="G235" s="18" t="s">
        <v>201</v>
      </c>
      <c r="H235" s="18" t="s">
        <v>7</v>
      </c>
      <c r="I235" s="18" t="s">
        <v>193</v>
      </c>
      <c r="J235">
        <v>0</v>
      </c>
      <c r="K235" s="18" t="s">
        <v>81</v>
      </c>
      <c r="L235" t="b">
        <v>0</v>
      </c>
      <c r="M235" t="b">
        <v>0</v>
      </c>
      <c r="N235" t="b">
        <v>0</v>
      </c>
    </row>
    <row r="236" spans="1:14" x14ac:dyDescent="0.25">
      <c r="A236" s="18" t="s">
        <v>109</v>
      </c>
      <c r="B236" t="s">
        <v>87</v>
      </c>
      <c r="D236" t="e">
        <v>#N/A</v>
      </c>
      <c r="E236" s="19">
        <v>0</v>
      </c>
      <c r="F236" t="b">
        <v>1</v>
      </c>
      <c r="G236" s="18" t="s">
        <v>202</v>
      </c>
      <c r="H236" s="18" t="s">
        <v>7</v>
      </c>
      <c r="I236" s="18" t="s">
        <v>193</v>
      </c>
      <c r="J236">
        <v>0</v>
      </c>
      <c r="K236" s="18" t="s">
        <v>81</v>
      </c>
      <c r="L236" t="b">
        <v>0</v>
      </c>
      <c r="M236" t="b">
        <v>0</v>
      </c>
      <c r="N236" t="b">
        <v>0</v>
      </c>
    </row>
    <row r="237" spans="1:14" x14ac:dyDescent="0.25">
      <c r="A237" s="18" t="s">
        <v>109</v>
      </c>
      <c r="B237" t="s">
        <v>88</v>
      </c>
      <c r="D237" t="e">
        <v>#N/A</v>
      </c>
      <c r="E237" s="19">
        <v>0</v>
      </c>
      <c r="F237" t="b">
        <v>1</v>
      </c>
      <c r="G237" s="18" t="s">
        <v>186</v>
      </c>
      <c r="H237" s="18" t="s">
        <v>7</v>
      </c>
      <c r="I237" s="18" t="s">
        <v>13</v>
      </c>
      <c r="J237">
        <v>0</v>
      </c>
      <c r="K237" s="18" t="s">
        <v>81</v>
      </c>
      <c r="L237" t="b">
        <v>0</v>
      </c>
      <c r="M237" t="b">
        <v>0</v>
      </c>
      <c r="N237" t="b">
        <v>0</v>
      </c>
    </row>
    <row r="238" spans="1:14" x14ac:dyDescent="0.25">
      <c r="A238" s="18" t="s">
        <v>109</v>
      </c>
      <c r="B238" t="s">
        <v>90</v>
      </c>
      <c r="C238" t="s">
        <v>91</v>
      </c>
      <c r="D238">
        <v>68.274785869470605</v>
      </c>
      <c r="E238" s="20">
        <v>46178.499108796299</v>
      </c>
      <c r="F238" t="b">
        <v>1</v>
      </c>
      <c r="G238" s="18" t="s">
        <v>187</v>
      </c>
      <c r="H238" s="18" t="s">
        <v>7</v>
      </c>
      <c r="I238" s="18" t="s">
        <v>10</v>
      </c>
      <c r="J238">
        <v>0</v>
      </c>
      <c r="K238" s="18" t="s">
        <v>81</v>
      </c>
      <c r="L238" t="b">
        <v>0</v>
      </c>
      <c r="M238" t="b">
        <v>0</v>
      </c>
      <c r="N238" t="b">
        <v>0</v>
      </c>
    </row>
    <row r="239" spans="1:14" x14ac:dyDescent="0.25">
      <c r="A239" s="18" t="s">
        <v>109</v>
      </c>
      <c r="B239" t="s">
        <v>93</v>
      </c>
      <c r="C239" t="s">
        <v>91</v>
      </c>
      <c r="D239">
        <v>0.69676277490104199</v>
      </c>
      <c r="E239" s="20">
        <v>46178.499120370368</v>
      </c>
      <c r="F239" t="b">
        <v>1</v>
      </c>
      <c r="G239" s="18" t="s">
        <v>188</v>
      </c>
      <c r="H239" s="18" t="s">
        <v>7</v>
      </c>
      <c r="I239" s="18" t="s">
        <v>10</v>
      </c>
      <c r="J239">
        <v>0</v>
      </c>
      <c r="K239" s="18" t="s">
        <v>81</v>
      </c>
      <c r="L239" t="b">
        <v>0</v>
      </c>
      <c r="M239" t="b">
        <v>0</v>
      </c>
      <c r="N239" t="b">
        <v>0</v>
      </c>
    </row>
    <row r="240" spans="1:14" x14ac:dyDescent="0.25">
      <c r="A240" s="18" t="s">
        <v>109</v>
      </c>
      <c r="B240" t="s">
        <v>95</v>
      </c>
      <c r="C240" t="s">
        <v>91</v>
      </c>
      <c r="D240">
        <v>80.896181538461505</v>
      </c>
      <c r="E240" s="20">
        <v>46178.499120370368</v>
      </c>
      <c r="F240" t="b">
        <v>1</v>
      </c>
      <c r="G240" s="18" t="s">
        <v>189</v>
      </c>
      <c r="H240" s="18" t="s">
        <v>7</v>
      </c>
      <c r="I240" s="18" t="s">
        <v>10</v>
      </c>
      <c r="J240">
        <v>0</v>
      </c>
      <c r="K240" s="18" t="s">
        <v>81</v>
      </c>
      <c r="L240" t="b">
        <v>0</v>
      </c>
      <c r="M240" t="b">
        <v>0</v>
      </c>
      <c r="N240" t="b">
        <v>0</v>
      </c>
    </row>
    <row r="241" spans="1:14" x14ac:dyDescent="0.25">
      <c r="A241" s="18" t="s">
        <v>109</v>
      </c>
      <c r="B241" t="s">
        <v>97</v>
      </c>
      <c r="C241" t="s">
        <v>91</v>
      </c>
      <c r="D241">
        <v>0.3</v>
      </c>
      <c r="E241" s="20">
        <v>46178.499131944445</v>
      </c>
      <c r="F241" t="b">
        <v>1</v>
      </c>
      <c r="G241" s="18" t="s">
        <v>190</v>
      </c>
      <c r="H241" s="18" t="s">
        <v>7</v>
      </c>
      <c r="I241" s="18" t="s">
        <v>10</v>
      </c>
      <c r="J241">
        <v>0</v>
      </c>
      <c r="K241" s="18" t="s">
        <v>81</v>
      </c>
      <c r="L241" t="b">
        <v>0</v>
      </c>
      <c r="M241" t="b">
        <v>0</v>
      </c>
      <c r="N241" t="b">
        <v>0</v>
      </c>
    </row>
    <row r="242" spans="1:14" x14ac:dyDescent="0.25">
      <c r="A242" s="18" t="s">
        <v>109</v>
      </c>
      <c r="B242" t="s">
        <v>99</v>
      </c>
      <c r="C242" t="s">
        <v>91</v>
      </c>
      <c r="D242">
        <v>0.118309818208218</v>
      </c>
      <c r="E242" s="20">
        <v>46178.499131944445</v>
      </c>
      <c r="F242" t="b">
        <v>1</v>
      </c>
      <c r="G242" s="18" t="s">
        <v>191</v>
      </c>
      <c r="H242" s="18" t="s">
        <v>7</v>
      </c>
      <c r="I242" s="18" t="s">
        <v>10</v>
      </c>
      <c r="J242">
        <v>0</v>
      </c>
      <c r="K242" s="18" t="s">
        <v>81</v>
      </c>
      <c r="L242" t="b">
        <v>0</v>
      </c>
      <c r="M242" t="b">
        <v>0</v>
      </c>
      <c r="N242" t="b">
        <v>0</v>
      </c>
    </row>
    <row r="243" spans="1:14" x14ac:dyDescent="0.25">
      <c r="A243" s="18" t="s">
        <v>109</v>
      </c>
      <c r="B243" t="s">
        <v>101</v>
      </c>
      <c r="C243" t="s">
        <v>91</v>
      </c>
      <c r="D243">
        <v>330</v>
      </c>
      <c r="E243" s="20">
        <v>46178.499131944445</v>
      </c>
      <c r="F243" t="b">
        <v>1</v>
      </c>
      <c r="G243" s="18" t="s">
        <v>47</v>
      </c>
      <c r="H243" s="18" t="s">
        <v>7</v>
      </c>
      <c r="I243" s="18" t="s">
        <v>10</v>
      </c>
      <c r="J243">
        <v>0</v>
      </c>
      <c r="K243" s="18" t="s">
        <v>81</v>
      </c>
      <c r="L243" t="b">
        <v>0</v>
      </c>
      <c r="M243" t="b">
        <v>0</v>
      </c>
      <c r="N243" t="b">
        <v>0</v>
      </c>
    </row>
    <row r="244" spans="1:14" x14ac:dyDescent="0.25">
      <c r="A244" s="18" t="s">
        <v>109</v>
      </c>
      <c r="B244" t="s">
        <v>102</v>
      </c>
      <c r="C244" t="s">
        <v>91</v>
      </c>
      <c r="D244">
        <v>85</v>
      </c>
      <c r="E244" s="20">
        <v>46178.499131944445</v>
      </c>
      <c r="F244" t="b">
        <v>1</v>
      </c>
      <c r="G244" s="18" t="s">
        <v>48</v>
      </c>
      <c r="H244" s="18" t="s">
        <v>7</v>
      </c>
      <c r="I244" s="18" t="s">
        <v>10</v>
      </c>
      <c r="J244">
        <v>0</v>
      </c>
      <c r="K244" s="18" t="s">
        <v>81</v>
      </c>
      <c r="L244" t="b">
        <v>0</v>
      </c>
      <c r="M244" t="b">
        <v>0</v>
      </c>
      <c r="N244" t="b">
        <v>0</v>
      </c>
    </row>
    <row r="245" spans="1:14" x14ac:dyDescent="0.25">
      <c r="A245" s="18" t="s">
        <v>109</v>
      </c>
      <c r="B245" t="s">
        <v>103</v>
      </c>
      <c r="C245" t="s">
        <v>91</v>
      </c>
      <c r="D245">
        <v>359</v>
      </c>
      <c r="E245" s="20">
        <v>46178.499131944445</v>
      </c>
      <c r="F245" t="b">
        <v>1</v>
      </c>
      <c r="G245" s="18" t="s">
        <v>49</v>
      </c>
      <c r="H245" s="18" t="s">
        <v>7</v>
      </c>
      <c r="I245" s="18" t="s">
        <v>10</v>
      </c>
      <c r="J245">
        <v>0</v>
      </c>
      <c r="K245" s="18" t="s">
        <v>81</v>
      </c>
      <c r="L245" t="b">
        <v>0</v>
      </c>
      <c r="M245" t="b">
        <v>0</v>
      </c>
      <c r="N245" t="b">
        <v>0</v>
      </c>
    </row>
    <row r="246" spans="1:14" x14ac:dyDescent="0.25">
      <c r="A246" s="18" t="s">
        <v>109</v>
      </c>
      <c r="B246" t="s">
        <v>104</v>
      </c>
      <c r="C246" t="s">
        <v>91</v>
      </c>
      <c r="D246">
        <v>156</v>
      </c>
      <c r="E246" s="20">
        <v>46178.499131944445</v>
      </c>
      <c r="F246" t="b">
        <v>1</v>
      </c>
      <c r="G246" s="18" t="s">
        <v>50</v>
      </c>
      <c r="H246" s="18" t="s">
        <v>7</v>
      </c>
      <c r="I246" s="18" t="s">
        <v>10</v>
      </c>
      <c r="J246">
        <v>0</v>
      </c>
      <c r="K246" s="18" t="s">
        <v>81</v>
      </c>
      <c r="L246" t="b">
        <v>0</v>
      </c>
      <c r="M246" t="b">
        <v>0</v>
      </c>
      <c r="N246" t="b">
        <v>0</v>
      </c>
    </row>
    <row r="247" spans="1:14" x14ac:dyDescent="0.25">
      <c r="A247" s="18" t="s">
        <v>109</v>
      </c>
      <c r="B247" t="s">
        <v>105</v>
      </c>
      <c r="C247" t="s">
        <v>91</v>
      </c>
      <c r="D247">
        <v>35</v>
      </c>
      <c r="E247" s="20">
        <v>46178.499131944445</v>
      </c>
      <c r="F247" t="b">
        <v>1</v>
      </c>
      <c r="G247" s="18" t="s">
        <v>51</v>
      </c>
      <c r="H247" s="18" t="s">
        <v>7</v>
      </c>
      <c r="I247" s="18" t="s">
        <v>10</v>
      </c>
      <c r="J247">
        <v>0</v>
      </c>
      <c r="K247" s="18" t="s">
        <v>81</v>
      </c>
      <c r="L247" t="b">
        <v>0</v>
      </c>
      <c r="M247" t="b">
        <v>0</v>
      </c>
      <c r="N247" t="b">
        <v>0</v>
      </c>
    </row>
    <row r="248" spans="1:14" x14ac:dyDescent="0.25">
      <c r="A248" s="18" t="s">
        <v>109</v>
      </c>
      <c r="B248" t="s">
        <v>106</v>
      </c>
      <c r="C248" t="s">
        <v>91</v>
      </c>
      <c r="D248">
        <v>35</v>
      </c>
      <c r="E248" s="20">
        <v>46178.499131944445</v>
      </c>
      <c r="F248" t="b">
        <v>1</v>
      </c>
      <c r="G248" s="18" t="s">
        <v>52</v>
      </c>
      <c r="H248" s="18" t="s">
        <v>7</v>
      </c>
      <c r="I248" s="18" t="s">
        <v>10</v>
      </c>
      <c r="J248">
        <v>0</v>
      </c>
      <c r="K248" s="18" t="s">
        <v>81</v>
      </c>
      <c r="L248" t="b">
        <v>0</v>
      </c>
      <c r="M248" t="b">
        <v>0</v>
      </c>
      <c r="N24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8F27-00FC-4133-9514-AC36A7BF6EC3}">
  <dimension ref="A1:V172"/>
  <sheetViews>
    <sheetView tabSelected="1" topLeftCell="A109" zoomScaleNormal="100" workbookViewId="0">
      <selection activeCell="B121" sqref="B121:B133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192</v>
      </c>
      <c r="I3" s="1" t="s">
        <v>7</v>
      </c>
      <c r="J3" s="2" t="s">
        <v>5</v>
      </c>
      <c r="K3" s="2"/>
      <c r="L3" t="s">
        <v>192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conv2qa(X12(M23_stifidx_fin.m,MULT,1996m1,2029m12))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conv2qa(X12(M23_stif_srv_fin.m,MULT,1996m1,2029m12))</v>
      </c>
      <c r="D10" s="12" t="str">
        <f t="shared" si="0"/>
        <v>conv2qa(X12(M23_stif_gds_xeatfnab_fin.m,MULT,1996m1,2029m12))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conv2qa(X12(M23_stif_fnab_fin.m,MULT,1996m1,2029m12))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conv2qa(X12(M23_stif_pu_fin.m,MULT,1996m1,2029m3))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68.3476703233937</v>
      </c>
      <c r="K12">
        <f>[2]!FAMEData($L$5&amp;$L$3&amp;K9&amp;$L$4, $I$3, $I$4, 0,"Quarterly", "Down", "No Heading", "Normal")</f>
        <v>0.87462265142754203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68.734916666065899</v>
      </c>
      <c r="K13">
        <v>0.87520591247050405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68.960876270918902</v>
      </c>
      <c r="K14">
        <v>0.85681424432570896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69.271521877852194</v>
      </c>
      <c r="K15">
        <v>0.84667207907818098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69.667808905679294</v>
      </c>
      <c r="K16">
        <v>0.81438823057671805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69.830422718659904</v>
      </c>
      <c r="K17">
        <v>0.80227584750237602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70.2934385363301</v>
      </c>
      <c r="K18">
        <v>0.79099584566582204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70.545986369878804</v>
      </c>
      <c r="K19">
        <v>0.78723953960031501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70.772638800632905</v>
      </c>
      <c r="K20">
        <v>0.77287991178829196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71.112473177250493</v>
      </c>
      <c r="K21">
        <v>0.76081657525898805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71.267461713521001</v>
      </c>
      <c r="K22">
        <v>0.74745017761454602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71.551842806245205</v>
      </c>
      <c r="K23">
        <v>0.75024931812993401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71.881446842730796</v>
      </c>
      <c r="K24">
        <v>0.74701597099030403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72.100995123604605</v>
      </c>
      <c r="K25">
        <v>0.74412834252829496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72.137451884749893</v>
      </c>
      <c r="K26">
        <v>0.74555785073191405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72.371868760317298</v>
      </c>
      <c r="K27">
        <v>0.74698909902544797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72.452764321226695</v>
      </c>
      <c r="K28">
        <v>0.75406826834531804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72.5513183846586</v>
      </c>
      <c r="K29">
        <v>0.76477853444836297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72.720001335718095</v>
      </c>
      <c r="K30">
        <v>0.77678948920695401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73.070319319949803</v>
      </c>
      <c r="K31">
        <v>0.77716589856964102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73.069249300620896</v>
      </c>
      <c r="K32">
        <v>0.77640460158961899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73.653376706233999</v>
      </c>
      <c r="K33">
        <v>0.77333754640256802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73.837800050826402</v>
      </c>
      <c r="K34">
        <v>0.75706362386859805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73.821881952917096</v>
      </c>
      <c r="K35">
        <v>0.74345217034681099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74.184670976373894</v>
      </c>
      <c r="K36">
        <v>0.74343578366915297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74.354743866741003</v>
      </c>
      <c r="K37">
        <v>0.74494908375043001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74.599091393849207</v>
      </c>
      <c r="K38">
        <v>0.73570701289127105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74.953174701857293</v>
      </c>
      <c r="K39">
        <v>0.73317257206722197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75.265692846149307</v>
      </c>
      <c r="K40">
        <v>0.74201000013698204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75.312857851625694</v>
      </c>
      <c r="K41">
        <v>0.74032864154194999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75.625264588129198</v>
      </c>
      <c r="K42">
        <v>0.74541430208966497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75.941608318423903</v>
      </c>
      <c r="K43">
        <v>0.74062050375996402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76.210797426923094</v>
      </c>
      <c r="K44">
        <v>0.72884118178333401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76.3767567017739</v>
      </c>
      <c r="K45">
        <v>0.73558705002471902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76.574764281479901</v>
      </c>
      <c r="K46">
        <v>0.73650722837377103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77.034549346150001</v>
      </c>
      <c r="K47">
        <v>0.74397036753497703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77.529260396637895</v>
      </c>
      <c r="K48">
        <v>0.74492188243975299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77.881756493167401</v>
      </c>
      <c r="K49">
        <v>0.74486848073853695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78.404476134675207</v>
      </c>
      <c r="K50">
        <v>0.76279020276240905</v>
      </c>
      <c r="L50">
        <v>99.734880303030295</v>
      </c>
      <c r="M50" s="16">
        <f>+'[3]VAR expectations'!C74</f>
        <v>2.2761535969954032</v>
      </c>
      <c r="N50">
        <v>0.70017615103754205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78.670881704150901</v>
      </c>
      <c r="K51">
        <v>0.76572091120725705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79.041233698591796</v>
      </c>
      <c r="K52">
        <v>0.77498342097905504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79.642654189805398</v>
      </c>
      <c r="K53">
        <v>0.77209232519481996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80.284776484295506</v>
      </c>
      <c r="K54">
        <v>0.77062001076434805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80.793523972476706</v>
      </c>
      <c r="K55">
        <v>0.76595391446830896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81.318846804494001</v>
      </c>
      <c r="K56">
        <v>0.75675330340823499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81.682108719328397</v>
      </c>
      <c r="K57">
        <v>0.76536738345886501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81.712107250768696</v>
      </c>
      <c r="K58">
        <v>0.76900019666481201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82.484476211574801</v>
      </c>
      <c r="K59">
        <v>0.78824808311316197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83.2576343882412</v>
      </c>
      <c r="K60">
        <v>0.82243835953570399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84.439257033293103</v>
      </c>
      <c r="K61">
        <v>0.86105717965758599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85.625531669436398</v>
      </c>
      <c r="K62">
        <v>0.88070475677455595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85.6665982070338</v>
      </c>
      <c r="K63">
        <v>0.87276078512302602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85.741714969926406</v>
      </c>
      <c r="K64">
        <v>0.88166678185677705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86.202199004394501</v>
      </c>
      <c r="K65">
        <v>0.86053160345124502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86.919185922072899</v>
      </c>
      <c r="K66">
        <v>0.85618535336021695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87.470495519397403</v>
      </c>
      <c r="K67">
        <v>0.87187069184569699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88.507640031786906</v>
      </c>
      <c r="K68">
        <v>0.88494600112391997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89.188496223353098</v>
      </c>
      <c r="K69">
        <v>0.89897536368728204</v>
      </c>
      <c r="L69">
        <v>79.899689230769198</v>
      </c>
      <c r="M69" s="16">
        <f>+'[3]VAR expectations'!C93</f>
        <v>2.6505886564059562</v>
      </c>
      <c r="N69">
        <v>0.580318036056505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89.624103455778197</v>
      </c>
      <c r="K70">
        <v>0.89820363124720703</v>
      </c>
      <c r="L70">
        <v>81.7654454545455</v>
      </c>
      <c r="M70" s="16">
        <f>+'[3]VAR expectations'!C94</f>
        <v>2.8352346264846378</v>
      </c>
      <c r="N70">
        <v>0.26076684740058298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90.418472588778599</v>
      </c>
      <c r="K71">
        <v>0.91877609262684101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92.105457455296104</v>
      </c>
      <c r="K72">
        <v>0.93671209798883504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93.102830243092697</v>
      </c>
      <c r="K73">
        <v>0.96150868911071197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93.8641416406996</v>
      </c>
      <c r="K74">
        <v>0.97448576911988405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94.606182788279298</v>
      </c>
      <c r="K75">
        <v>0.96683089386078003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95.290586738015193</v>
      </c>
      <c r="K76">
        <v>0.963645602445242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95.686144195056798</v>
      </c>
      <c r="K77">
        <v>0.95028390228295401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96.142203334553102</v>
      </c>
      <c r="K78">
        <v>0.94745447729996202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97.117450186697397</v>
      </c>
      <c r="K79">
        <v>0.949355103727476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97.929587878029196</v>
      </c>
      <c r="K80">
        <v>0.972355750068434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98.268092282495004</v>
      </c>
      <c r="K81">
        <v>0.96291817096621002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98.740262823904402</v>
      </c>
      <c r="K82">
        <v>0.96345510785528199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99.144542634478995</v>
      </c>
      <c r="K83">
        <v>0.94423896776587102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99.647133629422001</v>
      </c>
      <c r="K84">
        <v>0.93147449279808303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99.974644709060897</v>
      </c>
      <c r="K85">
        <v>0.92996689136503896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100.151020010165</v>
      </c>
      <c r="K86">
        <v>0.92086069099077605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100.06495394557</v>
      </c>
      <c r="K87">
        <v>0.90837971880997304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99.772300008676297</v>
      </c>
      <c r="K88">
        <v>0.88501612621417702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99.967694261047299</v>
      </c>
      <c r="K89">
        <v>0.87863865587599199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100.130088275278</v>
      </c>
      <c r="K90">
        <v>0.86531484886283705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100.129917454999</v>
      </c>
      <c r="K91">
        <v>0.85526092569934098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100.143562833028</v>
      </c>
      <c r="K92">
        <v>0.868638273105657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100.3249179968</v>
      </c>
      <c r="K93">
        <v>0.89268401707218803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100.82709543793401</v>
      </c>
      <c r="K94">
        <v>0.93081391328015095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101.350110425914</v>
      </c>
      <c r="K95">
        <v>0.95141918031597195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102.296800431381</v>
      </c>
      <c r="K96">
        <v>0.96237835892332202</v>
      </c>
      <c r="L96">
        <v>77.057224615384598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103.08892729411799</v>
      </c>
      <c r="K97">
        <v>0.96203229687709402</v>
      </c>
      <c r="L97">
        <v>77.969992307692294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103.645591836715</v>
      </c>
      <c r="K98">
        <v>0.96511973639988902</v>
      </c>
      <c r="L98">
        <v>76.548206153846195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104.41987742584701</v>
      </c>
      <c r="K99">
        <v>0.97142089480623395</v>
      </c>
      <c r="L99">
        <v>77.705763076923105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105.079509754548</v>
      </c>
      <c r="K100">
        <v>0.97239250214329997</v>
      </c>
      <c r="L100">
        <v>79.029952307692298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105.586072285813</v>
      </c>
      <c r="K101">
        <v>0.98285866599527105</v>
      </c>
      <c r="L101">
        <v>79.095200000000006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106.243381898778</v>
      </c>
      <c r="K102">
        <v>0.99442913161891899</v>
      </c>
      <c r="L102">
        <v>77.810726153846105</v>
      </c>
      <c r="M102" s="16">
        <f>+'[3]VAR expectations'!C126</f>
        <v>2.6759360893479318</v>
      </c>
      <c r="N102">
        <v>0.59026787322204299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106.78784352247899</v>
      </c>
      <c r="K103">
        <v>0.992627827137195</v>
      </c>
      <c r="L103">
        <v>77.839012121212093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107.05794330345201</v>
      </c>
      <c r="K104">
        <v>0.99096935430098199</v>
      </c>
      <c r="L104">
        <v>78.725142187499998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107.744621579634</v>
      </c>
      <c r="K105">
        <v>1.0010002143604899</v>
      </c>
      <c r="L105">
        <v>78.454716923076901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108.193155550935</v>
      </c>
      <c r="K106">
        <v>1.01630498304328</v>
      </c>
      <c r="L106">
        <v>75.791030303030297</v>
      </c>
      <c r="M106" s="16">
        <f>+'[3]VAR expectations'!C130</f>
        <v>2.9781745842670815</v>
      </c>
      <c r="N106">
        <v>0.17462163035891701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108.282288964975</v>
      </c>
      <c r="K107">
        <v>0.99229522646605794</v>
      </c>
      <c r="L107">
        <v>79.399309090909099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108.873637235746</v>
      </c>
      <c r="K108">
        <v>0.98899334245689396</v>
      </c>
      <c r="L108">
        <v>79.225938461538504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108.383109144698</v>
      </c>
      <c r="K109">
        <v>0.97852219441341504</v>
      </c>
      <c r="L109">
        <v>77.411789230769202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108.851080024105</v>
      </c>
      <c r="K110">
        <v>0.98131634253016897</v>
      </c>
      <c r="L110">
        <v>77.442254545454603</v>
      </c>
      <c r="M110" s="16">
        <f>+'[3]VAR expectations'!C134</f>
        <v>3.1319434989789481</v>
      </c>
      <c r="N110">
        <v>-0.57563884899936602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108.842630753065</v>
      </c>
      <c r="K111">
        <v>0.99367632090301194</v>
      </c>
      <c r="L111">
        <v>77.953772727272707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109.566519343427</v>
      </c>
      <c r="K112">
        <v>1.01035497239337</v>
      </c>
      <c r="L112">
        <v>80.470739062500002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110.579052356871</v>
      </c>
      <c r="K113">
        <v>1.01525370044581</v>
      </c>
      <c r="L113">
        <v>81.776303076923099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111.88045748402099</v>
      </c>
      <c r="K114">
        <v>1.03997360502412</v>
      </c>
      <c r="L114">
        <v>81.762672727272701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114.170099607602</v>
      </c>
      <c r="K115">
        <v>1.08993629530979</v>
      </c>
      <c r="L115">
        <v>81.6023757575758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116.41085795017899</v>
      </c>
      <c r="K116">
        <v>1.13769892118654</v>
      </c>
      <c r="L116">
        <v>82.314385937500006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120.682674091309</v>
      </c>
      <c r="K117">
        <v>1.1985115600057099</v>
      </c>
      <c r="L117">
        <v>80.147603076923104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123.111790792669</v>
      </c>
      <c r="K118">
        <v>1.2705070608593101</v>
      </c>
      <c r="L118">
        <v>78.114139393939396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126.436132575809</v>
      </c>
      <c r="K119">
        <v>1.24995487586761</v>
      </c>
      <c r="L119">
        <v>78.044989230769204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128.27133674220201</v>
      </c>
      <c r="K120">
        <v>1.2103342758655</v>
      </c>
      <c r="L120">
        <v>78.11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130.58061135073399</v>
      </c>
      <c r="K121">
        <v>1.18463781935945</v>
      </c>
      <c r="L121">
        <v>79.248999999999995</v>
      </c>
      <c r="M121" s="16">
        <f>+'[3]VAR expectations'!C145</f>
        <v>4.9659010810981856</v>
      </c>
      <c r="N121">
        <v>0.84996457557134297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131.70701566493599</v>
      </c>
      <c r="K122">
        <v>1.14359392537562</v>
      </c>
      <c r="L122">
        <v>79.174000000000007</v>
      </c>
      <c r="M122" s="16">
        <f>+'[3]VAR expectations'!C146</f>
        <v>4.3007323969777262</v>
      </c>
      <c r="N122">
        <v>1.6412952943836E-2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132.90826090190001</v>
      </c>
      <c r="K123">
        <v>1.11393455513414</v>
      </c>
      <c r="L123">
        <v>79.070999999999998</v>
      </c>
      <c r="M123" s="16">
        <f>+'[3]VAR expectations'!C147</f>
        <v>3.8582721147576735</v>
      </c>
      <c r="N123">
        <v>-0.95385946224346096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133.922538403385</v>
      </c>
      <c r="K124">
        <v>1.0926305323461101</v>
      </c>
      <c r="L124">
        <v>78.953999999999994</v>
      </c>
      <c r="M124" s="16">
        <f>+'[3]VAR expectations'!C148</f>
        <v>3.6255376960251078</v>
      </c>
      <c r="N124">
        <v>-0.47178749693868899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134.99246134645199</v>
      </c>
      <c r="K125">
        <v>1.07954996005611</v>
      </c>
      <c r="L125">
        <v>78.837000000000003</v>
      </c>
      <c r="M125" s="16">
        <f>+'[3]VAR expectations'!C149</f>
        <v>2.979353541970323</v>
      </c>
      <c r="N125">
        <v>-0.34759565023433198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135.53818179649099</v>
      </c>
      <c r="K126">
        <v>1.07149928565427</v>
      </c>
      <c r="L126">
        <v>78.725999999999999</v>
      </c>
      <c r="M126" s="16">
        <f>+'[3]VAR expectations'!C150</f>
        <v>2.9717312535901965</v>
      </c>
      <c r="N126">
        <v>0.20412504955924901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135.93245710809799</v>
      </c>
      <c r="K127">
        <v>1.06516354812039</v>
      </c>
      <c r="L127">
        <v>78.622</v>
      </c>
      <c r="M127" s="16">
        <f>+'[3]VAR expectations'!C151</f>
        <v>3.468785277541127</v>
      </c>
      <c r="N127">
        <v>0.120670896180128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135.952920342211</v>
      </c>
      <c r="K128">
        <v>1.0614217135585899</v>
      </c>
      <c r="L128">
        <v>78.522999999999996</v>
      </c>
      <c r="M128" s="16">
        <f>+'[3]VAR expectations'!C152</f>
        <v>3.8021957884789486</v>
      </c>
      <c r="N128">
        <v>-0.28376155831699301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136.46688232741499</v>
      </c>
      <c r="K129">
        <v>1.0594525356694799</v>
      </c>
      <c r="L129">
        <v>78.424000000000007</v>
      </c>
      <c r="M129" s="16">
        <f>+'[3]VAR expectations'!C153</f>
        <v>4.011042611251681</v>
      </c>
      <c r="N129">
        <v>-0.48892291464545301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136.910466618394</v>
      </c>
      <c r="K130">
        <v>1.05874826281446</v>
      </c>
      <c r="L130">
        <v>78.325999999999993</v>
      </c>
      <c r="M130" s="16">
        <f>+'[3]VAR expectations'!C154</f>
        <v>3.9691108090385026</v>
      </c>
      <c r="N130">
        <v>-0.47080858733049702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137.32013541976599</v>
      </c>
      <c r="K131">
        <v>1.0573729375559999</v>
      </c>
      <c r="L131">
        <v>78.227999999999994</v>
      </c>
      <c r="M131" s="16">
        <f>+'[3]VAR expectations'!C155</f>
        <v>3.8470567349792795</v>
      </c>
      <c r="N131">
        <v>-0.462909245292069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137.402334715222</v>
      </c>
      <c r="K132">
        <v>1.0564638006201099</v>
      </c>
      <c r="L132">
        <v>78.132000000000005</v>
      </c>
      <c r="M132" s="16">
        <f>+'[3]VAR expectations'!C156</f>
        <v>4.1639091291217634</v>
      </c>
      <c r="N132">
        <v>-0.42689472299394998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138.04542762822601</v>
      </c>
      <c r="K133">
        <v>1.0544041788267799</v>
      </c>
      <c r="L133">
        <v>78.040000000000006</v>
      </c>
      <c r="M133" s="16">
        <f>+'[3]VAR expectations'!C157</f>
        <v>5.4104651194166893</v>
      </c>
      <c r="N133">
        <v>-0.35225357060344997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M134" s="16">
        <f>+'[3]VAR expectations'!C158</f>
        <v>4.9139696600199789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M135" s="16">
        <f>+'[3]VAR expectations'!C159</f>
        <v>4.0011512098701685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M136" s="16">
        <f>+'[3]VAR expectations'!C160</f>
        <v>3.3715300668176842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M137" s="16">
        <f>+'[3]VAR expectations'!C161</f>
        <v>2.9319715449134089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M138" s="16">
        <f>+'[3]VAR expectations'!C162</f>
        <v>2.624058833894372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M139" s="16">
        <f>+'[3]VAR expectations'!C163</f>
        <v>2.4687156565697737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90C6-EB45-4C7C-B302-C5DBF6A148E2}">
  <dimension ref="A1:V172"/>
  <sheetViews>
    <sheetView topLeftCell="A130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117</v>
      </c>
      <c r="I3" s="1" t="s">
        <v>7</v>
      </c>
      <c r="J3" s="2" t="s">
        <v>5</v>
      </c>
      <c r="K3" s="2"/>
      <c r="L3" t="s">
        <v>117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conv2qa(X12(A23_stifidx_fin.m,MULT,1996m1,2029m12))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conv2qa(X12(A23_stif_srv_fin.m,MULT,1996m1,2029m12))</v>
      </c>
      <c r="D10" s="12" t="str">
        <f t="shared" si="0"/>
        <v>conv2qa(X12(A23_stif_gds_xeatfnab_fin.m,MULT,1996m1,2029m12))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conv2qa(X12(A23_stif_fnab_fin.m,MULT,1996m1,2029m12))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conv2qa(X12(A23_stif_pu_fin.m,MULT,1996m1,2029m3))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68.347630828648306</v>
      </c>
      <c r="K12">
        <f>[2]!FAMEData($L$5&amp;$L$3&amp;K9&amp;$L$4, $I$3, $I$4, 0,"Quarterly", "Down", "No Heading", "Normal")</f>
        <v>0.87462265142754203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68.734876947550404</v>
      </c>
      <c r="K13">
        <v>0.87520591247050405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68.960836421831999</v>
      </c>
      <c r="K14">
        <v>0.85681424432570896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69.271481849258606</v>
      </c>
      <c r="K15">
        <v>0.84667207907818098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69.667768648090998</v>
      </c>
      <c r="K16">
        <v>0.81420810351262796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69.830382367105798</v>
      </c>
      <c r="K17">
        <v>0.802254666420255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70.2933979172211</v>
      </c>
      <c r="K18">
        <v>0.79090136957214097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70.5459456048345</v>
      </c>
      <c r="K19">
        <v>0.78751421482477002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70.772597904617797</v>
      </c>
      <c r="K20">
        <v>0.77292833602746802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71.112432084865901</v>
      </c>
      <c r="K21">
        <v>0.76079803051723305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71.267420531568703</v>
      </c>
      <c r="K22">
        <v>0.74745017761454602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71.551801459965205</v>
      </c>
      <c r="K23">
        <v>0.75022227562177102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71.881405305992601</v>
      </c>
      <c r="K24">
        <v>0.74694612518401604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72.100953460006394</v>
      </c>
      <c r="K25">
        <v>0.74406803608028105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72.137410200064195</v>
      </c>
      <c r="K26">
        <v>0.74559961225579796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72.371826940183198</v>
      </c>
      <c r="K27">
        <v>0.747071483249101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72.452722454370502</v>
      </c>
      <c r="K28">
        <v>0.75402720379418797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72.551276460838096</v>
      </c>
      <c r="K29">
        <v>0.76474612317547297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72.719959314389598</v>
      </c>
      <c r="K30">
        <v>0.77681371843032099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73.070277096188704</v>
      </c>
      <c r="K31">
        <v>0.777213119265588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73.069207077545599</v>
      </c>
      <c r="K32">
        <v>0.77644318296946702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73.653334145669206</v>
      </c>
      <c r="K33">
        <v>0.77334520535402695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73.837757383568899</v>
      </c>
      <c r="K34">
        <v>0.75704085870795701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73.821839294671804</v>
      </c>
      <c r="K35">
        <v>0.74342967281334904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74.184628108763206</v>
      </c>
      <c r="K36">
        <v>0.74338462171581399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74.354700901346106</v>
      </c>
      <c r="K37">
        <v>0.74495620612992597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74.599048286211797</v>
      </c>
      <c r="K38">
        <v>0.73574192314670395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74.953131388827103</v>
      </c>
      <c r="K39">
        <v>0.73317950449139901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75.265649356729995</v>
      </c>
      <c r="K40">
        <v>0.74201000013698204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75.312814331888404</v>
      </c>
      <c r="K41">
        <v>0.74030816616130002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75.625220885648801</v>
      </c>
      <c r="K42">
        <v>0.74541430208966497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75.941564431617607</v>
      </c>
      <c r="K43">
        <v>0.74064021650197998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76.2107534004043</v>
      </c>
      <c r="K44">
        <v>0.72878996225319004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76.376712569289893</v>
      </c>
      <c r="K45">
        <v>0.73557435891839096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76.574720017785097</v>
      </c>
      <c r="K46">
        <v>0.73655679873152402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77.034504814188494</v>
      </c>
      <c r="K47">
        <v>0.74398262682972705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77.529215644814201</v>
      </c>
      <c r="K48">
        <v>0.74479807542295395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77.881711466728703</v>
      </c>
      <c r="K49">
        <v>0.74475958919987395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78.404430801100204</v>
      </c>
      <c r="K50">
        <v>0.762827333591103</v>
      </c>
      <c r="L50">
        <v>99.734880303030295</v>
      </c>
      <c r="M50" s="16">
        <f>+'[3]VAR expectations'!C74</f>
        <v>2.2761535969954032</v>
      </c>
      <c r="N50">
        <v>0.70017615103754205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78.6708362128402</v>
      </c>
      <c r="K51">
        <v>0.76591528398876796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79.041188133919903</v>
      </c>
      <c r="K52">
        <v>0.77514648915210405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79.642608096660396</v>
      </c>
      <c r="K53">
        <v>0.77220631761806502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80.2847300929635</v>
      </c>
      <c r="K54">
        <v>0.77054362766500795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80.793477158156506</v>
      </c>
      <c r="K55">
        <v>0.76575128736725095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81.318800068269198</v>
      </c>
      <c r="K56">
        <v>0.75665808047538896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81.682061367314404</v>
      </c>
      <c r="K57">
        <v>0.76529920999329804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81.712060161141494</v>
      </c>
      <c r="K58">
        <v>0.76903887929152803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82.484428058833799</v>
      </c>
      <c r="K59">
        <v>0.78837317268923501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83.257586843294902</v>
      </c>
      <c r="K60">
        <v>0.82241452657954295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84.439208015238606</v>
      </c>
      <c r="K61">
        <v>0.861069749361833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85.6254825819763</v>
      </c>
      <c r="K62">
        <v>0.88071782017346401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85.6665473951645</v>
      </c>
      <c r="K63">
        <v>0.87276078512302602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85.741666665634995</v>
      </c>
      <c r="K64">
        <v>0.88191126562670097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86.202148848518405</v>
      </c>
      <c r="K65">
        <v>0.86063005748389898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86.919136233715093</v>
      </c>
      <c r="K66">
        <v>0.85606254260872505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87.470442296931495</v>
      </c>
      <c r="K67">
        <v>0.87166533454361905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88.507592923876501</v>
      </c>
      <c r="K68">
        <v>0.884823151863672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89.188445197360906</v>
      </c>
      <c r="K69">
        <v>0.89898209574019905</v>
      </c>
      <c r="L69">
        <v>79.899689230769198</v>
      </c>
      <c r="M69" s="16">
        <f>+'[3]VAR expectations'!C93</f>
        <v>2.6505886564059562</v>
      </c>
      <c r="N69">
        <v>0.580318036056505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89.624049996533202</v>
      </c>
      <c r="K70">
        <v>0.89827553986933995</v>
      </c>
      <c r="L70">
        <v>81.7654454545455</v>
      </c>
      <c r="M70" s="16">
        <f>+'[3]VAR expectations'!C94</f>
        <v>2.8352346264846378</v>
      </c>
      <c r="N70">
        <v>0.26076684740058298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90.418405330399693</v>
      </c>
      <c r="K71">
        <v>0.91881598360417105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92.105430284610307</v>
      </c>
      <c r="K72">
        <v>0.93663596725662102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93.102779119581896</v>
      </c>
      <c r="K73">
        <v>0.96144656189099298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93.8640680357788</v>
      </c>
      <c r="K74">
        <v>0.97452090671498603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94.6060834471932</v>
      </c>
      <c r="K75">
        <v>0.96693473130669605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95.290619393321705</v>
      </c>
      <c r="K76">
        <v>0.96367993646377703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95.6860973457689</v>
      </c>
      <c r="K77">
        <v>0.95032379908477804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96.142081686676093</v>
      </c>
      <c r="K78">
        <v>0.94746113686668298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97.117291537027896</v>
      </c>
      <c r="K79">
        <v>0.94927304927495604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97.929797554814698</v>
      </c>
      <c r="K80">
        <v>0.97227245415706098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98.268000994014102</v>
      </c>
      <c r="K81">
        <v>0.96289198056079905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98.740046493931402</v>
      </c>
      <c r="K82">
        <v>0.96350754101159797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99.144331250989893</v>
      </c>
      <c r="K83">
        <v>0.944289178426725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99.647548317327207</v>
      </c>
      <c r="K84">
        <v>0.93130478682445195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99.9744952319638</v>
      </c>
      <c r="K85">
        <v>0.92986706647533302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100.15064890232</v>
      </c>
      <c r="K86">
        <v>0.92093843339459303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100.06477222242</v>
      </c>
      <c r="K87">
        <v>0.90854662136640096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99.773052940604501</v>
      </c>
      <c r="K88">
        <v>0.88505960801473804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99.967172926646995</v>
      </c>
      <c r="K89">
        <v>0.87860543161858995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100.129485715866</v>
      </c>
      <c r="K90">
        <v>0.865298488341256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100.130288416882</v>
      </c>
      <c r="K91">
        <v>0.85526611413253495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100.144543108157</v>
      </c>
      <c r="K92">
        <v>0.86854321365689902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100.32359715648199</v>
      </c>
      <c r="K93">
        <v>0.89263562098643501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100.82624737671701</v>
      </c>
      <c r="K94">
        <v>0.93087340983211597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101.35125951997</v>
      </c>
      <c r="K95">
        <v>0.95150983343458895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102.299089437323</v>
      </c>
      <c r="K96">
        <v>0.96237835892332202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103.085526434136</v>
      </c>
      <c r="K97">
        <v>0.96202127579299002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103.643628459474</v>
      </c>
      <c r="K98">
        <v>0.96512520358883402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104.423773602295</v>
      </c>
      <c r="K99">
        <v>0.97142651821376402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105.083856496153</v>
      </c>
      <c r="K100">
        <v>0.97240356104171</v>
      </c>
      <c r="L100">
        <v>79.035181538461501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105.57824957011699</v>
      </c>
      <c r="K101">
        <v>0.98286973705632197</v>
      </c>
      <c r="L101">
        <v>79.101630769230795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106.240291105794</v>
      </c>
      <c r="K102">
        <v>0.99442913161891899</v>
      </c>
      <c r="L102">
        <v>77.806373846153804</v>
      </c>
      <c r="M102" s="16">
        <f>+'[3]VAR expectations'!C126</f>
        <v>2.6759360893479318</v>
      </c>
      <c r="N102">
        <v>0.59026787322204299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106.79491935423501</v>
      </c>
      <c r="K103">
        <v>0.99260626626798298</v>
      </c>
      <c r="L103">
        <v>77.834784848484802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107.071054911893</v>
      </c>
      <c r="K104">
        <v>0.99088386934238903</v>
      </c>
      <c r="L104">
        <v>78.723593750000006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107.723236808065</v>
      </c>
      <c r="K105">
        <v>1.00095007640953</v>
      </c>
      <c r="L105">
        <v>78.452740000000006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108.18876100915401</v>
      </c>
      <c r="K106">
        <v>1.01637218752721</v>
      </c>
      <c r="L106">
        <v>75.792527272727298</v>
      </c>
      <c r="M106" s="16">
        <f>+'[3]VAR expectations'!C130</f>
        <v>2.9781745842670815</v>
      </c>
      <c r="N106">
        <v>0.17462163035891701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108.297293482697</v>
      </c>
      <c r="K107">
        <v>0.992373954764877</v>
      </c>
      <c r="L107">
        <v>79.401087878787905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108.900920433853</v>
      </c>
      <c r="K108">
        <v>0.98899334245689396</v>
      </c>
      <c r="L108">
        <v>79.228903076923103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108.33798136145801</v>
      </c>
      <c r="K109">
        <v>0.97852219441341504</v>
      </c>
      <c r="L109">
        <v>77.412344615384598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108.846130024597</v>
      </c>
      <c r="K110">
        <v>0.98131634253016897</v>
      </c>
      <c r="L110">
        <v>77.453536363636402</v>
      </c>
      <c r="M110" s="16">
        <f>+'[3]VAR expectations'!C134</f>
        <v>3.1319434989789481</v>
      </c>
      <c r="N110">
        <v>-0.57563884899936602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108.86608467312701</v>
      </c>
      <c r="K111">
        <v>0.99367632090301194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109.61170015741</v>
      </c>
      <c r="K112">
        <v>1.01035497239337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110.506740406744</v>
      </c>
      <c r="K113">
        <v>1.01525370044581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111.874998176874</v>
      </c>
      <c r="K114">
        <v>1.03997360502412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114.20397982766499</v>
      </c>
      <c r="K115">
        <v>1.08993629530979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116.47404966433901</v>
      </c>
      <c r="K116">
        <v>1.13769892118654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120.581217898191</v>
      </c>
      <c r="K117">
        <v>1.1985115600057099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123.108197236262</v>
      </c>
      <c r="K118">
        <v>1.2705070608593101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126.474703194965</v>
      </c>
      <c r="K119">
        <v>1.24995487586761</v>
      </c>
      <c r="L119">
        <v>78.044989230769204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128.35173189544599</v>
      </c>
      <c r="K120">
        <v>1.24989057837147</v>
      </c>
      <c r="L120">
        <v>78.106201538461505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130.711957845538</v>
      </c>
      <c r="K121">
        <v>1.2144301709112</v>
      </c>
      <c r="L121">
        <v>80.380332307692299</v>
      </c>
      <c r="M121" s="16">
        <f>+'[3]VAR expectations'!C145</f>
        <v>4.9659010810981856</v>
      </c>
      <c r="N121">
        <v>0.70170699999999997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131.66258119175799</v>
      </c>
      <c r="K122">
        <v>1.19193476927082</v>
      </c>
      <c r="L122">
        <v>82.542831533522602</v>
      </c>
      <c r="M122" s="16">
        <f>+'[3]VAR expectations'!C146</f>
        <v>4.3007323969777262</v>
      </c>
      <c r="N122">
        <v>-0.25913399999999998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132.70524564361</v>
      </c>
      <c r="K123">
        <v>1.1786231273111301</v>
      </c>
      <c r="L123">
        <v>82.349976762147506</v>
      </c>
      <c r="M123" s="16">
        <f>+'[3]VAR expectations'!C147</f>
        <v>3.8582721147576735</v>
      </c>
      <c r="N123">
        <v>-1.496866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133.87379107915399</v>
      </c>
      <c r="K124">
        <v>1.15629960942133</v>
      </c>
      <c r="L124">
        <v>82.142832550121597</v>
      </c>
      <c r="M124" s="16">
        <f>+'[3]VAR expectations'!C148</f>
        <v>3.6255376960251078</v>
      </c>
      <c r="N124">
        <v>-0.94270100000000001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134.981465514766</v>
      </c>
      <c r="K125">
        <v>1.1454313543346399</v>
      </c>
      <c r="L125">
        <v>81.925962915654395</v>
      </c>
      <c r="M125" s="16">
        <f>+'[3]VAR expectations'!C149</f>
        <v>2.979353541970323</v>
      </c>
      <c r="N125">
        <v>-0.52574799999999999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135.32621452978401</v>
      </c>
      <c r="K126">
        <v>1.14045405577777</v>
      </c>
      <c r="L126">
        <v>81.705989194323806</v>
      </c>
      <c r="M126" s="16">
        <f>+'[3]VAR expectations'!C150</f>
        <v>2.9717312535901965</v>
      </c>
      <c r="N126">
        <v>0.178786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135.996126612567</v>
      </c>
      <c r="K127">
        <v>1.1368900225437399</v>
      </c>
      <c r="L127">
        <v>81.490085960634005</v>
      </c>
      <c r="M127" s="16">
        <f>+'[3]VAR expectations'!C151</f>
        <v>3.468785277541127</v>
      </c>
      <c r="N127">
        <v>0.37879099999999999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136.770185818187</v>
      </c>
      <c r="K128">
        <v>1.1352038927062</v>
      </c>
      <c r="L128">
        <v>81.281356659997897</v>
      </c>
      <c r="M128" s="16">
        <f>+'[3]VAR expectations'!C152</f>
        <v>3.8021957884789486</v>
      </c>
      <c r="N128">
        <v>-6.6652000000000003E-2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137.33683164983199</v>
      </c>
      <c r="K129">
        <v>1.1356596617819401</v>
      </c>
      <c r="L129">
        <v>81.081264400802297</v>
      </c>
      <c r="M129" s="16">
        <f>+'[3]VAR expectations'!C153</f>
        <v>4.011042611251681</v>
      </c>
      <c r="N129">
        <v>-0.39593499999999998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137.561421364544</v>
      </c>
      <c r="K130">
        <v>1.13702332657618</v>
      </c>
      <c r="L130">
        <v>80.891039169926202</v>
      </c>
      <c r="M130" s="16">
        <f>+'[3]VAR expectations'!C154</f>
        <v>3.9691108090385026</v>
      </c>
      <c r="N130">
        <v>-0.379104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138.13922167044399</v>
      </c>
      <c r="K131">
        <v>1.1373116097104301</v>
      </c>
      <c r="L131">
        <v>80.709579321852402</v>
      </c>
      <c r="M131" s="16">
        <f>+'[3]VAR expectations'!C155</f>
        <v>3.8470567349792795</v>
      </c>
      <c r="N131">
        <v>-0.37074499999999999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138.85285159671699</v>
      </c>
      <c r="K132">
        <v>1.1371967207870399</v>
      </c>
      <c r="L132">
        <v>80.536282260349694</v>
      </c>
      <c r="M132" s="16">
        <f>+'[3]VAR expectations'!C156</f>
        <v>4.1639091291217634</v>
      </c>
      <c r="N132">
        <v>-0.32738099999999998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139.36537773284601</v>
      </c>
      <c r="K133">
        <v>1.13628515049801</v>
      </c>
      <c r="L133">
        <v>80.370916089981606</v>
      </c>
      <c r="M133" s="16">
        <f>+'[3]VAR expectations'!C157</f>
        <v>5.4104651194166893</v>
      </c>
      <c r="N133">
        <v>-0.25485099999999999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139.56559293254099</v>
      </c>
      <c r="K134">
        <v>1.13565743031612</v>
      </c>
      <c r="L134">
        <v>80.212901158704994</v>
      </c>
      <c r="M134" s="16">
        <f>+'[3]VAR expectations'!C158</f>
        <v>4.9139696600199789</v>
      </c>
      <c r="N134">
        <v>-0.25423800000000002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M135" s="16">
        <f>+'[3]VAR expectations'!C159</f>
        <v>4.0011512098701685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M136" s="16">
        <f>+'[3]VAR expectations'!C160</f>
        <v>3.3715300668176842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M137" s="16">
        <f>+'[3]VAR expectations'!C161</f>
        <v>2.9319715449134089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M138" s="16">
        <f>+'[3]VAR expectations'!C162</f>
        <v>2.624058833894372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M139" s="16">
        <f>+'[3]VAR expectations'!C163</f>
        <v>2.4687156565697737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D38E-30D6-45FD-BF88-690ED252275D}">
  <dimension ref="A1:V172"/>
  <sheetViews>
    <sheetView topLeftCell="A112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116</v>
      </c>
      <c r="I3" s="1" t="s">
        <v>7</v>
      </c>
      <c r="J3" s="2" t="s">
        <v>5</v>
      </c>
      <c r="K3" s="2"/>
      <c r="L3" t="s">
        <v>116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conv2qa(X12(N23_stifidx_fin.m,MULT,1996m1,2029m12))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conv2qa(X12(N23_stif_srv_fin.m,MULT,1996m1,2029m12))</v>
      </c>
      <c r="D10" s="12" t="str">
        <f t="shared" si="0"/>
        <v>conv2qa(X12(N23_stif_gds_xeatfnab_fin.m,MULT,1996m1,2029m12))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conv2qa(X12(N23_stif_fnab_fin.m,MULT,1996m1,2029m12))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conv2qa(X12(N23_stif_pu_fin.m,MULT,1996m1,2029m3))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68.347640555445295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68.734886729457699</v>
      </c>
      <c r="K13">
        <v>0.86509042373751399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68.960846235896398</v>
      </c>
      <c r="K14">
        <v>0.84647798199442004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69.271491707532107</v>
      </c>
      <c r="K15">
        <v>0.83585006467577705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69.667778562761498</v>
      </c>
      <c r="K16">
        <v>0.80632216180680205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69.830392304918405</v>
      </c>
      <c r="K17">
        <v>0.79144008450373604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70.293407920927095</v>
      </c>
      <c r="K18">
        <v>0.78762848509638905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70.545955644481495</v>
      </c>
      <c r="K19">
        <v>0.78373624680643506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70.772607976520504</v>
      </c>
      <c r="K20">
        <v>0.77300052601257396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71.1124422051316</v>
      </c>
      <c r="K21">
        <v>0.76206216868059895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71.267430673891397</v>
      </c>
      <c r="K22">
        <v>0.75687671765936204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71.551811642759205</v>
      </c>
      <c r="K23">
        <v>0.75976655115812497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71.881415535693606</v>
      </c>
      <c r="K24">
        <v>0.75674034386786804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72.100963720951995</v>
      </c>
      <c r="K25">
        <v>0.75164895250617403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72.137420466198506</v>
      </c>
      <c r="K26">
        <v>0.75365215365925997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72.371837239678101</v>
      </c>
      <c r="K27">
        <v>0.75528714880922598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72.452732765376695</v>
      </c>
      <c r="K28">
        <v>0.76146870091037999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72.551286785871696</v>
      </c>
      <c r="K29">
        <v>0.767602350026383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72.719969663429197</v>
      </c>
      <c r="K30">
        <v>0.77750524699329104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73.070287495082098</v>
      </c>
      <c r="K31">
        <v>0.77749108644292997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73.0692174762832</v>
      </c>
      <c r="K32">
        <v>0.77840968606762295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73.653344627543603</v>
      </c>
      <c r="K33">
        <v>0.77311081379601498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73.837767891687506</v>
      </c>
      <c r="K34">
        <v>0.76410605231391304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73.821849800521306</v>
      </c>
      <c r="K35">
        <v>0.75370755908918496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74.184638666234605</v>
      </c>
      <c r="K36">
        <v>0.75001045963908397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74.354711483033896</v>
      </c>
      <c r="K37">
        <v>0.75265406142824498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74.599058902722106</v>
      </c>
      <c r="K38">
        <v>0.75015550616674598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74.953142055696304</v>
      </c>
      <c r="K39">
        <v>0.74797853098426004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75.265660067749707</v>
      </c>
      <c r="K40">
        <v>0.76113179198910996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75.312825050194604</v>
      </c>
      <c r="K41">
        <v>0.75829920985494004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75.625231648400103</v>
      </c>
      <c r="K42">
        <v>0.76314959952758699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75.941575239052298</v>
      </c>
      <c r="K43">
        <v>0.75916189937253498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76.2107642450989</v>
      </c>
      <c r="K44">
        <v>0.750253061775353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76.376723439817596</v>
      </c>
      <c r="K45">
        <v>0.751272030828947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76.574730916125404</v>
      </c>
      <c r="K46">
        <v>0.75246452156788601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77.034515776780694</v>
      </c>
      <c r="K47">
        <v>0.76483927023953302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77.529226675793097</v>
      </c>
      <c r="K48">
        <v>0.76409886629407298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77.8817225548691</v>
      </c>
      <c r="K49">
        <v>0.76361188274119896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78.404441959500105</v>
      </c>
      <c r="K50">
        <v>0.78280032485301099</v>
      </c>
      <c r="L50">
        <v>99.734880303030295</v>
      </c>
      <c r="M50" s="16">
        <f>+'[3]VAR expectations'!C74</f>
        <v>2.2761535969954032</v>
      </c>
      <c r="N50">
        <v>0.70017615103754205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78.670847406026596</v>
      </c>
      <c r="K51">
        <v>0.78613016235761302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79.041199378175406</v>
      </c>
      <c r="K52">
        <v>0.79284926485340401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79.642619438989897</v>
      </c>
      <c r="K53">
        <v>0.79261836960908305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80.2847415259331</v>
      </c>
      <c r="K54">
        <v>0.79050596488411395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80.793488639919005</v>
      </c>
      <c r="K55">
        <v>0.78438998628628298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81.3188116293843</v>
      </c>
      <c r="K56">
        <v>0.77056113376359603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81.682073029886993</v>
      </c>
      <c r="K57">
        <v>0.78197424686750205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81.712071821658895</v>
      </c>
      <c r="K58">
        <v>0.78616880688018398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82.4844396451644</v>
      </c>
      <c r="K59">
        <v>0.80539990547892504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83.257598750397094</v>
      </c>
      <c r="K60">
        <v>0.832243741323754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84.439220191057103</v>
      </c>
      <c r="K61">
        <v>0.87420154075797796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85.625494787721905</v>
      </c>
      <c r="K62">
        <v>0.89331293042236903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85.666559078524699</v>
      </c>
      <c r="K63">
        <v>0.88688940639631797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85.741679131937303</v>
      </c>
      <c r="K64">
        <v>0.89017851329583897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86.202161599401194</v>
      </c>
      <c r="K65">
        <v>0.87062191557632695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86.919148506510396</v>
      </c>
      <c r="K66">
        <v>0.86672344747487295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87.470453600573606</v>
      </c>
      <c r="K67">
        <v>0.88236761145682796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88.507607003101796</v>
      </c>
      <c r="K68">
        <v>0.88888299762246603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89.188458267168301</v>
      </c>
      <c r="K69">
        <v>0.90430036080331599</v>
      </c>
      <c r="L69">
        <v>79.899689230769198</v>
      </c>
      <c r="M69" s="16">
        <f>+'[3]VAR expectations'!C93</f>
        <v>2.6505886564059562</v>
      </c>
      <c r="N69">
        <v>0.580318036056505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89.624062283321507</v>
      </c>
      <c r="K70">
        <v>0.90237153522893998</v>
      </c>
      <c r="L70">
        <v>81.7654454545455</v>
      </c>
      <c r="M70" s="16">
        <f>+'[3]VAR expectations'!C94</f>
        <v>2.8352346264846378</v>
      </c>
      <c r="N70">
        <v>0.26076684740058298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90.418415714759803</v>
      </c>
      <c r="K71">
        <v>0.92123413016460798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92.105446763266798</v>
      </c>
      <c r="K72">
        <v>0.94027465380459296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93.102792960542004</v>
      </c>
      <c r="K73">
        <v>0.96291109323575397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93.864081183753598</v>
      </c>
      <c r="K74">
        <v>0.97514867270814498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94.606091087180303</v>
      </c>
      <c r="K75">
        <v>0.96431666172078601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95.290639195116398</v>
      </c>
      <c r="K76">
        <v>0.95981264376981801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95.686112083064401</v>
      </c>
      <c r="K77">
        <v>0.94780262873238397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96.142095919138796</v>
      </c>
      <c r="K78">
        <v>0.94482393199749004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97.117294954413097</v>
      </c>
      <c r="K79">
        <v>0.94567354866606701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97.929825280662399</v>
      </c>
      <c r="K80">
        <v>0.97023785165636001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98.268009141383899</v>
      </c>
      <c r="K81">
        <v>0.96256560843280603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98.740065147902598</v>
      </c>
      <c r="K82">
        <v>0.96206944931195104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99.144329777753597</v>
      </c>
      <c r="K83">
        <v>0.94258053628921501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99.647586572756794</v>
      </c>
      <c r="K84">
        <v>0.93182089201251195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99.974499421476196</v>
      </c>
      <c r="K85">
        <v>0.927597513784438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100.15064594083999</v>
      </c>
      <c r="K86">
        <v>0.91380337397532896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100.06478623782399</v>
      </c>
      <c r="K87">
        <v>0.90235442226227003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99.773144995544996</v>
      </c>
      <c r="K88">
        <v>0.879156463272737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99.967089137834193</v>
      </c>
      <c r="K89">
        <v>0.87356170393940802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100.129516313729</v>
      </c>
      <c r="K90">
        <v>0.86173464689884904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100.130249552892</v>
      </c>
      <c r="K91">
        <v>0.85051561411988097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100.144798454807</v>
      </c>
      <c r="K92">
        <v>0.86793243593105696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100.323388914582</v>
      </c>
      <c r="K93">
        <v>0.88832069273605996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100.826315729035</v>
      </c>
      <c r="K94">
        <v>0.92692338631061999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101.350953092371</v>
      </c>
      <c r="K95">
        <v>0.94827770857250604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102.30001733745</v>
      </c>
      <c r="K96">
        <v>0.95975734376722899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103.084994075738</v>
      </c>
      <c r="K97">
        <v>0.95666894109003098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103.64377571720701</v>
      </c>
      <c r="K98">
        <v>0.96487328890229496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104.422599590047</v>
      </c>
      <c r="K99">
        <v>0.97202853167585701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105.086122304174</v>
      </c>
      <c r="K100">
        <v>0.971592568574423</v>
      </c>
      <c r="L100">
        <v>79.035181538461501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105.57730418368899</v>
      </c>
      <c r="K101">
        <v>0.97775086229782204</v>
      </c>
      <c r="L101">
        <v>79.101630769230795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106.239225686623</v>
      </c>
      <c r="K102">
        <v>1.0014348035123899</v>
      </c>
      <c r="L102">
        <v>77.806373846153804</v>
      </c>
      <c r="M102" s="16">
        <f>+'[3]VAR expectations'!C126</f>
        <v>2.6759360893479318</v>
      </c>
      <c r="N102">
        <v>0.59026787322204299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106.793685840309</v>
      </c>
      <c r="K103">
        <v>0.99936448424676505</v>
      </c>
      <c r="L103">
        <v>77.834784848484802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107.075793295072</v>
      </c>
      <c r="K104">
        <v>0.98997339195852396</v>
      </c>
      <c r="L104">
        <v>78.723593750000006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107.721556464033</v>
      </c>
      <c r="K105">
        <v>0.98706128864807796</v>
      </c>
      <c r="L105">
        <v>78.452740000000006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108.184965665165</v>
      </c>
      <c r="K106">
        <v>1.0215134482423101</v>
      </c>
      <c r="L106">
        <v>75.792527272727298</v>
      </c>
      <c r="M106" s="16">
        <f>+'[3]VAR expectations'!C130</f>
        <v>2.9781745842670815</v>
      </c>
      <c r="N106">
        <v>0.17462163035891701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108.296464453806</v>
      </c>
      <c r="K107">
        <v>1.0026272190788801</v>
      </c>
      <c r="L107">
        <v>79.401087878787905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108.91005235943</v>
      </c>
      <c r="K108">
        <v>0.98921837596373596</v>
      </c>
      <c r="L108">
        <v>79.228903076923103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108.33450127904899</v>
      </c>
      <c r="K109">
        <v>0.97634496414970795</v>
      </c>
      <c r="L109">
        <v>77.412344615384598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108.83691471035</v>
      </c>
      <c r="K110">
        <v>0.97883095395886899</v>
      </c>
      <c r="L110">
        <v>77.453536363636402</v>
      </c>
      <c r="M110" s="16">
        <f>+'[3]VAR expectations'!C134</f>
        <v>3.1319434989789481</v>
      </c>
      <c r="N110">
        <v>-0.57563884899936602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108.868010403958</v>
      </c>
      <c r="K111">
        <v>1.0012800496960601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109.631056179102</v>
      </c>
      <c r="K112">
        <v>1.0066611537263499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110.497523599614</v>
      </c>
      <c r="K113">
        <v>1.0023594354094001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111.85797971952201</v>
      </c>
      <c r="K114">
        <v>1.0314278958522201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114.208029541591</v>
      </c>
      <c r="K115">
        <v>1.0869456815638701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116.509312733892</v>
      </c>
      <c r="K116">
        <v>1.1300626282603401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120.5629908091</v>
      </c>
      <c r="K117">
        <v>1.18417110736486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123.07874197143001</v>
      </c>
      <c r="K118">
        <v>1.2571093758437799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126.48006735446999</v>
      </c>
      <c r="K119">
        <v>1.23392670944994</v>
      </c>
      <c r="L119">
        <v>78.044989230769204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128.41317703647701</v>
      </c>
      <c r="K120">
        <v>1.23241598581568</v>
      </c>
      <c r="L120">
        <v>78.106201538461505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130.68107443940801</v>
      </c>
      <c r="K121">
        <v>1.20298304504013</v>
      </c>
      <c r="L121">
        <v>80.380332307692299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131.34604122060401</v>
      </c>
      <c r="K122">
        <v>1.1885840629148201</v>
      </c>
      <c r="L122">
        <v>82.088566153846102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132.34121721286601</v>
      </c>
      <c r="K123">
        <v>1.18985021706924</v>
      </c>
      <c r="L123">
        <v>80.556965557379002</v>
      </c>
      <c r="M123" s="16">
        <f>+'[3]VAR expectations'!C147</f>
        <v>3.8582721147576735</v>
      </c>
      <c r="N123">
        <v>-1.2474464638364899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134.0523433315</v>
      </c>
      <c r="K124">
        <v>1.1606095014626201</v>
      </c>
      <c r="L124">
        <v>80.435667933366403</v>
      </c>
      <c r="M124" s="16">
        <f>+'[3]VAR expectations'!C148</f>
        <v>3.6255376960251078</v>
      </c>
      <c r="N124">
        <v>-0.68104314551270195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135.42825257384499</v>
      </c>
      <c r="K125">
        <v>1.14813504385494</v>
      </c>
      <c r="L125">
        <v>80.335389738547505</v>
      </c>
      <c r="M125" s="16">
        <f>+'[3]VAR expectations'!C149</f>
        <v>2.979353541970323</v>
      </c>
      <c r="N125">
        <v>-0.275729502391242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135.68179057495601</v>
      </c>
      <c r="K126">
        <v>1.14217482533017</v>
      </c>
      <c r="L126">
        <v>80.226342012743899</v>
      </c>
      <c r="M126" s="16">
        <f>+'[3]VAR expectations'!C150</f>
        <v>2.9717312535901965</v>
      </c>
      <c r="N126">
        <v>0.273326091789379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136.48997571139901</v>
      </c>
      <c r="K127">
        <v>1.1379356926751301</v>
      </c>
      <c r="L127">
        <v>80.110625282124104</v>
      </c>
      <c r="M127" s="16">
        <f>+'[3]VAR expectations'!C151</f>
        <v>3.468785277541127</v>
      </c>
      <c r="N127">
        <v>0.42306745557466902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137.38546785888701</v>
      </c>
      <c r="K128">
        <v>1.1351194354604</v>
      </c>
      <c r="L128">
        <v>79.988608104862394</v>
      </c>
      <c r="M128" s="16">
        <f>+'[3]VAR expectations'!C152</f>
        <v>3.8021957884789486</v>
      </c>
      <c r="N128">
        <v>-2.0490509889894901E-2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138.31034867661799</v>
      </c>
      <c r="K129">
        <v>1.1347193898268899</v>
      </c>
      <c r="L129">
        <v>79.863817208146401</v>
      </c>
      <c r="M129" s="16">
        <f>+'[3]VAR expectations'!C153</f>
        <v>4.011042611251681</v>
      </c>
      <c r="N129">
        <v>-0.30638263421898998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138.575499643841</v>
      </c>
      <c r="K130">
        <v>1.13527207563591</v>
      </c>
      <c r="L130">
        <v>79.740434261072295</v>
      </c>
      <c r="M130" s="16">
        <f>+'[3]VAR expectations'!C154</f>
        <v>3.9691108090385026</v>
      </c>
      <c r="N130">
        <v>-0.211446351449253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139.150904969376</v>
      </c>
      <c r="K131">
        <v>1.1347233428147401</v>
      </c>
      <c r="L131">
        <v>79.621756374502198</v>
      </c>
      <c r="M131" s="16">
        <f>+'[3]VAR expectations'!C155</f>
        <v>3.8470567349792795</v>
      </c>
      <c r="N131">
        <v>-0.28493650317444402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139.95350343390399</v>
      </c>
      <c r="K132">
        <v>1.1334218896654999</v>
      </c>
      <c r="L132">
        <v>79.508926311789594</v>
      </c>
      <c r="M132" s="16">
        <f>+'[3]VAR expectations'!C156</f>
        <v>4.1639091291217634</v>
      </c>
      <c r="N132">
        <v>-0.24181700892864999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140.68653097306799</v>
      </c>
      <c r="K133">
        <v>1.13169186424416</v>
      </c>
      <c r="L133">
        <v>79.402237285434296</v>
      </c>
      <c r="M133" s="16">
        <f>+'[3]VAR expectations'!C157</f>
        <v>5.4104651194166893</v>
      </c>
      <c r="N133">
        <v>-0.22959281859639499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140.81488960641201</v>
      </c>
      <c r="K134">
        <v>1.1302742980102201</v>
      </c>
      <c r="L134">
        <v>79.301788579289493</v>
      </c>
      <c r="M134" s="16">
        <f>+'[3]VAR expectations'!C158</f>
        <v>4.9139696600199789</v>
      </c>
      <c r="N134">
        <v>-0.26924041065062398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141.254776385653</v>
      </c>
      <c r="K135">
        <v>1.12862760499577</v>
      </c>
      <c r="L135">
        <v>79.207374434032005</v>
      </c>
      <c r="M135" s="16">
        <f>+'[3]VAR expectations'!C159</f>
        <v>4.0011512098701685</v>
      </c>
      <c r="N135">
        <v>-0.28336866637212699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M136" s="16">
        <f>+'[3]VAR expectations'!C160</f>
        <v>3.3715300668176842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M137" s="16">
        <f>+'[3]VAR expectations'!C161</f>
        <v>2.9319715449134089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M138" s="16">
        <f>+'[3]VAR expectations'!C162</f>
        <v>2.624058833894372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M139" s="16">
        <f>+'[3]VAR expectations'!C163</f>
        <v>2.4687156565697737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971C-6A0D-49B7-83DB-77506FD2ABF7}">
  <dimension ref="A1:V172"/>
  <sheetViews>
    <sheetView topLeftCell="A112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115</v>
      </c>
      <c r="I3" s="1" t="s">
        <v>7</v>
      </c>
      <c r="J3" s="2" t="s">
        <v>5</v>
      </c>
      <c r="K3" s="2"/>
      <c r="L3" t="s">
        <v>115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conv2qa(X12(F24_stifidx_fin.m,MULT,1996m1,2029m12))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conv2qa(X12(F24_stif_srv_fin.m,MULT,1996m1,2029m12))</v>
      </c>
      <c r="D10" s="12" t="str">
        <f t="shared" si="0"/>
        <v>conv2qa(X12(F24_stif_gds_xeatfnab_fin.m,MULT,1996m1,2029m12))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conv2qa(X12(F24_stif_fnab_fin.m,MULT,1996m1,2029m12))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conv2qa(X12(F24_stif_pu_fin.m,MULT,1996m1,2029m3))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68.347644453374599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68.734890649472007</v>
      </c>
      <c r="K13">
        <v>0.86509042373751399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68.960850168797407</v>
      </c>
      <c r="K14">
        <v>0.84647798199442004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69.271495658149405</v>
      </c>
      <c r="K15">
        <v>0.83585006467577705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69.667782535979498</v>
      </c>
      <c r="K16">
        <v>0.80632216180680205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69.830396287410395</v>
      </c>
      <c r="K17">
        <v>0.79144008450373604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70.293411929825297</v>
      </c>
      <c r="K18">
        <v>0.78762848509638905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70.545959667782697</v>
      </c>
      <c r="K19">
        <v>0.78373624680643506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70.772612012747899</v>
      </c>
      <c r="K20">
        <v>0.77300052601257396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71.112446260740199</v>
      </c>
      <c r="K21">
        <v>0.76206216868059895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71.267434738338693</v>
      </c>
      <c r="K22">
        <v>0.75687671765936204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71.551815723425406</v>
      </c>
      <c r="K23">
        <v>0.75976655115812497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71.881419635158494</v>
      </c>
      <c r="K24">
        <v>0.75674034386786804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72.100967832938494</v>
      </c>
      <c r="K25">
        <v>0.75164895250617403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72.137424580251107</v>
      </c>
      <c r="K26">
        <v>0.75365215365925997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72.371841367112197</v>
      </c>
      <c r="K27">
        <v>0.75528714880922598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72.452736897487398</v>
      </c>
      <c r="K28">
        <v>0.76146870091037999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72.551290923432305</v>
      </c>
      <c r="K29">
        <v>0.767602350026383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72.719973810652604</v>
      </c>
      <c r="K30">
        <v>0.77750524699329104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73.070291662679594</v>
      </c>
      <c r="K31">
        <v>0.77749108644292997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73.069221643345401</v>
      </c>
      <c r="K32">
        <v>0.77940512033201303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73.653348827700199</v>
      </c>
      <c r="K33">
        <v>0.77410378923051903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73.837772102774906</v>
      </c>
      <c r="K34">
        <v>0.76309472804376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73.821854011703707</v>
      </c>
      <c r="K35">
        <v>0.752688098559118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74.184642896063394</v>
      </c>
      <c r="K36">
        <v>0.75001045963908397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74.354715722601995</v>
      </c>
      <c r="K37">
        <v>0.75265406142824498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74.599063158146294</v>
      </c>
      <c r="K38">
        <v>0.75015550616674598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74.953146332039495</v>
      </c>
      <c r="K39">
        <v>0.74797853098426004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75.265664354734795</v>
      </c>
      <c r="K40">
        <v>0.76305100676523396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75.312829348399802</v>
      </c>
      <c r="K41">
        <v>0.75829920985494004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75.625235963840794</v>
      </c>
      <c r="K42">
        <v>0.76314959952758699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75.941579566536006</v>
      </c>
      <c r="K43">
        <v>0.757347935788934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76.210768580594902</v>
      </c>
      <c r="K44">
        <v>0.750253061775353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76.3767278463975</v>
      </c>
      <c r="K45">
        <v>0.751272030828947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76.574735245057994</v>
      </c>
      <c r="K46">
        <v>0.75246452156788601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77.034520059004507</v>
      </c>
      <c r="K47">
        <v>0.76483927023953302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77.529231277173807</v>
      </c>
      <c r="K48">
        <v>0.76409886629407298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77.881727096637206</v>
      </c>
      <c r="K49">
        <v>0.76195295684914699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78.404446203401605</v>
      </c>
      <c r="K50">
        <v>0.78280032485301099</v>
      </c>
      <c r="L50">
        <v>99.734880303030295</v>
      </c>
      <c r="M50" s="16">
        <f>+'[3]VAR expectations'!C74</f>
        <v>2.2761535969954032</v>
      </c>
      <c r="N50">
        <v>0.70017615103754205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78.670851490829094</v>
      </c>
      <c r="K51">
        <v>0.78776362866486105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79.041204693410904</v>
      </c>
      <c r="K52">
        <v>0.79284926485340401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79.642624128935793</v>
      </c>
      <c r="K53">
        <v>0.79261836960908305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80.284745386984994</v>
      </c>
      <c r="K54">
        <v>0.79050596488411395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80.793492036772903</v>
      </c>
      <c r="K55">
        <v>0.78438998628628298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81.318818704467702</v>
      </c>
      <c r="K56">
        <v>0.77056113376359603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81.682077922345798</v>
      </c>
      <c r="K57">
        <v>0.78197424686750205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81.712074988613296</v>
      </c>
      <c r="K58">
        <v>0.78616880688018398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82.484441936391605</v>
      </c>
      <c r="K59">
        <v>0.80539990547892504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83.257607042497696</v>
      </c>
      <c r="K60">
        <v>0.83370979803106704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84.439227105513993</v>
      </c>
      <c r="K61">
        <v>0.87383206511460598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85.625496592260902</v>
      </c>
      <c r="K62">
        <v>0.89293797011712395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85.666559573239098</v>
      </c>
      <c r="K63">
        <v>0.88609742064276997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85.741687864435804</v>
      </c>
      <c r="K64">
        <v>0.89017851329583897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86.202173205789705</v>
      </c>
      <c r="K65">
        <v>0.87062191557632695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86.919147045181106</v>
      </c>
      <c r="K66">
        <v>0.86672344747487295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87.470450078419603</v>
      </c>
      <c r="K67">
        <v>0.88236761145682796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88.507626173263503</v>
      </c>
      <c r="K68">
        <v>0.89043346508735799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89.188476318852295</v>
      </c>
      <c r="K69">
        <v>0.90430036080331599</v>
      </c>
      <c r="L69">
        <v>79.899689230769198</v>
      </c>
      <c r="M69" s="16">
        <f>+'[3]VAR expectations'!C93</f>
        <v>2.6505886564059562</v>
      </c>
      <c r="N69">
        <v>0.580318036056505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89.624038283391101</v>
      </c>
      <c r="K70">
        <v>0.90164406265091901</v>
      </c>
      <c r="L70">
        <v>81.7654454545455</v>
      </c>
      <c r="M70" s="16">
        <f>+'[3]VAR expectations'!C94</f>
        <v>2.8352346264846378</v>
      </c>
      <c r="N70">
        <v>0.26076684740058298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90.418410445790698</v>
      </c>
      <c r="K71">
        <v>0.92051248220941195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92.105504570434206</v>
      </c>
      <c r="K72">
        <v>0.94027465380459296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93.102806573713906</v>
      </c>
      <c r="K73">
        <v>0.96291109323575397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93.863992332250007</v>
      </c>
      <c r="K74">
        <v>0.97514867270814498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94.6061001881842</v>
      </c>
      <c r="K75">
        <v>0.96431666172078601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95.290774478416694</v>
      </c>
      <c r="K76">
        <v>0.95839838847082204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95.686198481203903</v>
      </c>
      <c r="K77">
        <v>0.94954262283707802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96.141816594026395</v>
      </c>
      <c r="K78">
        <v>0.94272604818640604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97.1173346081152</v>
      </c>
      <c r="K79">
        <v>0.94745998210065296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97.930087055315198</v>
      </c>
      <c r="K80">
        <v>0.97023785165636001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98.268161146453295</v>
      </c>
      <c r="K81">
        <v>0.96256560843280603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98.739542052290503</v>
      </c>
      <c r="K82">
        <v>0.96206944931195104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99.144424776629407</v>
      </c>
      <c r="K83">
        <v>0.94258053628921501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99.647969450142895</v>
      </c>
      <c r="K84">
        <v>0.93182089201251195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99.974713038333604</v>
      </c>
      <c r="K85">
        <v>0.927597513784438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100.14993287614899</v>
      </c>
      <c r="K86">
        <v>0.91380337397532896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100.064882620338</v>
      </c>
      <c r="K87">
        <v>0.90235442226227003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99.773575286175102</v>
      </c>
      <c r="K88">
        <v>0.879156463272737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99.967410688842193</v>
      </c>
      <c r="K89">
        <v>0.87356170393940802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100.12866041734</v>
      </c>
      <c r="K90">
        <v>0.86173464689884904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100.13035360764199</v>
      </c>
      <c r="K91">
        <v>0.85051561411988097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100.145116386051</v>
      </c>
      <c r="K92">
        <v>0.86732844676200305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100.324004699702</v>
      </c>
      <c r="K93">
        <v>0.88832069273605996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100.825296714206</v>
      </c>
      <c r="K94">
        <v>0.92692338631061999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101.351167734162</v>
      </c>
      <c r="K95">
        <v>0.94887071570687698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102.29941851833701</v>
      </c>
      <c r="K96">
        <v>0.95975734376722899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103.086784757864</v>
      </c>
      <c r="K97">
        <v>0.95666894109003098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103.64198295052699</v>
      </c>
      <c r="K98">
        <v>0.96487328890229496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104.42361242526501</v>
      </c>
      <c r="K99">
        <v>0.97202853167585701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105.084794470056</v>
      </c>
      <c r="K100">
        <v>0.97046459354821502</v>
      </c>
      <c r="L100">
        <v>79.035181538461501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105.579752252498</v>
      </c>
      <c r="K101">
        <v>0.97775086229782204</v>
      </c>
      <c r="L101">
        <v>79.101630769230795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106.23646614056</v>
      </c>
      <c r="K102">
        <v>1.0014348035123899</v>
      </c>
      <c r="L102">
        <v>77.806373846153804</v>
      </c>
      <c r="M102" s="16">
        <f>+'[3]VAR expectations'!C126</f>
        <v>2.6759360893479318</v>
      </c>
      <c r="N102">
        <v>0.59026787322204299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106.79579544321101</v>
      </c>
      <c r="K103">
        <v>1.0004551898737399</v>
      </c>
      <c r="L103">
        <v>77.834784848484802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107.074826493111</v>
      </c>
      <c r="K104">
        <v>0.98645832508234599</v>
      </c>
      <c r="L104">
        <v>78.723593750000006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107.72359048542801</v>
      </c>
      <c r="K105">
        <v>0.98568882235463595</v>
      </c>
      <c r="L105">
        <v>78.452740000000006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108.17989353768399</v>
      </c>
      <c r="K106">
        <v>1.02123728142292</v>
      </c>
      <c r="L106">
        <v>75.792527272727298</v>
      </c>
      <c r="M106" s="16">
        <f>+'[3]VAR expectations'!C130</f>
        <v>2.9781745842670815</v>
      </c>
      <c r="N106">
        <v>0.17462163035891701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108.299666923323</v>
      </c>
      <c r="K107">
        <v>1.00836100620983</v>
      </c>
      <c r="L107">
        <v>79.401087878787905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108.913436130604</v>
      </c>
      <c r="K108">
        <v>0.98921837596373596</v>
      </c>
      <c r="L108">
        <v>79.228903076923103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108.332975417702</v>
      </c>
      <c r="K109">
        <v>0.97634496414970795</v>
      </c>
      <c r="L109">
        <v>77.412344615384598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108.828633352718</v>
      </c>
      <c r="K110">
        <v>0.97883095395886899</v>
      </c>
      <c r="L110">
        <v>77.453536363636402</v>
      </c>
      <c r="M110" s="16">
        <f>+'[3]VAR expectations'!C134</f>
        <v>3.1319434989789481</v>
      </c>
      <c r="N110">
        <v>-0.57563884899936602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108.873892576636</v>
      </c>
      <c r="K111">
        <v>1.0012800496960601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109.638493966936</v>
      </c>
      <c r="K112">
        <v>1.0066611537263499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110.486444850841</v>
      </c>
      <c r="K113">
        <v>1.0023594354094001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111.849655245736</v>
      </c>
      <c r="K114">
        <v>1.0314278958522201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114.21997914714299</v>
      </c>
      <c r="K115">
        <v>1.0869456815638701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116.52316685728999</v>
      </c>
      <c r="K116">
        <v>1.1275989580293799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120.534282436504</v>
      </c>
      <c r="K117">
        <v>1.1794334174449199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123.073319011823</v>
      </c>
      <c r="K118">
        <v>1.26246662763152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126.50215809002501</v>
      </c>
      <c r="K119">
        <v>1.2310286407533499</v>
      </c>
      <c r="L119">
        <v>78.044989230769204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128.43460525798801</v>
      </c>
      <c r="K120">
        <v>1.22888824931714</v>
      </c>
      <c r="L120">
        <v>78.106201538461505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130.62540761725401</v>
      </c>
      <c r="K121">
        <v>1.1988931736833099</v>
      </c>
      <c r="L121">
        <v>80.380332307692299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131.34971780476999</v>
      </c>
      <c r="K122">
        <v>1.1796442942910601</v>
      </c>
      <c r="L122">
        <v>82.088566153846202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131.783583135909</v>
      </c>
      <c r="K123">
        <v>1.17038563594192</v>
      </c>
      <c r="L123">
        <v>81.078964615384606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133.07287167388799</v>
      </c>
      <c r="K124">
        <v>1.16652608623864</v>
      </c>
      <c r="L124">
        <v>82.144416103925806</v>
      </c>
      <c r="M124" s="16">
        <f>+'[3]VAR expectations'!C148</f>
        <v>3.6255376960251078</v>
      </c>
      <c r="N124">
        <v>-1.06036962271406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133.16956861091001</v>
      </c>
      <c r="K125">
        <v>1.1587577744255499</v>
      </c>
      <c r="L125">
        <v>82.029132779052503</v>
      </c>
      <c r="M125" s="16">
        <f>+'[3]VAR expectations'!C149</f>
        <v>2.979353541970323</v>
      </c>
      <c r="N125">
        <v>-1.06517537694737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134.22346476499499</v>
      </c>
      <c r="K126">
        <v>1.15158025438698</v>
      </c>
      <c r="L126">
        <v>81.922660638195197</v>
      </c>
      <c r="M126" s="16">
        <f>+'[3]VAR expectations'!C150</f>
        <v>2.9717312535901965</v>
      </c>
      <c r="N126">
        <v>-0.63367039316779294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135.27720967504899</v>
      </c>
      <c r="K127">
        <v>1.1471496412744899</v>
      </c>
      <c r="L127">
        <v>81.817649251643402</v>
      </c>
      <c r="M127" s="16">
        <f>+'[3]VAR expectations'!C151</f>
        <v>3.468785277541127</v>
      </c>
      <c r="N127">
        <v>-0.32343981672753702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136.774222480758</v>
      </c>
      <c r="K128">
        <v>1.14655997189464</v>
      </c>
      <c r="L128">
        <v>81.715034666001003</v>
      </c>
      <c r="M128" s="16">
        <f>+'[3]VAR expectations'!C152</f>
        <v>3.8021957884789486</v>
      </c>
      <c r="N128">
        <v>-0.25273150395692601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136.80661937184601</v>
      </c>
      <c r="K129">
        <v>1.1479044692190801</v>
      </c>
      <c r="L129">
        <v>81.613365284134602</v>
      </c>
      <c r="M129" s="16">
        <f>+'[3]VAR expectations'!C153</f>
        <v>4.011042611251681</v>
      </c>
      <c r="N129">
        <v>2.2960131141718399E-2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137.87661675774601</v>
      </c>
      <c r="K130">
        <v>1.15055638707247</v>
      </c>
      <c r="L130">
        <v>81.513814839135307</v>
      </c>
      <c r="M130" s="16">
        <f>+'[3]VAR expectations'!C154</f>
        <v>3.9691108090385026</v>
      </c>
      <c r="N130">
        <v>0.27065364487259602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138.66128963218</v>
      </c>
      <c r="K131">
        <v>1.1510772982060999</v>
      </c>
      <c r="L131">
        <v>81.418356288700096</v>
      </c>
      <c r="M131" s="16">
        <f>+'[3]VAR expectations'!C155</f>
        <v>3.8470567349792795</v>
      </c>
      <c r="N131">
        <v>0.19073197233109501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139.95745379858101</v>
      </c>
      <c r="K132">
        <v>1.1496855339929699</v>
      </c>
      <c r="L132">
        <v>81.328362286666604</v>
      </c>
      <c r="M132" s="16">
        <f>+'[3]VAR expectations'!C156</f>
        <v>4.1639091291217634</v>
      </c>
      <c r="N132">
        <v>4.52030566248805E-2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139.79262616877699</v>
      </c>
      <c r="K133">
        <v>1.14765914937353</v>
      </c>
      <c r="L133">
        <v>81.243649789724799</v>
      </c>
      <c r="M133" s="16">
        <f>+'[3]VAR expectations'!C157</f>
        <v>5.4104651194166893</v>
      </c>
      <c r="N133">
        <v>4.1486643225731199E-3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140.71674669877601</v>
      </c>
      <c r="K134">
        <v>1.1469218665424199</v>
      </c>
      <c r="L134">
        <v>81.1638383218082</v>
      </c>
      <c r="M134" s="16">
        <f>+'[3]VAR expectations'!C158</f>
        <v>4.9139696600199789</v>
      </c>
      <c r="N134">
        <v>-1.8610671935420799E-2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141.37876071651499</v>
      </c>
      <c r="K135">
        <v>1.1457645220299999</v>
      </c>
      <c r="L135">
        <v>81.088440712920701</v>
      </c>
      <c r="M135" s="16">
        <f>+'[3]VAR expectations'!C159</f>
        <v>4.0011512098701685</v>
      </c>
      <c r="N135">
        <v>-5.6967626902003098E-2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142.62281347931599</v>
      </c>
      <c r="K136">
        <v>1.1443761307867499</v>
      </c>
      <c r="L136">
        <v>81.016960382235396</v>
      </c>
      <c r="M136" s="16">
        <f>+'[3]VAR expectations'!C160</f>
        <v>3.3715300668176842</v>
      </c>
      <c r="N136">
        <v>-8.68417927312395E-2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M137" s="16">
        <f>+'[3]VAR expectations'!C161</f>
        <v>2.9319715449134089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M138" s="16">
        <f>+'[3]VAR expectations'!C162</f>
        <v>2.624058833894372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M139" s="16">
        <f>+'[3]VAR expectations'!C163</f>
        <v>2.4687156565697737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82BB-16F8-4950-B874-7D1217040074}">
  <dimension ref="A1:V172"/>
  <sheetViews>
    <sheetView topLeftCell="A130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114</v>
      </c>
      <c r="I3" s="1" t="s">
        <v>7</v>
      </c>
      <c r="J3" s="2" t="s">
        <v>5</v>
      </c>
      <c r="K3" s="2"/>
      <c r="L3" t="s">
        <v>114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conv2qa(X12(M24_stifidx_fin.m,MULT,1996m1,2029m12))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conv2qa(X12(M24_stif_srv_fin.m,MULT,1996m1,2029m12))</v>
      </c>
      <c r="D10" s="12" t="str">
        <f t="shared" si="0"/>
        <v>conv2qa(X12(M24_stif_gds_xeatfnab_fin.m,MULT,1996m1,2029m12))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conv2qa(X12(M24_stif_fnab_fin.m,MULT,1996m1,2029m12))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conv2qa(X12(M24_stif_pu_fin.m,MULT,1996m1,2029m3))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68.291409793006196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68.743501415337903</v>
      </c>
      <c r="K13">
        <v>0.86509042373751399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68.995965795797503</v>
      </c>
      <c r="K14">
        <v>0.84647798199442004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69.278988726491207</v>
      </c>
      <c r="K15">
        <v>0.83585006467577705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69.607570341232503</v>
      </c>
      <c r="K16">
        <v>0.80638842850685599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69.840992197429401</v>
      </c>
      <c r="K17">
        <v>0.79144008450373604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70.330712510709205</v>
      </c>
      <c r="K18">
        <v>0.78760770032590499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70.553227378197803</v>
      </c>
      <c r="K19">
        <v>0.78369600102702397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70.707682429037007</v>
      </c>
      <c r="K20">
        <v>0.77299084499104498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71.126505541350696</v>
      </c>
      <c r="K21">
        <v>0.76206216868059895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71.308140785276294</v>
      </c>
      <c r="K22">
        <v>0.75688592171026203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71.555515529474405</v>
      </c>
      <c r="K23">
        <v>0.75976655115812497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71.812369420586506</v>
      </c>
      <c r="K24">
        <v>0.75674034386786804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72.121665461930505</v>
      </c>
      <c r="K25">
        <v>0.75164895250617403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72.178569416624399</v>
      </c>
      <c r="K26">
        <v>0.75365215365925997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72.3695750018544</v>
      </c>
      <c r="K27">
        <v>0.75528714880922598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72.387024745638499</v>
      </c>
      <c r="K28">
        <v>0.762586430794857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72.576463345291202</v>
      </c>
      <c r="K29">
        <v>0.76328450502047396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72.758455319907299</v>
      </c>
      <c r="K30">
        <v>0.77965984346415595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73.060649787603296</v>
      </c>
      <c r="K31">
        <v>0.77852355599271506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73.010126759481594</v>
      </c>
      <c r="K32">
        <v>0.77942063757219304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73.683320929602502</v>
      </c>
      <c r="K33">
        <v>0.77409610264637996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73.868483022716404</v>
      </c>
      <c r="K34">
        <v>0.76308701075961805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73.808021170079599</v>
      </c>
      <c r="K35">
        <v>0.752688098559118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74.136194943210498</v>
      </c>
      <c r="K36">
        <v>0.75002538651772099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74.384977167291595</v>
      </c>
      <c r="K37">
        <v>0.75263952351151997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74.6226176746096</v>
      </c>
      <c r="K38">
        <v>0.75015550616674598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74.935694437585695</v>
      </c>
      <c r="K39">
        <v>0.74797853098426004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75.222416663268305</v>
      </c>
      <c r="K40">
        <v>0.76305100676523396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75.346337475039505</v>
      </c>
      <c r="K41">
        <v>0.75829920985494004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75.644258795435306</v>
      </c>
      <c r="K42">
        <v>0.76314959952758699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75.921685517297206</v>
      </c>
      <c r="K43">
        <v>0.757347935788934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76.169544236319098</v>
      </c>
      <c r="K44">
        <v>0.750253061775353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76.412727570497296</v>
      </c>
      <c r="K45">
        <v>0.751272030828947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76.593108791191199</v>
      </c>
      <c r="K46">
        <v>0.75246452156788601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77.013253102119194</v>
      </c>
      <c r="K47">
        <v>0.76483927023953302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77.483551945454394</v>
      </c>
      <c r="K48">
        <v>0.76454198904620496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77.920522902739194</v>
      </c>
      <c r="K49">
        <v>0.76257283223897498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78.4258979546549</v>
      </c>
      <c r="K50">
        <v>0.78344370734360702</v>
      </c>
      <c r="L50">
        <v>99.734880303030295</v>
      </c>
      <c r="M50" s="16">
        <f>+'[3]VAR expectations'!C74</f>
        <v>2.2761535969954032</v>
      </c>
      <c r="N50">
        <v>0.70017615103754205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78.649900818565001</v>
      </c>
      <c r="K51">
        <v>0.78606232029668899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78.987928391122296</v>
      </c>
      <c r="K52">
        <v>0.79283103606381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79.683019045253602</v>
      </c>
      <c r="K53">
        <v>0.79262437001629904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80.310641621755295</v>
      </c>
      <c r="K54">
        <v>0.79050596488411395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80.772917716978299</v>
      </c>
      <c r="K55">
        <v>0.78440213810936799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81.261092924538204</v>
      </c>
      <c r="K56">
        <v>0.77056695531315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81.723601950174995</v>
      </c>
      <c r="K57">
        <v>0.78197424686750205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81.738458421935206</v>
      </c>
      <c r="K58">
        <v>0.78616880688018398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82.461783946729099</v>
      </c>
      <c r="K59">
        <v>0.80539397895258402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83.209957763458902</v>
      </c>
      <c r="K60">
        <v>0.83281239963082399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84.478804922014305</v>
      </c>
      <c r="K61">
        <v>0.873128797497844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85.6420971141455</v>
      </c>
      <c r="K62">
        <v>0.89464880484077103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85.642633339552305</v>
      </c>
      <c r="K63">
        <v>0.88610443846368403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85.711482956796203</v>
      </c>
      <c r="K64">
        <v>0.89017851329583897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86.237082250674902</v>
      </c>
      <c r="K65">
        <v>0.87062191557632695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86.917141342860901</v>
      </c>
      <c r="K66">
        <v>0.86672344747487295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87.449311714126196</v>
      </c>
      <c r="K67">
        <v>0.88236761145682796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88.500791008147004</v>
      </c>
      <c r="K68">
        <v>0.89044036808145799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89.214820157998901</v>
      </c>
      <c r="K69">
        <v>0.90429356742429801</v>
      </c>
      <c r="L69">
        <v>79.899689230769198</v>
      </c>
      <c r="M69" s="16">
        <f>+'[3]VAR expectations'!C93</f>
        <v>2.6505886564059562</v>
      </c>
      <c r="N69">
        <v>0.580318036056505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89.6056450377923</v>
      </c>
      <c r="K70">
        <v>0.90164406265091901</v>
      </c>
      <c r="L70">
        <v>81.7654454545455</v>
      </c>
      <c r="M70" s="16">
        <f>+'[3]VAR expectations'!C94</f>
        <v>2.8352346264846378</v>
      </c>
      <c r="N70">
        <v>0.26076684740058298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90.401165186622194</v>
      </c>
      <c r="K71">
        <v>0.92051248220941195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92.119622915170297</v>
      </c>
      <c r="K72">
        <v>0.94026770544015403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93.117967889133197</v>
      </c>
      <c r="K73">
        <v>0.96289727569725403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93.836956123347903</v>
      </c>
      <c r="K74">
        <v>0.97514867270814498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94.592229969724599</v>
      </c>
      <c r="K75">
        <v>0.96433731069461104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95.306846592129602</v>
      </c>
      <c r="K76">
        <v>0.95983049332702097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95.696119536298397</v>
      </c>
      <c r="K77">
        <v>0.94747856672231201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96.1163889809891</v>
      </c>
      <c r="K78">
        <v>0.94547650130598404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97.112714563620798</v>
      </c>
      <c r="K79">
        <v>0.94533886818945201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97.939286014293799</v>
      </c>
      <c r="K80">
        <v>0.97025854045161797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98.271526198891706</v>
      </c>
      <c r="K81">
        <v>0.96254607930812597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98.725318704597996</v>
      </c>
      <c r="K82">
        <v>0.96206292968870799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99.146738753116196</v>
      </c>
      <c r="K83">
        <v>0.94258678216933001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99.636207435035601</v>
      </c>
      <c r="K84">
        <v>0.93181462991006003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99.975641653757904</v>
      </c>
      <c r="K85">
        <v>0.92660557261258103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100.153953875947</v>
      </c>
      <c r="K86">
        <v>0.91380926837552501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100.072783330707</v>
      </c>
      <c r="K87">
        <v>0.90323157621595296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99.737538850141803</v>
      </c>
      <c r="K88">
        <v>0.87885515922245505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99.968549435056701</v>
      </c>
      <c r="K89">
        <v>0.87334294424922998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100.1471300728</v>
      </c>
      <c r="K90">
        <v>0.86162665883296397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100.146781642002</v>
      </c>
      <c r="K91">
        <v>0.85110991350774401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100.085675179928</v>
      </c>
      <c r="K92">
        <v>0.86850347615406098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100.330706210044</v>
      </c>
      <c r="K93">
        <v>0.88843752965302603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100.852766302592</v>
      </c>
      <c r="K94">
        <v>0.92673576098927701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101.371026660685</v>
      </c>
      <c r="K95">
        <v>0.94768492962638395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102.225726777904</v>
      </c>
      <c r="K96">
        <v>0.95971239660198604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103.097588878363</v>
      </c>
      <c r="K97">
        <v>0.95647260780480703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103.675072340648</v>
      </c>
      <c r="K98">
        <v>0.96509224987089204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104.442189556904</v>
      </c>
      <c r="K99">
        <v>0.97205100015429002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105.000849658606</v>
      </c>
      <c r="K100">
        <v>0.97611841956968204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105.602395415046</v>
      </c>
      <c r="K101">
        <v>0.986092014210877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106.268977063614</v>
      </c>
      <c r="K102">
        <v>0.99638673401549804</v>
      </c>
      <c r="L102">
        <v>77.813970769230806</v>
      </c>
      <c r="M102" s="16">
        <f>+'[3]VAR expectations'!C126</f>
        <v>2.6759360893479318</v>
      </c>
      <c r="N102">
        <v>0.59026787322204299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106.81132361471199</v>
      </c>
      <c r="K103">
        <v>0.99157593162403501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106.975439379612</v>
      </c>
      <c r="K104">
        <v>0.99141183150394996</v>
      </c>
      <c r="L104">
        <v>78.730262499999995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107.77250053712299</v>
      </c>
      <c r="K105">
        <v>0.99936638442185</v>
      </c>
      <c r="L105">
        <v>78.4577861538462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108.202954073904</v>
      </c>
      <c r="K106">
        <v>1.0140568289313101</v>
      </c>
      <c r="L106">
        <v>75.796048484848498</v>
      </c>
      <c r="M106" s="16">
        <f>+'[3]VAR expectations'!C130</f>
        <v>2.9781745842670815</v>
      </c>
      <c r="N106">
        <v>0.17462163035891701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108.31412690145</v>
      </c>
      <c r="K107">
        <v>0.99576582870709296</v>
      </c>
      <c r="L107">
        <v>79.404298484848496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108.784366009005</v>
      </c>
      <c r="K108">
        <v>0.98921837596373596</v>
      </c>
      <c r="L108">
        <v>79.231909230769205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108.43009561822799</v>
      </c>
      <c r="K109">
        <v>0.97634496414970795</v>
      </c>
      <c r="L109">
        <v>77.417078461538495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108.832571849719</v>
      </c>
      <c r="K110">
        <v>0.97883095395886899</v>
      </c>
      <c r="L110">
        <v>77.453536363636402</v>
      </c>
      <c r="M110" s="16">
        <f>+'[3]VAR expectations'!C134</f>
        <v>3.1319434989789481</v>
      </c>
      <c r="N110">
        <v>-0.57563884899936602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108.88469767803301</v>
      </c>
      <c r="K111">
        <v>1.0012800496960601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109.489389774814</v>
      </c>
      <c r="K112">
        <v>1.0066611537263499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110.635185689511</v>
      </c>
      <c r="K113">
        <v>1.0023594354094001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111.82802942773201</v>
      </c>
      <c r="K114">
        <v>1.0314278958522201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114.222148587928</v>
      </c>
      <c r="K115">
        <v>1.0869456815638701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116.34681099891699</v>
      </c>
      <c r="K116">
        <v>1.1275989580293799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120.74776996646899</v>
      </c>
      <c r="K117">
        <v>1.1794334174449199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123.019914675343</v>
      </c>
      <c r="K118">
        <v>1.26246662763152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126.502265512256</v>
      </c>
      <c r="K119">
        <v>1.2310286407533499</v>
      </c>
      <c r="L119">
        <v>78.037909230769202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128.22346114437599</v>
      </c>
      <c r="K120">
        <v>1.2323476813857099</v>
      </c>
      <c r="L120">
        <v>78.1068492307692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130.89608210786099</v>
      </c>
      <c r="K121">
        <v>1.20247350198602</v>
      </c>
      <c r="L121">
        <v>80.384953846153806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131.26723028230199</v>
      </c>
      <c r="K122">
        <v>1.19177734037031</v>
      </c>
      <c r="L122">
        <v>82.125763076923107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131.79277302609401</v>
      </c>
      <c r="K123">
        <v>1.20929980313573</v>
      </c>
      <c r="L123">
        <v>81.116464615384601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132.790835510953</v>
      </c>
      <c r="K124">
        <v>1.1842765638231001</v>
      </c>
      <c r="L124">
        <v>82.494893846153801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133.48887826535901</v>
      </c>
      <c r="K125">
        <v>1.1931830903258001</v>
      </c>
      <c r="L125">
        <v>82.296410513909294</v>
      </c>
      <c r="M125" s="16">
        <f>+'[3]VAR expectations'!C149</f>
        <v>2.979353541970323</v>
      </c>
      <c r="N125">
        <v>-1.1251237234014799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134.16404946912499</v>
      </c>
      <c r="K126">
        <v>1.1792207619116899</v>
      </c>
      <c r="L126">
        <v>82.141361927050497</v>
      </c>
      <c r="M126" s="16">
        <f>+'[3]VAR expectations'!C150</f>
        <v>2.9717312535901965</v>
      </c>
      <c r="N126">
        <v>-0.656583404509122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135.19734190831201</v>
      </c>
      <c r="K127">
        <v>1.17472776714147</v>
      </c>
      <c r="L127">
        <v>82.0471513321082</v>
      </c>
      <c r="M127" s="16">
        <f>+'[3]VAR expectations'!C151</f>
        <v>3.468785277541127</v>
      </c>
      <c r="N127">
        <v>-0.30665098711737099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136.273231940302</v>
      </c>
      <c r="K128">
        <v>1.17335150742423</v>
      </c>
      <c r="L128">
        <v>81.950735613412405</v>
      </c>
      <c r="M128" s="16">
        <f>+'[3]VAR expectations'!C152</f>
        <v>3.8021957884789486</v>
      </c>
      <c r="N128">
        <v>-0.24970972820440601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136.92692762958799</v>
      </c>
      <c r="K129">
        <v>1.1734467909739901</v>
      </c>
      <c r="L129">
        <v>81.852891654240196</v>
      </c>
      <c r="M129" s="16">
        <f>+'[3]VAR expectations'!C153</f>
        <v>4.011042611251681</v>
      </c>
      <c r="N129">
        <v>0.17582766479418499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137.51578122481101</v>
      </c>
      <c r="K130">
        <v>1.1749300094156401</v>
      </c>
      <c r="L130">
        <v>81.751855909512301</v>
      </c>
      <c r="M130" s="16">
        <f>+'[3]VAR expectations'!C154</f>
        <v>3.9691108090385026</v>
      </c>
      <c r="N130">
        <v>0.34711443065428699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138.30564830467699</v>
      </c>
      <c r="K131">
        <v>1.1751694745290999</v>
      </c>
      <c r="L131">
        <v>81.649013092665896</v>
      </c>
      <c r="M131" s="16">
        <f>+'[3]VAR expectations'!C155</f>
        <v>3.8470567349792795</v>
      </c>
      <c r="N131">
        <v>0.198061531823013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139.168250031068</v>
      </c>
      <c r="K132">
        <v>1.17336504992483</v>
      </c>
      <c r="L132">
        <v>81.547250265345696</v>
      </c>
      <c r="M132" s="16">
        <f>+'[3]VAR expectations'!C156</f>
        <v>4.1639091291217634</v>
      </c>
      <c r="N132">
        <v>3.8115172044307602E-2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139.46968534627601</v>
      </c>
      <c r="K133">
        <v>1.1708230692510699</v>
      </c>
      <c r="L133">
        <v>81.448754713480895</v>
      </c>
      <c r="M133" s="16">
        <f>+'[3]VAR expectations'!C157</f>
        <v>5.4104651194166893</v>
      </c>
      <c r="N133">
        <v>-0.13561988846669101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139.93356860901099</v>
      </c>
      <c r="K134">
        <v>1.1697231818182501</v>
      </c>
      <c r="L134">
        <v>81.354332336861603</v>
      </c>
      <c r="M134" s="16">
        <f>+'[3]VAR expectations'!C158</f>
        <v>4.9139696600199789</v>
      </c>
      <c r="N134">
        <v>-0.12562988486578699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140.55018193124101</v>
      </c>
      <c r="K135">
        <v>1.16862190484769</v>
      </c>
      <c r="L135">
        <v>81.264269352860694</v>
      </c>
      <c r="M135" s="16">
        <f>+'[3]VAR expectations'!C159</f>
        <v>4.0011512098701685</v>
      </c>
      <c r="N135">
        <v>-0.124692183401984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141.315756268435</v>
      </c>
      <c r="K136">
        <v>1.1671959365506299</v>
      </c>
      <c r="L136">
        <v>81.178484926004501</v>
      </c>
      <c r="M136" s="16">
        <f>+'[3]VAR expectations'!C160</f>
        <v>3.3715300668176842</v>
      </c>
      <c r="N136">
        <v>-0.101058005525797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141.64060608251901</v>
      </c>
      <c r="K137">
        <v>1.16562213457666</v>
      </c>
      <c r="L137">
        <v>81.096549312067395</v>
      </c>
      <c r="M137" s="16">
        <f>+'[3]VAR expectations'!C161</f>
        <v>2.9319715449134089</v>
      </c>
      <c r="N137">
        <v>-2.9515509330344102E-2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M138" s="16">
        <f>+'[3]VAR expectations'!C162</f>
        <v>2.624058833894372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M139" s="16">
        <f>+'[3]VAR expectations'!C163</f>
        <v>2.4687156565697737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C2F3-0DD5-4B10-B566-94AC2684E60A}">
  <dimension ref="A1:V172"/>
  <sheetViews>
    <sheetView topLeftCell="A112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113</v>
      </c>
      <c r="I3" s="1" t="s">
        <v>7</v>
      </c>
      <c r="J3" s="2" t="s">
        <v>5</v>
      </c>
      <c r="K3" s="2"/>
      <c r="L3" t="s">
        <v>113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conv2qa(X12(A24_stifidx_fin.m,MULT,1996m1,2029m12))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conv2qa(X12(A24_stif_srv_fin.m,MULT,1996m1,2029m12))</v>
      </c>
      <c r="D10" s="12" t="str">
        <f t="shared" si="0"/>
        <v>conv2qa(X12(A24_stif_gds_xeatfnab_fin.m,MULT,1996m1,2029m12))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conv2qa(X12(A24_stif_fnab_fin.m,MULT,1996m1,2029m12))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conv2qa(X12(A24_stif_pu_fin.m,MULT,1996m1,2029m3))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68.291645799023001</v>
      </c>
      <c r="K12">
        <f>[2]!FAMEData($L$5&amp;$L$3&amp;K9&amp;$L$4, $I$3, $I$4, 0,"Quarterly", "Down", "No Heading", "Normal")</f>
        <v>0.86450741438940804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68.743738983723205</v>
      </c>
      <c r="K13">
        <v>0.86509042373751399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68.996204236666102</v>
      </c>
      <c r="K14">
        <v>0.84647798199442004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69.279228145449295</v>
      </c>
      <c r="K15">
        <v>0.83585006467577705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69.607810895724995</v>
      </c>
      <c r="K16">
        <v>0.80638842850685599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69.841233558596798</v>
      </c>
      <c r="K17">
        <v>0.79144008450373604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70.330868945969598</v>
      </c>
      <c r="K18">
        <v>0.78760770032590499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70.553210973415204</v>
      </c>
      <c r="K19">
        <v>0.78369600102702397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70.707666447575306</v>
      </c>
      <c r="K20">
        <v>0.77299084499104498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71.126489465226001</v>
      </c>
      <c r="K21">
        <v>0.76206216868059895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71.308124668098003</v>
      </c>
      <c r="K22">
        <v>0.75688592171026203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71.555499356384203</v>
      </c>
      <c r="K23">
        <v>0.75976655115812497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71.812353189441893</v>
      </c>
      <c r="K24">
        <v>0.75674034386786804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72.121649160878206</v>
      </c>
      <c r="K25">
        <v>0.75164895250617403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72.178553102709898</v>
      </c>
      <c r="K26">
        <v>0.75365215365925997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72.369558644769199</v>
      </c>
      <c r="K27">
        <v>0.75528714880922598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72.387008384610596</v>
      </c>
      <c r="K28">
        <v>0.762586430794857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72.576446941444303</v>
      </c>
      <c r="K29">
        <v>0.76328450502047396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72.758438874924707</v>
      </c>
      <c r="K30">
        <v>0.77965984346415595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73.0606332743194</v>
      </c>
      <c r="K31">
        <v>0.77852355599271506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73.010110257623097</v>
      </c>
      <c r="K32">
        <v>0.77942063757219304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73.683304275580497</v>
      </c>
      <c r="K33">
        <v>0.77409610264637996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73.868466326841002</v>
      </c>
      <c r="K34">
        <v>0.76308701075961805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73.808004487872196</v>
      </c>
      <c r="K35">
        <v>0.752688098559118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74.136178186843196</v>
      </c>
      <c r="K36">
        <v>0.75002538651772099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74.384960354680203</v>
      </c>
      <c r="K37">
        <v>0.75263952351151997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74.6226008082796</v>
      </c>
      <c r="K38">
        <v>0.75015550616674598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74.935677500485298</v>
      </c>
      <c r="K39">
        <v>0.74797853098426004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75.222399661412297</v>
      </c>
      <c r="K40">
        <v>0.76305100676523396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75.346320445171699</v>
      </c>
      <c r="K41">
        <v>0.75829920985494004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75.644241698174696</v>
      </c>
      <c r="K42">
        <v>0.76314959952758699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75.921668357081401</v>
      </c>
      <c r="K43">
        <v>0.757347935788934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76.169527020819601</v>
      </c>
      <c r="K44">
        <v>0.750253061775353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76.412710299739004</v>
      </c>
      <c r="K45">
        <v>0.751272030828947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76.593091478878605</v>
      </c>
      <c r="K46">
        <v>0.75246452156788601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77.013235695043605</v>
      </c>
      <c r="K47">
        <v>0.76483927023953302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77.483534433449293</v>
      </c>
      <c r="K48">
        <v>0.76454198904620496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77.920505291241696</v>
      </c>
      <c r="K49">
        <v>0.76257283223897498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78.425880230501093</v>
      </c>
      <c r="K50">
        <v>0.78344370734360702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78.649883036398506</v>
      </c>
      <c r="K51">
        <v>0.78606232029668899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78.987910538247405</v>
      </c>
      <c r="K52">
        <v>0.79283103606381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79.683001044266803</v>
      </c>
      <c r="K53">
        <v>0.79262437001629904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80.310623474846693</v>
      </c>
      <c r="K54">
        <v>0.79050596488411395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80.772899437409905</v>
      </c>
      <c r="K55">
        <v>0.78440213810936799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81.261074557236398</v>
      </c>
      <c r="K56">
        <v>0.77056695531315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81.723583514440705</v>
      </c>
      <c r="K57">
        <v>0.78197424686750205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81.738439949709502</v>
      </c>
      <c r="K58">
        <v>0.78616880688018398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82.461765207584193</v>
      </c>
      <c r="K59">
        <v>0.80539397895258402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83.209939008521999</v>
      </c>
      <c r="K60">
        <v>0.83281239963082399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84.478785935063996</v>
      </c>
      <c r="K61">
        <v>0.873128797497844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85.642077695316203</v>
      </c>
      <c r="K62">
        <v>0.89464880484077103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85.642613775411704</v>
      </c>
      <c r="K63">
        <v>0.88610443846368403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85.711463766503798</v>
      </c>
      <c r="K64">
        <v>0.89017851329583897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86.2370628598851</v>
      </c>
      <c r="K65">
        <v>0.87062191557632695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86.917121574445105</v>
      </c>
      <c r="K66">
        <v>0.86672344747487295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87.449291697821295</v>
      </c>
      <c r="K67">
        <v>0.88236761145682796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88.500771372213705</v>
      </c>
      <c r="K68">
        <v>0.89044036808145799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89.2148000032998</v>
      </c>
      <c r="K69">
        <v>0.90429356742429801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89.605624426774099</v>
      </c>
      <c r="K70">
        <v>0.90164406265091901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90.401144579232295</v>
      </c>
      <c r="K71">
        <v>0.92051248220941195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92.119603250955606</v>
      </c>
      <c r="K72">
        <v>0.94026770544015403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93.117946819997002</v>
      </c>
      <c r="K73">
        <v>0.96289727569725403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93.836930789422098</v>
      </c>
      <c r="K74">
        <v>0.97514867270814498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94.592211785538794</v>
      </c>
      <c r="K75">
        <v>0.96433731069461104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95.306828855876205</v>
      </c>
      <c r="K76">
        <v>0.95983049332702097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95.696096334037193</v>
      </c>
      <c r="K77">
        <v>0.94747856672231201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96.116353661911702</v>
      </c>
      <c r="K78">
        <v>0.94547650130598404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97.112703383841094</v>
      </c>
      <c r="K79">
        <v>0.94533886818945201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97.939281331758707</v>
      </c>
      <c r="K80">
        <v>0.97025854045161797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98.271491907884894</v>
      </c>
      <c r="K81">
        <v>0.96254607930812597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98.725256275680096</v>
      </c>
      <c r="K82">
        <v>0.96206292968870799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99.146775416235499</v>
      </c>
      <c r="K83">
        <v>0.94258678216933001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99.636204078681899</v>
      </c>
      <c r="K84">
        <v>0.93181462991006003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99.975578190249095</v>
      </c>
      <c r="K85">
        <v>0.92660557261258103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100.15384248529099</v>
      </c>
      <c r="K86">
        <v>0.91380926837552501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100.072908475009</v>
      </c>
      <c r="K87">
        <v>0.90323157621595296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99.737559069701703</v>
      </c>
      <c r="K88">
        <v>0.87885515922245505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99.968447882785</v>
      </c>
      <c r="K89">
        <v>0.87334294424922998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100.146759616263</v>
      </c>
      <c r="K90">
        <v>0.86162665883296397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100.147233431251</v>
      </c>
      <c r="K91">
        <v>0.85110991350774401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100.08574795472801</v>
      </c>
      <c r="K92">
        <v>0.86850347615406098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100.33039080297701</v>
      </c>
      <c r="K93">
        <v>0.88843752965302603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100.85211829072399</v>
      </c>
      <c r="K94">
        <v>0.92673576098927701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101.372014999361</v>
      </c>
      <c r="K95">
        <v>0.94768492962638395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102.22590469712</v>
      </c>
      <c r="K96">
        <v>0.95971239660198604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103.09683601647799</v>
      </c>
      <c r="K97">
        <v>0.95647260780480703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103.673949106268</v>
      </c>
      <c r="K98">
        <v>0.96509224987089204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104.443974888494</v>
      </c>
      <c r="K99">
        <v>0.97205100015429002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105.001920911851</v>
      </c>
      <c r="K100">
        <v>0.97611841956968204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105.60004847179999</v>
      </c>
      <c r="K101">
        <v>0.986092014210877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106.26766203299</v>
      </c>
      <c r="K102">
        <v>0.99638673401549804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106.814099123273</v>
      </c>
      <c r="K103">
        <v>0.99157593162403501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106.977864822963</v>
      </c>
      <c r="K104">
        <v>0.99141183150394996</v>
      </c>
      <c r="L104">
        <v>78.730262499999995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107.767672419824</v>
      </c>
      <c r="K105">
        <v>0.99936638442185</v>
      </c>
      <c r="L105">
        <v>78.4577861538462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108.20098568636099</v>
      </c>
      <c r="K106">
        <v>1.0140568289313101</v>
      </c>
      <c r="L106">
        <v>75.796048484848498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108.31888049271301</v>
      </c>
      <c r="K107">
        <v>0.99576582870709296</v>
      </c>
      <c r="L107">
        <v>79.404298484848496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108.791895661211</v>
      </c>
      <c r="K108">
        <v>0.98921837596373596</v>
      </c>
      <c r="L108">
        <v>79.231909230769205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108.418046209124</v>
      </c>
      <c r="K109">
        <v>0.97634496414970795</v>
      </c>
      <c r="L109">
        <v>77.417078461538495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108.829305887182</v>
      </c>
      <c r="K110">
        <v>0.97883095395886899</v>
      </c>
      <c r="L110">
        <v>77.453536363636402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108.893925924626</v>
      </c>
      <c r="K111">
        <v>1.0012800496960601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109.506102642889</v>
      </c>
      <c r="K112">
        <v>1.0066611537263499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110.60875258213601</v>
      </c>
      <c r="K113">
        <v>1.0023594354094001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111.822223213621</v>
      </c>
      <c r="K114">
        <v>1.0314278958522201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114.240549218567</v>
      </c>
      <c r="K115">
        <v>1.0869456815638701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116.375642533207</v>
      </c>
      <c r="K116">
        <v>1.1275989580293799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120.70079793711299</v>
      </c>
      <c r="K117">
        <v>1.1794334174449199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123.011022151719</v>
      </c>
      <c r="K118">
        <v>1.26246662763152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126.53335999117</v>
      </c>
      <c r="K119">
        <v>1.2310286407533499</v>
      </c>
      <c r="L119">
        <v>78.037909230769202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128.264245046441</v>
      </c>
      <c r="K120">
        <v>1.2323476813857099</v>
      </c>
      <c r="L120">
        <v>78.1068492307692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130.82881800797901</v>
      </c>
      <c r="K121">
        <v>1.20247350198602</v>
      </c>
      <c r="L121">
        <v>80.384953846153806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131.255320964128</v>
      </c>
      <c r="K122">
        <v>1.19177734037031</v>
      </c>
      <c r="L122">
        <v>82.125763076923107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131.83480673690499</v>
      </c>
      <c r="K123">
        <v>1.20929980313573</v>
      </c>
      <c r="L123">
        <v>81.116464615384601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132.83680161261199</v>
      </c>
      <c r="K124">
        <v>1.2067624343872201</v>
      </c>
      <c r="L124">
        <v>82.494893846153801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133.54583898298199</v>
      </c>
      <c r="K125">
        <v>1.20888070563772</v>
      </c>
      <c r="L125">
        <v>82.864006153846105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134.23650122736601</v>
      </c>
      <c r="K126">
        <v>1.19432227482909</v>
      </c>
      <c r="L126">
        <v>84.232649857504597</v>
      </c>
      <c r="M126" s="16">
        <f>+'[3]VAR expectations'!C150</f>
        <v>2.9717312535901965</v>
      </c>
      <c r="N126">
        <v>-0.85316365746949197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135.431480436165</v>
      </c>
      <c r="K127">
        <v>1.18844856860662</v>
      </c>
      <c r="L127">
        <v>84.1046729304217</v>
      </c>
      <c r="M127" s="16">
        <f>+'[3]VAR expectations'!C151</f>
        <v>3.468785277541127</v>
      </c>
      <c r="N127">
        <v>-0.32387211000136901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136.38340653864199</v>
      </c>
      <c r="K128">
        <v>1.1833343898183299</v>
      </c>
      <c r="L128">
        <v>84.002293570144104</v>
      </c>
      <c r="M128" s="16">
        <f>+'[3]VAR expectations'!C152</f>
        <v>3.8021957884789486</v>
      </c>
      <c r="N128">
        <v>-0.33452065592027302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137.05557382465801</v>
      </c>
      <c r="K129">
        <v>1.1802723319388599</v>
      </c>
      <c r="L129">
        <v>83.899093276112595</v>
      </c>
      <c r="M129" s="16">
        <f>+'[3]VAR expectations'!C153</f>
        <v>4.011042611251681</v>
      </c>
      <c r="N129">
        <v>0.15426356535152699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137.52240833841199</v>
      </c>
      <c r="K130">
        <v>1.1790385515947801</v>
      </c>
      <c r="L130">
        <v>83.796272177421898</v>
      </c>
      <c r="M130" s="16">
        <f>+'[3]VAR expectations'!C154</f>
        <v>3.9691108090385026</v>
      </c>
      <c r="N130">
        <v>0.33371618266403602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138.35669310829601</v>
      </c>
      <c r="K131">
        <v>1.1773891858616601</v>
      </c>
      <c r="L131">
        <v>83.692680888943499</v>
      </c>
      <c r="M131" s="16">
        <f>+'[3]VAR expectations'!C155</f>
        <v>3.8470567349792795</v>
      </c>
      <c r="N131">
        <v>2.1927275871379201E-2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139.05640532596399</v>
      </c>
      <c r="K132">
        <v>1.1744442443585601</v>
      </c>
      <c r="L132">
        <v>83.589344185585404</v>
      </c>
      <c r="M132" s="16">
        <f>+'[3]VAR expectations'!C156</f>
        <v>4.1639091291217634</v>
      </c>
      <c r="N132">
        <v>-6.2694454887012696E-2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139.414504828437</v>
      </c>
      <c r="K133">
        <v>1.17123350693022</v>
      </c>
      <c r="L133">
        <v>83.488637625047502</v>
      </c>
      <c r="M133" s="16">
        <f>+'[3]VAR expectations'!C157</f>
        <v>5.4104651194166893</v>
      </c>
      <c r="N133">
        <v>-0.192972911572765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139.86312089026799</v>
      </c>
      <c r="K134">
        <v>1.1696216134350801</v>
      </c>
      <c r="L134">
        <v>83.392357486101304</v>
      </c>
      <c r="M134" s="16">
        <f>+'[3]VAR expectations'!C158</f>
        <v>4.9139696600199789</v>
      </c>
      <c r="N134">
        <v>-0.114185502560521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140.53257146803901</v>
      </c>
      <c r="K135">
        <v>1.1683568516360201</v>
      </c>
      <c r="L135">
        <v>83.301052592129906</v>
      </c>
      <c r="M135" s="16">
        <f>+'[3]VAR expectations'!C159</f>
        <v>4.0011512098701685</v>
      </c>
      <c r="N135">
        <v>-0.12719079785395801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141.14235671546299</v>
      </c>
      <c r="K136">
        <v>1.1670104611005201</v>
      </c>
      <c r="L136">
        <v>83.2147225955989</v>
      </c>
      <c r="M136" s="16">
        <f>+'[3]VAR expectations'!C160</f>
        <v>3.3715300668176842</v>
      </c>
      <c r="N136">
        <v>-0.122327890987575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141.50295413838501</v>
      </c>
      <c r="K137">
        <v>1.1655180783933401</v>
      </c>
      <c r="L137">
        <v>83.132938158355202</v>
      </c>
      <c r="M137" s="16">
        <f>+'[3]VAR expectations'!C161</f>
        <v>2.9319715449134089</v>
      </c>
      <c r="N137">
        <v>-8.7508976599585994E-2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141.982081397439</v>
      </c>
      <c r="K138">
        <v>1.1637576474873501</v>
      </c>
      <c r="L138">
        <v>83.055169964135899</v>
      </c>
      <c r="M138" s="16">
        <f>+'[3]VAR expectations'!C162</f>
        <v>2.624058833894372</v>
      </c>
      <c r="N138">
        <v>-6.6426599596672797E-2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M139" s="16">
        <f>+'[3]VAR expectations'!C163</f>
        <v>2.4687156565697737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0D4D-0BF3-467E-B260-98E8677F02C4}">
  <dimension ref="A1:V172"/>
  <sheetViews>
    <sheetView topLeftCell="A109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112</v>
      </c>
      <c r="I3" s="1" t="s">
        <v>7</v>
      </c>
      <c r="J3" s="2" t="s">
        <v>5</v>
      </c>
      <c r="K3" s="2"/>
      <c r="L3" t="s">
        <v>112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conv2qa(X12(N24_stifidx_fin.m,MULT,1996m1,2029m12))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conv2qa(X12(N24_stif_srv_fin.m,MULT,1996m1,2029m12))</v>
      </c>
      <c r="D10" s="12" t="str">
        <f t="shared" si="0"/>
        <v>conv2qa(X12(N24_stif_gds_xeatfnab_fin.m,MULT,1996m1,2029m12))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conv2qa(X12(N24_stif_fnab_fin.m,MULT,1996m1,2029m12))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conv2qa(X12(N24_stif_pu_fin.m,MULT,1996m1,2029m3))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68.291673103335697</v>
      </c>
      <c r="K12">
        <f>[2]!FAMEData($L$5&amp;$L$3&amp;K9&amp;$L$4, $I$3, $I$4, 0,"Quarterly", "Down", "No Heading", "Normal")</f>
        <v>0.71982449635397405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 t="e">
        <f>[2]!FAMEData($L$5&amp;$L$3&amp;O9&amp;$L$4, $I$3, $I$4, 0,"Quarterly", "Down", "No Heading", "Normal")</f>
        <v>#N/A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68.743766468791506</v>
      </c>
      <c r="K13">
        <v>0.72027305921574902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68.996231822674801</v>
      </c>
      <c r="K14">
        <v>0.704611295999234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69.279255844616401</v>
      </c>
      <c r="K15">
        <v>0.69546448918473103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69.607838726265797</v>
      </c>
      <c r="K16">
        <v>0.67245396810892299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69.841261482464404</v>
      </c>
      <c r="K17">
        <v>0.658342915410149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70.330897065602798</v>
      </c>
      <c r="K18">
        <v>0.65392958085931496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70.553239181945102</v>
      </c>
      <c r="K19">
        <v>0.65336658354114696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70.707694717859596</v>
      </c>
      <c r="K20">
        <v>0.64381232528059396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71.126517902963698</v>
      </c>
      <c r="K21">
        <v>0.63430889006644098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71.308153178456706</v>
      </c>
      <c r="K22">
        <v>0.62982939021675299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71.555527965647997</v>
      </c>
      <c r="K23">
        <v>0.63229951935239104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71.812381901401594</v>
      </c>
      <c r="K24">
        <v>0.62982900352708404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72.121677996500694</v>
      </c>
      <c r="K25">
        <v>0.62571857921866703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72.178581961080297</v>
      </c>
      <c r="K26">
        <v>0.62744633608854405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72.369587579509798</v>
      </c>
      <c r="K27">
        <v>0.628879165488197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72.387037326332106</v>
      </c>
      <c r="K28">
        <v>0.63496423654172396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72.576475958902293</v>
      </c>
      <c r="K29">
        <v>0.63548425849859203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72.758467965139502</v>
      </c>
      <c r="K30">
        <v>0.64916170071338097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73.060662485366805</v>
      </c>
      <c r="K31">
        <v>0.64840352087451603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73.010139448482704</v>
      </c>
      <c r="K32">
        <v>0.64909645815575601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73.683333735574493</v>
      </c>
      <c r="K33">
        <v>0.64465605564276696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73.868495860860705</v>
      </c>
      <c r="K34">
        <v>0.63552659085590302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73.808033997712201</v>
      </c>
      <c r="K35">
        <v>0.62682732713061395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74.136207827958401</v>
      </c>
      <c r="K36">
        <v>0.62476284325203701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74.384990095179106</v>
      </c>
      <c r="K37">
        <v>0.62706418971656097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74.622630643845895</v>
      </c>
      <c r="K38">
        <v>0.62480056012011398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74.935707461137895</v>
      </c>
      <c r="K39">
        <v>0.62277821927588894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75.222429736867198</v>
      </c>
      <c r="K40">
        <v>0.63544061412391895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75.346350570018998</v>
      </c>
      <c r="K41">
        <v>0.63124721802930694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75.644271942284604</v>
      </c>
      <c r="K42">
        <v>0.63521138997049398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75.921698711947698</v>
      </c>
      <c r="K43">
        <v>0.63050936560290005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76.169557474662199</v>
      </c>
      <c r="K44">
        <v>0.62452206938993704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76.412740851060406</v>
      </c>
      <c r="K45">
        <v>0.62533471852521905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76.593122103047094</v>
      </c>
      <c r="K46">
        <v>0.62608242577351603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77.013266485820793</v>
      </c>
      <c r="K47">
        <v>0.63653524783139104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77.483565412331998</v>
      </c>
      <c r="K48">
        <v>0.63627996722981495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77.920536446126803</v>
      </c>
      <c r="K49">
        <v>0.63486613605504305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78.425911586368301</v>
      </c>
      <c r="K50">
        <v>0.65241229516620303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78.649914482357602</v>
      </c>
      <c r="K51">
        <v>0.65446219885289902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78.987942119253503</v>
      </c>
      <c r="K52">
        <v>0.66091908724602799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79.683032900775899</v>
      </c>
      <c r="K53">
        <v>0.66091000873885497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80.310655584853393</v>
      </c>
      <c r="K54">
        <v>0.65793897350294706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80.772931732552493</v>
      </c>
      <c r="K55">
        <v>0.65250611822025395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81.261107038686504</v>
      </c>
      <c r="K56">
        <v>0.64120008324831701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81.723616211710095</v>
      </c>
      <c r="K57">
        <v>0.65071749491976905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81.738472635739996</v>
      </c>
      <c r="K58">
        <v>0.65423212547982301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82.461798137936796</v>
      </c>
      <c r="K59">
        <v>0.67024506683642904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83.209972235891698</v>
      </c>
      <c r="K60">
        <v>0.69296241200498199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84.478819914305106</v>
      </c>
      <c r="K61">
        <v>0.72645325089660395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85.642111826631293</v>
      </c>
      <c r="K62">
        <v>0.74434298026276902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85.642647852813099</v>
      </c>
      <c r="K63">
        <v>0.73715014401478896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85.711497979305605</v>
      </c>
      <c r="K64">
        <v>0.74048679134173201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86.237098028945198</v>
      </c>
      <c r="K65">
        <v>0.72428991015393396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86.917155969965293</v>
      </c>
      <c r="K66">
        <v>0.72110977526947995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87.449326192141598</v>
      </c>
      <c r="K67">
        <v>0.73402521386714703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88.500806692483195</v>
      </c>
      <c r="K68">
        <v>0.74071209632276902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89.214837419067905</v>
      </c>
      <c r="K69">
        <v>0.75220901159416698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89.605659005144403</v>
      </c>
      <c r="K70">
        <v>0.74996855794348305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90.4011797685788</v>
      </c>
      <c r="K71">
        <v>0.76582631113469501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92.119640320440993</v>
      </c>
      <c r="K72">
        <v>0.78215412173038701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93.117987115174103</v>
      </c>
      <c r="K73">
        <v>0.80092941699513398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93.836966466083496</v>
      </c>
      <c r="K74">
        <v>0.81113157519398005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94.592246728718607</v>
      </c>
      <c r="K75">
        <v>0.80216568317818704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95.306867734139601</v>
      </c>
      <c r="K76">
        <v>0.79835418708710004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95.696140855405503</v>
      </c>
      <c r="K77">
        <v>0.78803170707853898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96.116390659991794</v>
      </c>
      <c r="K78">
        <v>0.78634969678226596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97.112724085245802</v>
      </c>
      <c r="K79">
        <v>0.78628976005266804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97.939342441481202</v>
      </c>
      <c r="K80">
        <v>0.80702535396044905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98.271553794123506</v>
      </c>
      <c r="K81">
        <v>0.80061988410660201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98.725246694808305</v>
      </c>
      <c r="K82">
        <v>0.80020429606267296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99.146780734672305</v>
      </c>
      <c r="K83">
        <v>0.78393808826123101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99.636334379672206</v>
      </c>
      <c r="K84">
        <v>0.77500807653390702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99.975690000173998</v>
      </c>
      <c r="K85">
        <v>0.77065630898198501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100.15367384084099</v>
      </c>
      <c r="K86">
        <v>0.75998496996257003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100.072906706445</v>
      </c>
      <c r="K87">
        <v>0.75127142152237703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99.737859642304699</v>
      </c>
      <c r="K88">
        <v>0.73099702131507505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99.968765473744497</v>
      </c>
      <c r="K89">
        <v>0.726376257800047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100.146069335777</v>
      </c>
      <c r="K90">
        <v>0.71661122800277499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100.147305548174</v>
      </c>
      <c r="K91">
        <v>0.70785219429855795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100.08640743973601</v>
      </c>
      <c r="K92">
        <v>0.72234316086335104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100.330863082398</v>
      </c>
      <c r="K93">
        <v>0.73890891526929603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100.850727454382</v>
      </c>
      <c r="K94">
        <v>0.77072553054453496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101.37214924958801</v>
      </c>
      <c r="K95">
        <v>0.788207537233098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102.227277292549</v>
      </c>
      <c r="K96">
        <v>0.798228893411986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103.097309460235</v>
      </c>
      <c r="K97">
        <v>0.79550803385803104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103.671652540168</v>
      </c>
      <c r="K98">
        <v>0.802661568707982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104.44420203746</v>
      </c>
      <c r="K99">
        <v>0.80846109130113097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105.004003716509</v>
      </c>
      <c r="K100">
        <v>0.811856855436904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105.59997400640501</v>
      </c>
      <c r="K101">
        <v>0.82016303423232595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106.265147868752</v>
      </c>
      <c r="K102">
        <v>0.82872608317530305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106.814359876675</v>
      </c>
      <c r="K103">
        <v>0.82467856051641997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106.98090799990401</v>
      </c>
      <c r="K104">
        <v>0.82446537246885199</v>
      </c>
      <c r="L104">
        <v>78.730262499999995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107.766757407466</v>
      </c>
      <c r="K105">
        <v>0.83105875414883501</v>
      </c>
      <c r="L105">
        <v>78.4577861538462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108.19810850632</v>
      </c>
      <c r="K106">
        <v>0.84333593957728503</v>
      </c>
      <c r="L106">
        <v>75.796048484848498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108.318991472829</v>
      </c>
      <c r="K107">
        <v>0.82843226110685597</v>
      </c>
      <c r="L107">
        <v>79.404298484848496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108.79679868818199</v>
      </c>
      <c r="K108">
        <v>0.82376799530747102</v>
      </c>
      <c r="L108">
        <v>79.231909230769205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108.415793324661</v>
      </c>
      <c r="K109">
        <v>0.81302965278783501</v>
      </c>
      <c r="L109">
        <v>77.417078461538495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108.82544885943599</v>
      </c>
      <c r="K110">
        <v>0.81523673020943999</v>
      </c>
      <c r="L110">
        <v>77.453536363636402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108.893724648207</v>
      </c>
      <c r="K111">
        <v>0.82770637555197202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109.515175960547</v>
      </c>
      <c r="K112">
        <v>0.81997916491071399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110.604271320991</v>
      </c>
      <c r="K113">
        <v>0.82659569796815602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111.81405765568</v>
      </c>
      <c r="K114">
        <v>0.85503420500566196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114.239606956175</v>
      </c>
      <c r="K115">
        <v>0.89904007625108595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116.39587618372001</v>
      </c>
      <c r="K116">
        <v>0.93243291258427596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120.690982932818</v>
      </c>
      <c r="K117">
        <v>0.989797540107896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122.995720387056</v>
      </c>
      <c r="K118">
        <v>1.0549677290056301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126.53094211134</v>
      </c>
      <c r="K119">
        <v>1.0246932577811401</v>
      </c>
      <c r="L119">
        <v>78.037909230769202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128.30121552973901</v>
      </c>
      <c r="K120">
        <v>1.0320465524202</v>
      </c>
      <c r="L120">
        <v>78.1068492307692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130.81230059023801</v>
      </c>
      <c r="K121">
        <v>1.01388437469958</v>
      </c>
      <c r="L121">
        <v>80.384953846153806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131.230446196217</v>
      </c>
      <c r="K122">
        <v>1.00327508868077</v>
      </c>
      <c r="L122">
        <v>82.125763076923107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131.828898206801</v>
      </c>
      <c r="K123">
        <v>1.01727074723556</v>
      </c>
      <c r="L123">
        <v>81.116464615384601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132.897129135722</v>
      </c>
      <c r="K124">
        <v>1.0134562741763</v>
      </c>
      <c r="L124">
        <v>82.494893846153801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133.52096255947399</v>
      </c>
      <c r="K125">
        <v>1.0195737026551699</v>
      </c>
      <c r="L125">
        <v>82.864006153846105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133.896288900988</v>
      </c>
      <c r="K126">
        <v>1.0089332731199601</v>
      </c>
      <c r="L126">
        <v>84.227827272727296</v>
      </c>
      <c r="M126" s="16">
        <f>+'[3]VAR expectations'!C150</f>
        <v>2.9717312535901965</v>
      </c>
      <c r="N126">
        <v>-0.96369939332577004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134.93947062845999</v>
      </c>
      <c r="K127">
        <v>0.99721960665615905</v>
      </c>
      <c r="L127">
        <v>84.813608049661099</v>
      </c>
      <c r="M127" s="16">
        <f>+'[3]VAR expectations'!C151</f>
        <v>3.468785277541127</v>
      </c>
      <c r="N127">
        <v>-0.558263788011643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136.15764019791601</v>
      </c>
      <c r="K128">
        <v>0.98288709778728001</v>
      </c>
      <c r="L128">
        <v>84.629414119597598</v>
      </c>
      <c r="M128" s="16">
        <f>+'[3]VAR expectations'!C152</f>
        <v>3.8021957884789486</v>
      </c>
      <c r="N128">
        <v>-0.48770340107725202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136.95570967615299</v>
      </c>
      <c r="K129">
        <v>0.97346364857033996</v>
      </c>
      <c r="L129">
        <v>84.495804010471403</v>
      </c>
      <c r="M129" s="16">
        <f>+'[3]VAR expectations'!C153</f>
        <v>4.011042611251681</v>
      </c>
      <c r="N129">
        <v>-0.154281053360626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137.58279427168</v>
      </c>
      <c r="K130">
        <v>0.96851622719917996</v>
      </c>
      <c r="L130">
        <v>84.362483845394493</v>
      </c>
      <c r="M130" s="16">
        <f>+'[3]VAR expectations'!C154</f>
        <v>3.9691108090385026</v>
      </c>
      <c r="N130">
        <v>0.194247825726828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138.62526898949</v>
      </c>
      <c r="K131">
        <v>0.96461534145556305</v>
      </c>
      <c r="L131">
        <v>84.229895615562697</v>
      </c>
      <c r="M131" s="16">
        <f>+'[3]VAR expectations'!C155</f>
        <v>3.8470567349792795</v>
      </c>
      <c r="N131">
        <v>1.31990392591611E-2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139.67130572522899</v>
      </c>
      <c r="K132">
        <v>0.960789101050187</v>
      </c>
      <c r="L132">
        <v>84.096316806071599</v>
      </c>
      <c r="M132" s="16">
        <f>+'[3]VAR expectations'!C156</f>
        <v>4.1639091291217634</v>
      </c>
      <c r="N132">
        <v>-0.14423854931397601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140.22588631510899</v>
      </c>
      <c r="K133">
        <v>0.95755322486989103</v>
      </c>
      <c r="L133">
        <v>83.962165308414498</v>
      </c>
      <c r="M133" s="16">
        <f>+'[3]VAR expectations'!C157</f>
        <v>5.4104651194166893</v>
      </c>
      <c r="N133">
        <v>8.9978168640003596E-3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140.786023023621</v>
      </c>
      <c r="K134">
        <v>0.956279095982567</v>
      </c>
      <c r="L134">
        <v>83.8294335301171</v>
      </c>
      <c r="M134" s="16">
        <f>+'[3]VAR expectations'!C158</f>
        <v>4.9139696600199789</v>
      </c>
      <c r="N134">
        <v>2.9277194731777201E-2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141.67095946911499</v>
      </c>
      <c r="K135">
        <v>0.95572730989276</v>
      </c>
      <c r="L135">
        <v>83.699831857134299</v>
      </c>
      <c r="M135" s="16">
        <f>+'[3]VAR expectations'!C159</f>
        <v>4.0011512098701685</v>
      </c>
      <c r="N135">
        <v>1.0941237690847301E-2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142.604089110118</v>
      </c>
      <c r="K136">
        <v>0.95538223682193302</v>
      </c>
      <c r="L136">
        <v>83.574032605491993</v>
      </c>
      <c r="M136" s="16">
        <f>+'[3]VAR expectations'!C160</f>
        <v>3.3715300668176842</v>
      </c>
      <c r="N136">
        <v>1.0507716041599899E-2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142.90556782414899</v>
      </c>
      <c r="K137">
        <v>0.95502404891060899</v>
      </c>
      <c r="L137">
        <v>83.452219164378505</v>
      </c>
      <c r="M137" s="16">
        <f>+'[3]VAR expectations'!C161</f>
        <v>2.9319715449134089</v>
      </c>
      <c r="N137">
        <v>-7.9647385910313506E-2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143.44502559908301</v>
      </c>
      <c r="K138">
        <v>0.95441002948701004</v>
      </c>
      <c r="L138">
        <v>83.334466846048002</v>
      </c>
      <c r="M138" s="16">
        <f>+'[3]VAR expectations'!C162</f>
        <v>2.624058833894372</v>
      </c>
      <c r="N138">
        <v>-5.13227888058908E-2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144.291544950804</v>
      </c>
      <c r="K139">
        <v>0.95383425575049496</v>
      </c>
      <c r="L139">
        <v>83.220670599246802</v>
      </c>
      <c r="M139" s="16">
        <f>+'[3]VAR expectations'!C163</f>
        <v>2.4687156565697737</v>
      </c>
      <c r="N139">
        <v>-7.9190000745021305E-2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M140" s="16">
        <f>+'[3]VAR expectations'!C164</f>
        <v>2.4272584547421974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0590-E1C0-4593-BA39-033C3A2E3CB3}">
  <dimension ref="A1:V172"/>
  <sheetViews>
    <sheetView topLeftCell="A112"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111</v>
      </c>
      <c r="I3" s="1" t="s">
        <v>7</v>
      </c>
      <c r="J3" s="2" t="s">
        <v>5</v>
      </c>
      <c r="K3" s="2"/>
      <c r="L3" t="s">
        <v>111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conv2qa(X12(F25_stifidx_fin.m,MULT,1996m1,2029m12))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conv2qa(X12(F25_stif_srv_fin.m,MULT,1996m1,2029m12))</v>
      </c>
      <c r="D10" s="12" t="str">
        <f t="shared" si="0"/>
        <v>conv2qa(X12(F25_stif_gds_xeatfnab_fin.m,MULT,1996m1,2029m12))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conv2qa(X12(F25_stif_fnab_fin.m,MULT,1996m1,2029m12))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conv2qa(X12(F25_stif_pu_fin.m,MULT,1996m1,2029m3))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68.291668825013403</v>
      </c>
      <c r="K12">
        <f>[2]!FAMEData($L$5&amp;$L$3&amp;K9&amp;$L$4, $I$3, $I$4, 0,"Quarterly", "Down", "No Heading", "Normal")</f>
        <v>0.71982449635397405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0.13372854541610901</v>
      </c>
      <c r="O12">
        <f>[2]!FAMEData($L$5&amp;$L$3&amp;O9&amp;$L$4, $I$3, $I$4, 0,"Quarterly", "Down", "No Heading", "Normal")</f>
        <v>0.20789577611610899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68.743762162146396</v>
      </c>
      <c r="K13">
        <v>0.72027305921574902</v>
      </c>
      <c r="L13">
        <v>81.882196923076904</v>
      </c>
      <c r="M13" s="16">
        <f>+'[3]VAR expectations'!C37</f>
        <v>2.6154884948264598</v>
      </c>
      <c r="N13">
        <v>-0.23536878773172701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68.996227500213394</v>
      </c>
      <c r="K14">
        <v>0.704611295999234</v>
      </c>
      <c r="L14">
        <v>82.869486363636398</v>
      </c>
      <c r="M14" s="16">
        <f>+'[3]VAR expectations'!C38</f>
        <v>2.6428562485995646</v>
      </c>
      <c r="N14">
        <v>0.25495721092451001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69.279251504424195</v>
      </c>
      <c r="K15">
        <v>0.69546448918473103</v>
      </c>
      <c r="L15">
        <v>88.333556060606099</v>
      </c>
      <c r="M15" s="16">
        <f>+'[3]VAR expectations'!C39</f>
        <v>2.8292929206876933</v>
      </c>
      <c r="N15">
        <v>-7.64182457918334E-2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69.6078343654885</v>
      </c>
      <c r="K16">
        <v>0.67245396810892299</v>
      </c>
      <c r="L16">
        <v>92.820320312500002</v>
      </c>
      <c r="M16" s="16">
        <f>+'[3]VAR expectations'!C40</f>
        <v>2.782809710824401</v>
      </c>
      <c r="N16">
        <v>-0.33645778939667198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69.841257107063797</v>
      </c>
      <c r="K17">
        <v>0.658342915410149</v>
      </c>
      <c r="L17">
        <v>95.131486153846197</v>
      </c>
      <c r="M17" s="16">
        <f>+'[3]VAR expectations'!C41</f>
        <v>2.9050115480316223</v>
      </c>
      <c r="N17">
        <v>-0.25493658135413899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70.330892659527606</v>
      </c>
      <c r="K18">
        <v>0.65392958085931496</v>
      </c>
      <c r="L18">
        <v>97.471460606060603</v>
      </c>
      <c r="M18" s="16">
        <f>+'[3]VAR expectations'!C42</f>
        <v>3.1797827097537499</v>
      </c>
      <c r="N18">
        <v>6.0905481826873997E-2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70.553234761940601</v>
      </c>
      <c r="K19">
        <v>0.65336658354114696</v>
      </c>
      <c r="L19">
        <v>98.626171212121207</v>
      </c>
      <c r="M19" s="16">
        <f>+'[3]VAR expectations'!C43</f>
        <v>3.4444390840252752</v>
      </c>
      <c r="N19">
        <v>-0.25455559339067801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70.707690288178796</v>
      </c>
      <c r="K20">
        <v>0.64381232528059396</v>
      </c>
      <c r="L20">
        <v>100.6106328125</v>
      </c>
      <c r="M20" s="16">
        <f>+'[3]VAR expectations'!C44</f>
        <v>3.2371139634797124</v>
      </c>
      <c r="N20">
        <v>-0.47523716940267902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71.126513447044601</v>
      </c>
      <c r="K21">
        <v>0.63430889006644098</v>
      </c>
      <c r="L21">
        <v>100.512433846154</v>
      </c>
      <c r="M21" s="16">
        <f>+'[3]VAR expectations'!C45</f>
        <v>3.3504016664521434</v>
      </c>
      <c r="N21">
        <v>-0.19612705905508401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71.308148711158594</v>
      </c>
      <c r="K22">
        <v>0.62982939021675299</v>
      </c>
      <c r="L22">
        <v>100.14717121212099</v>
      </c>
      <c r="M22" s="16">
        <f>+'[3]VAR expectations'!C46</f>
        <v>3.4355092923982902</v>
      </c>
      <c r="N22">
        <v>7.3981667793561995E-2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71.555523482852394</v>
      </c>
      <c r="K23">
        <v>0.63229951935239104</v>
      </c>
      <c r="L23">
        <v>97.166321212121204</v>
      </c>
      <c r="M23" s="16">
        <f>+'[3]VAR expectations'!C47</f>
        <v>3.0318466606958814</v>
      </c>
      <c r="N23">
        <v>-0.51878048276669997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71.8123774025145</v>
      </c>
      <c r="K24">
        <v>0.62982900352708404</v>
      </c>
      <c r="L24">
        <v>97.283789062500006</v>
      </c>
      <c r="M24" s="16">
        <f>+'[3]VAR expectations'!C48</f>
        <v>2.9135124750770758</v>
      </c>
      <c r="N24">
        <v>0.453654979964766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72.1216734782369</v>
      </c>
      <c r="K25">
        <v>0.62571857921866703</v>
      </c>
      <c r="L25">
        <v>99.140043076923106</v>
      </c>
      <c r="M25" s="16">
        <f>+'[3]VAR expectations'!C49</f>
        <v>2.7839723709682413</v>
      </c>
      <c r="N25">
        <v>0.41308538846995402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72.178577439252194</v>
      </c>
      <c r="K26">
        <v>0.62744633608854405</v>
      </c>
      <c r="L26">
        <v>98.754672727272705</v>
      </c>
      <c r="M26" s="16">
        <f>+'[3]VAR expectations'!C50</f>
        <v>2.5771344994295728</v>
      </c>
      <c r="N26">
        <v>0.596601399046088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72.369583045715103</v>
      </c>
      <c r="K27">
        <v>0.628879165488197</v>
      </c>
      <c r="L27">
        <v>100.634428787879</v>
      </c>
      <c r="M27" s="16">
        <f>+'[3]VAR expectations'!C51</f>
        <v>2.6427151941363944</v>
      </c>
      <c r="N27">
        <v>0.18121154448103199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72.387032791443502</v>
      </c>
      <c r="K28">
        <v>0.63496423654172396</v>
      </c>
      <c r="L28">
        <v>102.291083076923</v>
      </c>
      <c r="M28" s="16">
        <f>+'[3]VAR expectations'!C52</f>
        <v>2.5107508450090452</v>
      </c>
      <c r="N28">
        <v>1.8103833082413999E-2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72.576471412146603</v>
      </c>
      <c r="K29">
        <v>0.63548425849859203</v>
      </c>
      <c r="L29">
        <v>101.013821538462</v>
      </c>
      <c r="M29" s="16">
        <f>+'[3]VAR expectations'!C53</f>
        <v>2.480790509902373</v>
      </c>
      <c r="N29">
        <v>-9.9815570650635E-3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72.758463406983594</v>
      </c>
      <c r="K30">
        <v>0.64916170071338097</v>
      </c>
      <c r="L30">
        <v>99.456144615384602</v>
      </c>
      <c r="M30" s="16">
        <f>+'[3]VAR expectations'!C54</f>
        <v>2.4571125053402318</v>
      </c>
      <c r="N30">
        <v>0.246908981275517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73.060657908277705</v>
      </c>
      <c r="K31">
        <v>0.64840352087451603</v>
      </c>
      <c r="L31">
        <v>100.229946153846</v>
      </c>
      <c r="M31" s="16">
        <f>+'[3]VAR expectations'!C55</f>
        <v>2.4793436532788289</v>
      </c>
      <c r="N31">
        <v>-9.0557620162865102E-2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73.010134874556201</v>
      </c>
      <c r="K32">
        <v>0.64909645815575601</v>
      </c>
      <c r="L32">
        <v>98.163178461538493</v>
      </c>
      <c r="M32" s="16">
        <f>+'[3]VAR expectations'!C56</f>
        <v>2.2606623386544604</v>
      </c>
      <c r="N32">
        <v>-0.30174521023107598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73.683329119477705</v>
      </c>
      <c r="K33">
        <v>0.64465605564276696</v>
      </c>
      <c r="L33">
        <v>99.237372307692297</v>
      </c>
      <c r="M33" s="16">
        <f>+'[3]VAR expectations'!C57</f>
        <v>2.2219944984907083</v>
      </c>
      <c r="N33">
        <v>7.0111456204636005E-2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73.868491233165003</v>
      </c>
      <c r="K34">
        <v>0.63552659085590302</v>
      </c>
      <c r="L34">
        <v>99.239315384615395</v>
      </c>
      <c r="M34" s="16">
        <f>+'[3]VAR expectations'!C58</f>
        <v>2.3621300730309192</v>
      </c>
      <c r="N34">
        <v>-0.219572656317782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73.8080293738048</v>
      </c>
      <c r="K35">
        <v>0.62682732713061395</v>
      </c>
      <c r="L35">
        <v>99.639537878787905</v>
      </c>
      <c r="M35" s="16">
        <f>+'[3]VAR expectations'!C59</f>
        <v>2.1718892232885554</v>
      </c>
      <c r="N35">
        <v>-0.476245450515413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74.136203183481499</v>
      </c>
      <c r="K36">
        <v>0.62476284325203701</v>
      </c>
      <c r="L36">
        <v>100.22180625</v>
      </c>
      <c r="M36" s="16">
        <f>+'[3]VAR expectations'!C60</f>
        <v>2.2636382290406152</v>
      </c>
      <c r="N36">
        <v>0.107394469558596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74.384985435127902</v>
      </c>
      <c r="K37">
        <v>0.62706418971656097</v>
      </c>
      <c r="L37">
        <v>99.283556923076901</v>
      </c>
      <c r="M37" s="16">
        <f>+'[3]VAR expectations'!C61</f>
        <v>2.420078349479549</v>
      </c>
      <c r="N37">
        <v>0.19167168196085299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74.622625968902398</v>
      </c>
      <c r="K38">
        <v>0.62480056012011398</v>
      </c>
      <c r="L38">
        <v>100.497328787879</v>
      </c>
      <c r="M38" s="16">
        <f>+'[3]VAR expectations'!C62</f>
        <v>2.3348466240519783</v>
      </c>
      <c r="N38">
        <v>-5.2049085292052398E-2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74.935702766594403</v>
      </c>
      <c r="K39">
        <v>0.62277821927588894</v>
      </c>
      <c r="L39">
        <v>101.02483030303</v>
      </c>
      <c r="M39" s="16">
        <f>+'[3]VAR expectations'!C63</f>
        <v>2.329046618617225</v>
      </c>
      <c r="N39">
        <v>-0.10989672100029001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75.222425024331002</v>
      </c>
      <c r="K40">
        <v>0.63544061412391895</v>
      </c>
      <c r="L40">
        <v>98.401371874999995</v>
      </c>
      <c r="M40" s="16">
        <f>+'[3]VAR expectations'!C64</f>
        <v>2.5421835321638784</v>
      </c>
      <c r="N40">
        <v>4.4461081233357999E-2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75.346345849726006</v>
      </c>
      <c r="K41">
        <v>0.63124721802930694</v>
      </c>
      <c r="L41">
        <v>95.764499999999998</v>
      </c>
      <c r="M41" s="16">
        <f>+'[3]VAR expectations'!C65</f>
        <v>2.3887461732171329</v>
      </c>
      <c r="N41">
        <v>-0.10760320873382299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75.644267203345706</v>
      </c>
      <c r="K42">
        <v>0.63521138997049398</v>
      </c>
      <c r="L42">
        <v>95.544218181818195</v>
      </c>
      <c r="M42" s="16">
        <f>+'[3]VAR expectations'!C66</f>
        <v>2.197575219813666</v>
      </c>
      <c r="N42">
        <v>-6.9771322688452403E-2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75.921693955757405</v>
      </c>
      <c r="K43">
        <v>0.63050936560290005</v>
      </c>
      <c r="L43">
        <v>97.264069696969699</v>
      </c>
      <c r="M43" s="16">
        <f>+'[3]VAR expectations'!C67</f>
        <v>2.507260502799705</v>
      </c>
      <c r="N43">
        <v>-3.3100554934057301E-2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76.169552702573995</v>
      </c>
      <c r="K44">
        <v>0.62452206938993704</v>
      </c>
      <c r="L44">
        <v>101.570772307692</v>
      </c>
      <c r="M44" s="16">
        <f>+'[3]VAR expectations'!C68</f>
        <v>2.5370974361013499</v>
      </c>
      <c r="N44">
        <v>-3.6597991744806001E-3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76.4127360639079</v>
      </c>
      <c r="K45">
        <v>0.62533471852521905</v>
      </c>
      <c r="L45">
        <v>102.354193846154</v>
      </c>
      <c r="M45" s="16">
        <f>+'[3]VAR expectations'!C69</f>
        <v>2.6184554615948845</v>
      </c>
      <c r="N45">
        <v>0.123846023887315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76.593117304962306</v>
      </c>
      <c r="K46">
        <v>0.62608242577351603</v>
      </c>
      <c r="L46">
        <v>102.09841969697</v>
      </c>
      <c r="M46" s="16">
        <f>+'[3]VAR expectations'!C70</f>
        <v>2.5768443943169923</v>
      </c>
      <c r="N46">
        <v>-1.7196479461776201E-2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77.013261661305094</v>
      </c>
      <c r="K47">
        <v>0.63653524783139104</v>
      </c>
      <c r="L47">
        <v>100.312145454545</v>
      </c>
      <c r="M47" s="16">
        <f>+'[3]VAR expectations'!C71</f>
        <v>2.4054948631666009</v>
      </c>
      <c r="N47">
        <v>0.12601811073305499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77.4835605576191</v>
      </c>
      <c r="K48">
        <v>0.63627996722981495</v>
      </c>
      <c r="L48">
        <v>100.67795468750001</v>
      </c>
      <c r="M48" s="16">
        <f>+'[3]VAR expectations'!C72</f>
        <v>2.3903185646503933</v>
      </c>
      <c r="N48">
        <v>-2.56431154689747E-2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77.920531564470096</v>
      </c>
      <c r="K49">
        <v>0.63486613605504305</v>
      </c>
      <c r="L49">
        <v>101.57767076923101</v>
      </c>
      <c r="M49" s="16">
        <f>+'[3]VAR expectations'!C73</f>
        <v>2.2621936183541234</v>
      </c>
      <c r="N49">
        <v>0.129898398777542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78.425906672633303</v>
      </c>
      <c r="K50">
        <v>0.65241229516620303</v>
      </c>
      <c r="L50">
        <v>99.734880303030295</v>
      </c>
      <c r="M50" s="16">
        <f>+'[3]VAR expectations'!C74</f>
        <v>2.2761535969954032</v>
      </c>
      <c r="N50">
        <v>0.16817704362298699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78.649909557667399</v>
      </c>
      <c r="K51">
        <v>0.65446219885289902</v>
      </c>
      <c r="L51">
        <v>99.510515384615402</v>
      </c>
      <c r="M51" s="16">
        <f>+'[3]VAR expectations'!C75</f>
        <v>2.3383760137173226</v>
      </c>
      <c r="N51">
        <v>7.5868803792979E-2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78.987937170275103</v>
      </c>
      <c r="K52">
        <v>0.66091908724602799</v>
      </c>
      <c r="L52">
        <v>98.760283076923102</v>
      </c>
      <c r="M52" s="16">
        <f>+'[3]VAR expectations'!C76</f>
        <v>2.4666666666666477</v>
      </c>
      <c r="N52">
        <v>1.9745555074244799E-2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79.683027904218903</v>
      </c>
      <c r="K53">
        <v>0.66091000873885497</v>
      </c>
      <c r="L53">
        <v>100.279141538462</v>
      </c>
      <c r="M53" s="16">
        <f>+'[3]VAR expectations'!C77</f>
        <v>2.4000000000000123</v>
      </c>
      <c r="N53">
        <v>0.50896991166387096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80.310650551705393</v>
      </c>
      <c r="K54">
        <v>0.65793897350294706</v>
      </c>
      <c r="L54">
        <v>102.332647692308</v>
      </c>
      <c r="M54" s="16">
        <f>+'[3]VAR expectations'!C78</f>
        <v>2.2999999999999843</v>
      </c>
      <c r="N54">
        <v>0.13162346630496899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80.772926685114896</v>
      </c>
      <c r="K55">
        <v>0.65250611822025395</v>
      </c>
      <c r="L55">
        <v>103.713430769231</v>
      </c>
      <c r="M55" s="16">
        <f>+'[3]VAR expectations'!C79</f>
        <v>2.4333333333333633</v>
      </c>
      <c r="N55">
        <v>-0.15509984702003299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81.261101947310394</v>
      </c>
      <c r="K56">
        <v>0.64120008324831701</v>
      </c>
      <c r="L56">
        <v>104.730033846154</v>
      </c>
      <c r="M56" s="16">
        <f>+'[3]VAR expectations'!C80</f>
        <v>2.5333333333333421</v>
      </c>
      <c r="N56">
        <v>3.5987723627972999E-2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81.723611069312398</v>
      </c>
      <c r="K57">
        <v>0.65071749491976905</v>
      </c>
      <c r="L57">
        <v>104.239373846154</v>
      </c>
      <c r="M57" s="16">
        <f>+'[3]VAR expectations'!C81</f>
        <v>2.4666666666666814</v>
      </c>
      <c r="N57">
        <v>6.6184461275220999E-2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81.738467516625803</v>
      </c>
      <c r="K58">
        <v>0.65423212547982301</v>
      </c>
      <c r="L58">
        <v>104.41271846153801</v>
      </c>
      <c r="M58" s="16">
        <f>+'[3]VAR expectations'!C82</f>
        <v>2.4999999999999987</v>
      </c>
      <c r="N58">
        <v>-0.192497890304971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82.461793025689204</v>
      </c>
      <c r="K59">
        <v>0.67024506683642904</v>
      </c>
      <c r="L59">
        <v>101.594292424242</v>
      </c>
      <c r="M59" s="16">
        <f>+'[3]VAR expectations'!C83</f>
        <v>2.6999999999999864</v>
      </c>
      <c r="N59">
        <v>0.13309313785822299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83.209967001007399</v>
      </c>
      <c r="K60">
        <v>0.69296241200498199</v>
      </c>
      <c r="L60">
        <v>95.934953846153803</v>
      </c>
      <c r="M60" s="16">
        <f>+'[3]VAR expectations'!C84</f>
        <v>3.3233333333333448</v>
      </c>
      <c r="N60">
        <v>0.39150622289179698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84.478814549691194</v>
      </c>
      <c r="K61">
        <v>0.72645325089660395</v>
      </c>
      <c r="L61">
        <v>93.071035384615399</v>
      </c>
      <c r="M61" s="16">
        <f>+'[3]VAR expectations'!C85</f>
        <v>4.1266666666667335</v>
      </c>
      <c r="N61">
        <v>0.50332771589596204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85.642106492376598</v>
      </c>
      <c r="K62">
        <v>0.74434298026276902</v>
      </c>
      <c r="L62">
        <v>91.695078787878799</v>
      </c>
      <c r="M62" s="16">
        <f>+'[3]VAR expectations'!C86</f>
        <v>4.3404589371979831</v>
      </c>
      <c r="N62">
        <v>0.34061234776817101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85.642642609031896</v>
      </c>
      <c r="K63">
        <v>0.73715014401478896</v>
      </c>
      <c r="L63">
        <v>83.942380303030305</v>
      </c>
      <c r="M63" s="16">
        <f>+'[3]VAR expectations'!C87</f>
        <v>1.5441543026706288</v>
      </c>
      <c r="N63">
        <v>-0.330886647857428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85.711492574024106</v>
      </c>
      <c r="K64">
        <v>0.74048679134173201</v>
      </c>
      <c r="L64">
        <v>77.790968750000005</v>
      </c>
      <c r="M64" s="16">
        <f>+'[3]VAR expectations'!C88</f>
        <v>1.4821164021163924</v>
      </c>
      <c r="N64">
        <v>-0.40031537387173599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86.237092457040106</v>
      </c>
      <c r="K65">
        <v>0.72428991015393396</v>
      </c>
      <c r="L65">
        <v>81.3092738461538</v>
      </c>
      <c r="M65" s="16">
        <f>+'[3]VAR expectations'!C89</f>
        <v>1.8160783232406086</v>
      </c>
      <c r="N65">
        <v>-8.9648191301250103E-3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86.917150600452104</v>
      </c>
      <c r="K66">
        <v>0.72110977526947995</v>
      </c>
      <c r="L66">
        <v>82.911893939393906</v>
      </c>
      <c r="M66" s="16">
        <f>+'[3]VAR expectations'!C90</f>
        <v>1.8710162025955688</v>
      </c>
      <c r="N66">
        <v>0.10719637667922501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87.4493209434481</v>
      </c>
      <c r="K67">
        <v>0.73402521386714703</v>
      </c>
      <c r="L67">
        <v>80.353062121212105</v>
      </c>
      <c r="M67" s="16">
        <f>+'[3]VAR expectations'!C91</f>
        <v>2.0075486250838721</v>
      </c>
      <c r="N67">
        <v>6.0286186011534001E-2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88.500801064420997</v>
      </c>
      <c r="K68">
        <v>0.74071209632276902</v>
      </c>
      <c r="L68">
        <v>79.543812500000001</v>
      </c>
      <c r="M68" s="16">
        <f>+'[3]VAR expectations'!C92</f>
        <v>2.301390043398611</v>
      </c>
      <c r="N68">
        <v>0.113459520601719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89.214831489878904</v>
      </c>
      <c r="K69">
        <v>0.75220901159416698</v>
      </c>
      <c r="L69">
        <v>79.899689230769198</v>
      </c>
      <c r="M69" s="16">
        <f>+'[3]VAR expectations'!C93</f>
        <v>2.6505886564059562</v>
      </c>
      <c r="N69">
        <v>8.3997445272187998E-2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89.605653577519405</v>
      </c>
      <c r="K70">
        <v>0.74996855794348305</v>
      </c>
      <c r="L70">
        <v>81.7654454545455</v>
      </c>
      <c r="M70" s="16">
        <f>+'[3]VAR expectations'!C94</f>
        <v>2.8352346264846378</v>
      </c>
      <c r="N70">
        <v>-0.20118118393713599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90.401174536794699</v>
      </c>
      <c r="K71">
        <v>0.76582631113469501</v>
      </c>
      <c r="L71">
        <v>80.312759090909097</v>
      </c>
      <c r="M71" s="16">
        <f>+'[3]VAR expectations'!C95</f>
        <v>3.2715136112828467</v>
      </c>
      <c r="N71">
        <v>0.12045729937871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92.119634337528296</v>
      </c>
      <c r="K72">
        <v>0.78215412173038701</v>
      </c>
      <c r="L72">
        <v>80.801396874999995</v>
      </c>
      <c r="M72" s="16">
        <f>+'[3]VAR expectations'!C96</f>
        <v>3.5419702495573993</v>
      </c>
      <c r="N72">
        <v>0.48590279039159701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93.117980733893603</v>
      </c>
      <c r="K73">
        <v>0.80092941699513398</v>
      </c>
      <c r="L73">
        <v>79.449792307692306</v>
      </c>
      <c r="M73" s="16">
        <f>+'[3]VAR expectations'!C97</f>
        <v>3.375212504142874</v>
      </c>
      <c r="N73">
        <v>0.15802561969294401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93.836960575227906</v>
      </c>
      <c r="K74">
        <v>0.81113157519398005</v>
      </c>
      <c r="L74">
        <v>79.238960606060601</v>
      </c>
      <c r="M74" s="16">
        <f>+'[3]VAR expectations'!C98</f>
        <v>3.4898805472145966</v>
      </c>
      <c r="N74">
        <v>8.0707843504520996E-2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94.592241978636096</v>
      </c>
      <c r="K75">
        <v>0.80216568317818704</v>
      </c>
      <c r="L75">
        <v>80.333807692307701</v>
      </c>
      <c r="M75" s="16">
        <f>+'[3]VAR expectations'!C99</f>
        <v>3.2213697643305159</v>
      </c>
      <c r="N75">
        <v>0.30719528953493203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95.306861307888099</v>
      </c>
      <c r="K76">
        <v>0.79835418708710004</v>
      </c>
      <c r="L76">
        <v>81.185307692307703</v>
      </c>
      <c r="M76" s="16">
        <f>+'[3]VAR expectations'!C100</f>
        <v>2.6732813585155433</v>
      </c>
      <c r="N76">
        <v>-1.7993954083179501E-2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95.6961338865122</v>
      </c>
      <c r="K77">
        <v>0.78803170707853898</v>
      </c>
      <c r="L77">
        <v>83.181383076923098</v>
      </c>
      <c r="M77" s="16">
        <f>+'[3]VAR expectations'!C101</f>
        <v>2.7328072825683152</v>
      </c>
      <c r="N77">
        <v>-0.117803824131139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96.116384333041793</v>
      </c>
      <c r="K78">
        <v>0.78634969678226596</v>
      </c>
      <c r="L78">
        <v>84.087635384615396</v>
      </c>
      <c r="M78" s="16">
        <f>+'[3]VAR expectations'!C102</f>
        <v>2.6338769922366603</v>
      </c>
      <c r="N78">
        <v>-0.14476976560714899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97.112720884945304</v>
      </c>
      <c r="K79">
        <v>0.78628976005266804</v>
      </c>
      <c r="L79">
        <v>83.635050000000007</v>
      </c>
      <c r="M79" s="16">
        <f>+'[3]VAR expectations'!C103</f>
        <v>2.8395493192289751</v>
      </c>
      <c r="N79">
        <v>9.5853208781249005E-2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97.939333014318194</v>
      </c>
      <c r="K80">
        <v>0.80702535396044905</v>
      </c>
      <c r="L80">
        <v>80.442884375000006</v>
      </c>
      <c r="M80" s="16">
        <f>+'[3]VAR expectations'!C104</f>
        <v>2.7984394444998073</v>
      </c>
      <c r="N80">
        <v>0.167292821775615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98.271548022740802</v>
      </c>
      <c r="K81">
        <v>0.80061988410660201</v>
      </c>
      <c r="L81">
        <v>80.515092307692299</v>
      </c>
      <c r="M81" s="16">
        <f>+'[3]VAR expectations'!C105</f>
        <v>2.5464188172083313</v>
      </c>
      <c r="N81">
        <v>-0.120433532199784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98.725241252686601</v>
      </c>
      <c r="K82">
        <v>0.80020429606267296</v>
      </c>
      <c r="L82">
        <v>81.208398484848502</v>
      </c>
      <c r="M82" s="16">
        <f>+'[3]VAR expectations'!C106</f>
        <v>2.5748216030053293</v>
      </c>
      <c r="N82">
        <v>-2.39390806224513E-2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99.1467797733266</v>
      </c>
      <c r="K83">
        <v>0.78393808826123101</v>
      </c>
      <c r="L83">
        <v>83.550871212121194</v>
      </c>
      <c r="M83" s="16">
        <f>+'[3]VAR expectations'!C107</f>
        <v>2.8319255146371365</v>
      </c>
      <c r="N83">
        <v>-0.11363015150334201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99.636317472263599</v>
      </c>
      <c r="K84">
        <v>0.77500807653390702</v>
      </c>
      <c r="L84">
        <v>85.572229687499998</v>
      </c>
      <c r="M84" s="16">
        <f>+'[3]VAR expectations'!C108</f>
        <v>2.2293252935517471</v>
      </c>
      <c r="N84">
        <v>4.4786327834671E-2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99.975686954968793</v>
      </c>
      <c r="K85">
        <v>0.77065630898198501</v>
      </c>
      <c r="L85">
        <v>86.910458461538497</v>
      </c>
      <c r="M85" s="16">
        <f>+'[3]VAR expectations'!C109</f>
        <v>2.056924231171823</v>
      </c>
      <c r="N85">
        <v>-0.11320662613308299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100.153671958708</v>
      </c>
      <c r="K86">
        <v>0.75998496996257003</v>
      </c>
      <c r="L86">
        <v>88.037404545454606</v>
      </c>
      <c r="M86" s="16">
        <f>+'[3]VAR expectations'!C110</f>
        <v>2.1248729237613553</v>
      </c>
      <c r="N86">
        <v>-9.1782082846566596E-2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100.072912174962</v>
      </c>
      <c r="K87">
        <v>0.75127142152237703</v>
      </c>
      <c r="L87">
        <v>87.311537878787902</v>
      </c>
      <c r="M87" s="16">
        <f>+'[3]VAR expectations'!C111</f>
        <v>1.7035599242558022</v>
      </c>
      <c r="N87">
        <v>-0.284908450058592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99.737833423408404</v>
      </c>
      <c r="K88">
        <v>0.73099702131507505</v>
      </c>
      <c r="L88">
        <v>89.392121875000001</v>
      </c>
      <c r="M88" s="16">
        <f>+'[3]VAR expectations'!C112</f>
        <v>1.1817637648378063</v>
      </c>
      <c r="N88">
        <v>-0.46706918583478702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99.968729075332206</v>
      </c>
      <c r="K89">
        <v>0.726376257800047</v>
      </c>
      <c r="L89">
        <v>91.205161538461496</v>
      </c>
      <c r="M89" s="16">
        <f>+'[3]VAR expectations'!C113</f>
        <v>1.1947961687177484</v>
      </c>
      <c r="N89">
        <v>3.8384020170732003E-2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100.14609407088901</v>
      </c>
      <c r="K90">
        <v>0.71661122800277499</v>
      </c>
      <c r="L90">
        <v>92.868804545454594</v>
      </c>
      <c r="M90" s="16">
        <f>+'[3]VAR expectations'!C114</f>
        <v>1.4668407504949574</v>
      </c>
      <c r="N90">
        <v>-0.19086165600438301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100.14734343037</v>
      </c>
      <c r="K91">
        <v>0.70785219429855795</v>
      </c>
      <c r="L91">
        <v>92.134557575757597</v>
      </c>
      <c r="M91" s="16">
        <f>+'[3]VAR expectations'!C115</f>
        <v>1.2905237090286479</v>
      </c>
      <c r="N91">
        <v>-0.29299711775222798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100.086378883487</v>
      </c>
      <c r="K92">
        <v>0.72234316086335104</v>
      </c>
      <c r="L92">
        <v>86.998107692307698</v>
      </c>
      <c r="M92" s="16">
        <f>+'[3]VAR expectations'!C116</f>
        <v>1.4081096049117914</v>
      </c>
      <c r="N92">
        <v>-0.270440912324174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100.330730039553</v>
      </c>
      <c r="K93">
        <v>0.73890891526929603</v>
      </c>
      <c r="L93">
        <v>85.581083076923093</v>
      </c>
      <c r="M93" s="16">
        <f>+'[3]VAR expectations'!C117</f>
        <v>1.5354544995855299</v>
      </c>
      <c r="N93">
        <v>9.0319045602597001E-2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100.85079847265401</v>
      </c>
      <c r="K94">
        <v>0.77072553054453496</v>
      </c>
      <c r="L94">
        <v>78.850371212121203</v>
      </c>
      <c r="M94" s="16">
        <f>+'[3]VAR expectations'!C118</f>
        <v>1.7661002699234809</v>
      </c>
      <c r="N94">
        <v>1.9027711311814799E-2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101.37228534082099</v>
      </c>
      <c r="K95">
        <v>0.788207537233098</v>
      </c>
      <c r="L95">
        <v>76.623536923076898</v>
      </c>
      <c r="M95" s="16">
        <f>+'[3]VAR expectations'!C119</f>
        <v>2.4293341619440096</v>
      </c>
      <c r="N95">
        <v>6.9933492011588994E-2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102.22725627040801</v>
      </c>
      <c r="K96">
        <v>0.798228893411986</v>
      </c>
      <c r="L96">
        <v>77.053801538461499</v>
      </c>
      <c r="M96" s="16">
        <f>+'[3]VAR expectations'!C120</f>
        <v>2.5776958521780435</v>
      </c>
      <c r="N96">
        <v>7.4166150646753998E-2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103.096945542566</v>
      </c>
      <c r="K97">
        <v>0.79550803385803104</v>
      </c>
      <c r="L97">
        <v>77.968176923076896</v>
      </c>
      <c r="M97" s="16">
        <f>+'[3]VAR expectations'!C121</f>
        <v>2.5814129404766706</v>
      </c>
      <c r="N97">
        <v>-7.0637343691615395E-2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103.67168355073601</v>
      </c>
      <c r="K98">
        <v>0.802661568707982</v>
      </c>
      <c r="L98">
        <v>76.548027692307699</v>
      </c>
      <c r="M98" s="16">
        <f>+'[3]VAR expectations'!C122</f>
        <v>2.5453003999512136</v>
      </c>
      <c r="N98">
        <v>-3.62008875478066E-2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104.44465408283099</v>
      </c>
      <c r="K99">
        <v>0.80846109130113097</v>
      </c>
      <c r="L99">
        <v>77.708216923076904</v>
      </c>
      <c r="M99" s="16">
        <f>+'[3]VAR expectations'!C123</f>
        <v>2.7170212072523583</v>
      </c>
      <c r="N99">
        <v>7.4935677734509001E-2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105.00412586352201</v>
      </c>
      <c r="K100">
        <v>0.811856855436904</v>
      </c>
      <c r="L100">
        <v>79.033741538461499</v>
      </c>
      <c r="M100" s="16">
        <f>+'[3]VAR expectations'!C124</f>
        <v>2.4396786818528224</v>
      </c>
      <c r="N100">
        <v>-1.96633274311734E-2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105.598902994669</v>
      </c>
      <c r="K101">
        <v>0.82016303423232595</v>
      </c>
      <c r="L101">
        <v>79.101027692307696</v>
      </c>
      <c r="M101" s="16">
        <f>+'[3]VAR expectations'!C125</f>
        <v>2.4860103785103598</v>
      </c>
      <c r="N101">
        <v>9.0203024034362006E-2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106.26539030187899</v>
      </c>
      <c r="K102">
        <v>0.82872608317530305</v>
      </c>
      <c r="L102">
        <v>77.813970769230806</v>
      </c>
      <c r="M102" s="16">
        <f>+'[3]VAR expectations'!C126</f>
        <v>2.6759360893479318</v>
      </c>
      <c r="N102">
        <v>0.145516925753987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106.81529079000001</v>
      </c>
      <c r="K103">
        <v>0.82467856051641997</v>
      </c>
      <c r="L103">
        <v>77.843365151515201</v>
      </c>
      <c r="M103" s="16">
        <f>+'[3]VAR expectations'!C127</f>
        <v>2.7140589507350836</v>
      </c>
      <c r="N103">
        <v>2.1797409982364499E-2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106.981224358573</v>
      </c>
      <c r="K104">
        <v>0.82446537246885199</v>
      </c>
      <c r="L104">
        <v>78.730262499999995</v>
      </c>
      <c r="M104" s="16">
        <f>+'[3]VAR expectations'!C128</f>
        <v>2.7331364493732195</v>
      </c>
      <c r="N104">
        <v>-0.39889522319681298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107.764418437091</v>
      </c>
      <c r="K105">
        <v>0.83105875414883501</v>
      </c>
      <c r="L105">
        <v>78.4577861538462</v>
      </c>
      <c r="M105" s="16">
        <f>+'[3]VAR expectations'!C129</f>
        <v>2.6212425518623172</v>
      </c>
      <c r="N105">
        <v>0.37602675200130897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108.19884884253401</v>
      </c>
      <c r="K106">
        <v>0.84333593957728503</v>
      </c>
      <c r="L106">
        <v>75.796048484848498</v>
      </c>
      <c r="M106" s="16">
        <f>+'[3]VAR expectations'!C130</f>
        <v>2.9781745842670815</v>
      </c>
      <c r="N106">
        <v>-8.2378865126797304E-2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108.320895309317</v>
      </c>
      <c r="K107">
        <v>0.82843226110685597</v>
      </c>
      <c r="L107">
        <v>79.404298484848496</v>
      </c>
      <c r="M107" s="16">
        <f>+'[3]VAR expectations'!C131</f>
        <v>2.5033196655575458</v>
      </c>
      <c r="N107">
        <v>-0.26741006536898199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108.79750692334299</v>
      </c>
      <c r="K108">
        <v>0.82376799530747102</v>
      </c>
      <c r="L108">
        <v>79.231909230769205</v>
      </c>
      <c r="M108" s="16">
        <f>+'[3]VAR expectations'!C132</f>
        <v>2.6753569594618285</v>
      </c>
      <c r="N108">
        <v>-0.12629587397758499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108.41076761050201</v>
      </c>
      <c r="K109">
        <v>0.81302965278783501</v>
      </c>
      <c r="L109">
        <v>77.417078461538495</v>
      </c>
      <c r="M109" s="16">
        <f>+'[3]VAR expectations'!C133</f>
        <v>3.0786650622291059</v>
      </c>
      <c r="N109">
        <v>-0.53072475668021002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108.82768380554501</v>
      </c>
      <c r="K110">
        <v>0.81523673020943999</v>
      </c>
      <c r="L110">
        <v>77.453536363636402</v>
      </c>
      <c r="M110" s="16">
        <f>+'[3]VAR expectations'!C134</f>
        <v>3.1319434989789481</v>
      </c>
      <c r="N110">
        <v>4.4733657054048998E-2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108.89712256473599</v>
      </c>
      <c r="K111">
        <v>0.82770637555197202</v>
      </c>
      <c r="L111">
        <v>77.966816666666702</v>
      </c>
      <c r="M111" s="16">
        <f>+'[3]VAR expectations'!C135</f>
        <v>3.4145577808828897</v>
      </c>
      <c r="N111">
        <v>-0.26794155270097503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109.515548878511</v>
      </c>
      <c r="K112">
        <v>0.81997916491071399</v>
      </c>
      <c r="L112">
        <v>80.482731250000001</v>
      </c>
      <c r="M112" s="16">
        <f>+'[3]VAR expectations'!C136</f>
        <v>2.9821807365306072</v>
      </c>
      <c r="N112">
        <v>9.6634489959476003E-2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110.595293288211</v>
      </c>
      <c r="K113">
        <v>0.82659569796815602</v>
      </c>
      <c r="L113">
        <v>81.786427692307697</v>
      </c>
      <c r="M113" s="16">
        <f>+'[3]VAR expectations'!C137</f>
        <v>2.7653976909254645</v>
      </c>
      <c r="N113">
        <v>0.37930805045059501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111.819308119124</v>
      </c>
      <c r="K114">
        <v>0.85503420500566196</v>
      </c>
      <c r="L114">
        <v>81.769348484848507</v>
      </c>
      <c r="M114" s="16">
        <f>+'[3]VAR expectations'!C138</f>
        <v>3.4330399377282408</v>
      </c>
      <c r="N114">
        <v>6.8003916803643996E-2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114.24813433793101</v>
      </c>
      <c r="K115">
        <v>0.89904007625108595</v>
      </c>
      <c r="L115">
        <v>81.601331818181805</v>
      </c>
      <c r="M115" s="16">
        <f>+'[3]VAR expectations'!C139</f>
        <v>5.1936780789271362</v>
      </c>
      <c r="N115">
        <v>0.55811388677361795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116.397043248504</v>
      </c>
      <c r="K116">
        <v>0.93243291258427596</v>
      </c>
      <c r="L116">
        <v>82.320465624997198</v>
      </c>
      <c r="M116" s="16">
        <f>+'[3]VAR expectations'!C140</f>
        <v>6.6732619097853254</v>
      </c>
      <c r="N116">
        <v>0.15065309268381599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120.66825786055</v>
      </c>
      <c r="K117">
        <v>0.989797540107896</v>
      </c>
      <c r="L117">
        <v>80.190636866096895</v>
      </c>
      <c r="M117" s="16">
        <f>+'[3]VAR expectations'!C141</f>
        <v>8.7447876447877011</v>
      </c>
      <c r="N117">
        <v>2.21465145906049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123.007882119001</v>
      </c>
      <c r="K118">
        <v>1.0549677290056301</v>
      </c>
      <c r="L118">
        <v>78.205745454544996</v>
      </c>
      <c r="M118" s="16">
        <f>+'[3]VAR expectations'!C142</f>
        <v>8.9090090090090914</v>
      </c>
      <c r="N118">
        <v>6.4610124737729993E-2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126.54786239078</v>
      </c>
      <c r="K119">
        <v>1.0246932577811401</v>
      </c>
      <c r="L119">
        <v>78.037909230769202</v>
      </c>
      <c r="M119" s="16">
        <f>+'[3]VAR expectations'!C143</f>
        <v>7.2128482156615119</v>
      </c>
      <c r="N119">
        <v>0.95151354817582001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128.303800364127</v>
      </c>
      <c r="K120">
        <v>1.03120866633134</v>
      </c>
      <c r="L120">
        <v>78.1068492307692</v>
      </c>
      <c r="M120" s="16">
        <f>+'[3]VAR expectations'!C144</f>
        <v>5.4496808271530108</v>
      </c>
      <c r="N120">
        <v>-0.24428789496360101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130.77103364559599</v>
      </c>
      <c r="K121">
        <v>1.01233991184456</v>
      </c>
      <c r="L121">
        <v>80.384953846153806</v>
      </c>
      <c r="M121" s="16">
        <f>+'[3]VAR expectations'!C145</f>
        <v>4.9659010810981856</v>
      </c>
      <c r="N121">
        <v>-0.30541858086226698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131.25083582158601</v>
      </c>
      <c r="K122">
        <v>1.0047382317261699</v>
      </c>
      <c r="L122">
        <v>82.125763076923107</v>
      </c>
      <c r="M122" s="16">
        <f>+'[3]VAR expectations'!C146</f>
        <v>4.3007323969777262</v>
      </c>
      <c r="N122">
        <v>-0.74760058363424298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131.856119045036</v>
      </c>
      <c r="K123">
        <v>1.01351894876806</v>
      </c>
      <c r="L123">
        <v>81.116464615384601</v>
      </c>
      <c r="M123" s="16">
        <f>+'[3]VAR expectations'!C147</f>
        <v>3.8582721147576735</v>
      </c>
      <c r="N123">
        <v>-0.29111279218073699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132.90446103726001</v>
      </c>
      <c r="K124">
        <v>1.0045717885333101</v>
      </c>
      <c r="L124">
        <v>82.494893846153801</v>
      </c>
      <c r="M124" s="16">
        <f>+'[3]VAR expectations'!C148</f>
        <v>3.6255376960251078</v>
      </c>
      <c r="N124">
        <v>-3.0625384674539999E-2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133.45314987446901</v>
      </c>
      <c r="K125">
        <v>1.0096110025674501</v>
      </c>
      <c r="L125">
        <v>82.864006153846105</v>
      </c>
      <c r="M125" s="16">
        <f>+'[3]VAR expectations'!C149</f>
        <v>2.979353541970323</v>
      </c>
      <c r="N125">
        <v>-0.47860337647732498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133.926272519685</v>
      </c>
      <c r="K126">
        <v>0.98968285178930804</v>
      </c>
      <c r="L126">
        <v>84.227827272727296</v>
      </c>
      <c r="M126" s="16">
        <f>+'[3]VAR expectations'!C150</f>
        <v>2.9717312535901965</v>
      </c>
      <c r="N126">
        <v>-0.47245330664789997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135.125066018361</v>
      </c>
      <c r="K127">
        <v>0.98386122397388598</v>
      </c>
      <c r="L127">
        <v>84.529574242424204</v>
      </c>
      <c r="M127" s="16">
        <f>+'[3]VAR expectations'!C151</f>
        <v>3.468785277541127</v>
      </c>
      <c r="N127">
        <v>9.0838827430000005E-2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136.64852996269599</v>
      </c>
      <c r="K128">
        <v>1.0033682849024499</v>
      </c>
      <c r="L128">
        <v>82.896921137361502</v>
      </c>
      <c r="M128" s="16">
        <f>+'[3]VAR expectations'!C152</f>
        <v>3.8021957884789486</v>
      </c>
      <c r="N128">
        <v>6.4917190269999994E-2</v>
      </c>
      <c r="O128">
        <v>0.13908442097000001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138.14422849488901</v>
      </c>
      <c r="K129">
        <v>0.99591735267033599</v>
      </c>
      <c r="L129">
        <v>82.596564766451905</v>
      </c>
      <c r="M129" s="16">
        <f>+'[3]VAR expectations'!C153</f>
        <v>4.011042611251681</v>
      </c>
      <c r="N129">
        <v>0.14246817175000001</v>
      </c>
      <c r="O129">
        <v>0.21045479994999999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138.89548184727599</v>
      </c>
      <c r="K130">
        <v>0.99096280465142295</v>
      </c>
      <c r="L130">
        <v>82.445550218428394</v>
      </c>
      <c r="M130" s="16">
        <f>+'[3]VAR expectations'!C154</f>
        <v>3.9691108090385026</v>
      </c>
      <c r="N130">
        <v>-0.15602295737999999</v>
      </c>
      <c r="O130">
        <v>-9.4216931779999902E-2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139.88395094581</v>
      </c>
      <c r="K131">
        <v>0.98682861120915499</v>
      </c>
      <c r="L131">
        <v>82.296712008888704</v>
      </c>
      <c r="M131" s="16">
        <f>+'[3]VAR expectations'!C155</f>
        <v>3.8470567349792795</v>
      </c>
      <c r="N131">
        <v>-6.9248331880000097E-2</v>
      </c>
      <c r="O131">
        <v>-1.36229088800001E-2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140.743001920317</v>
      </c>
      <c r="K132">
        <v>0.98265233281941899</v>
      </c>
      <c r="L132">
        <v>82.150921123948606</v>
      </c>
      <c r="M132" s="16">
        <f>+'[3]VAR expectations'!C156</f>
        <v>4.1639091291217634</v>
      </c>
      <c r="N132">
        <v>-0.11161499630000001</v>
      </c>
      <c r="O132">
        <v>-6.2170175800000102E-2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141.691179305454</v>
      </c>
      <c r="K133">
        <v>0.97904103212794202</v>
      </c>
      <c r="L133">
        <v>82.0071768605073</v>
      </c>
      <c r="M133" s="16">
        <f>+'[3]VAR expectations'!C157</f>
        <v>5.4104651194166893</v>
      </c>
      <c r="N133">
        <v>9.3664721899999401E-3</v>
      </c>
      <c r="O133">
        <v>5.2630690089999897E-2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142.46801735243699</v>
      </c>
      <c r="K134">
        <v>0.97746767229304599</v>
      </c>
      <c r="L134">
        <v>81.8661182572163</v>
      </c>
      <c r="M134" s="16">
        <f>+'[3]VAR expectations'!C158</f>
        <v>4.9139696600199789</v>
      </c>
      <c r="N134">
        <v>-7.8761294450000102E-2</v>
      </c>
      <c r="O134">
        <v>-4.1677679050000097E-2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143.26546259634699</v>
      </c>
      <c r="K135">
        <v>0.97652103020292502</v>
      </c>
      <c r="L135">
        <v>81.7292949050359</v>
      </c>
      <c r="M135" s="16">
        <f>+'[3]VAR expectations'!C159</f>
        <v>4.0011512098701685</v>
      </c>
      <c r="N135">
        <v>-5.7138267280000099E-2</v>
      </c>
      <c r="O135">
        <v>-2.6235254480000102E-2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144.02747133144399</v>
      </c>
      <c r="K136">
        <v>0.97590817419804099</v>
      </c>
      <c r="L136">
        <v>81.597699867976701</v>
      </c>
      <c r="M136" s="16">
        <f>+'[3]VAR expectations'!C160</f>
        <v>3.3715300668176842</v>
      </c>
      <c r="N136">
        <v>-8.0844345210000002E-2</v>
      </c>
      <c r="O136">
        <v>-5.6121935009999999E-2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144.732171354461</v>
      </c>
      <c r="K137">
        <v>0.97524633667331295</v>
      </c>
      <c r="L137">
        <v>81.471102574643893</v>
      </c>
      <c r="M137" s="16">
        <f>+'[3]VAR expectations'!C161</f>
        <v>2.9319715449134089</v>
      </c>
      <c r="N137">
        <v>-3.8070370819999901E-2</v>
      </c>
      <c r="O137">
        <v>-1.9528563119999901E-2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145.448737738387</v>
      </c>
      <c r="K138">
        <v>0.97436484830863501</v>
      </c>
      <c r="L138">
        <v>81.349202419742994</v>
      </c>
      <c r="M138" s="16">
        <f>+'[3]VAR expectations'!C162</f>
        <v>2.624058833894372</v>
      </c>
      <c r="N138">
        <v>-1.9748568549999901E-2</v>
      </c>
      <c r="O138">
        <v>-7.3873634499998803E-3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146.123929146535</v>
      </c>
      <c r="K139">
        <v>0.97341524866064999</v>
      </c>
      <c r="L139">
        <v>81.231625608178206</v>
      </c>
      <c r="M139" s="16">
        <f>+'[3]VAR expectations'!C163</f>
        <v>2.4687156565697737</v>
      </c>
      <c r="N139">
        <v>-4.1277562319999898E-2</v>
      </c>
      <c r="O139">
        <v>-3.5096959719999897E-2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J140">
        <v>146.848942185402</v>
      </c>
      <c r="K140">
        <v>0.97263977830052195</v>
      </c>
      <c r="L140">
        <v>81.117894310062098</v>
      </c>
      <c r="M140" s="16">
        <f>+'[3]VAR expectations'!C164</f>
        <v>2.4272584547421974</v>
      </c>
      <c r="N140">
        <v>-2.2610205210000001E-2</v>
      </c>
      <c r="O140">
        <v>-2.2610205210000001E-2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M141" s="16">
        <f>+'[3]VAR expectations'!C165</f>
        <v>2.4505337246023733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DA88-DA61-45A3-BAC9-C66777F63D53}">
  <dimension ref="A1:V172"/>
  <sheetViews>
    <sheetView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t="s">
        <v>110</v>
      </c>
      <c r="I3" s="1" t="s">
        <v>7</v>
      </c>
      <c r="J3" s="2" t="s">
        <v>5</v>
      </c>
      <c r="K3" s="2"/>
      <c r="L3" t="s">
        <v>110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conv2qa(X12(M25_stifidx_fin.m,MULT,1996m1,2029m12))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conv2qa(X12(M25_stif_srv_fin.m,MULT,1996m1,2029m12))</v>
      </c>
      <c r="D10" s="12" t="str">
        <f t="shared" si="0"/>
        <v>conv2qa(X12(M25_stif_gds_xeatfnab_fin.m,MULT,1996m1,2029m12))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conv2qa(X12(M25_stif_fnab_fin.m,MULT,1996m1,2029m12))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conv2qa(X12(M25_stif_pu_fin.m,MULT,1996m1,2029m3))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68.291668825013403</v>
      </c>
      <c r="K12">
        <f>[2]!FAMEData($L$5&amp;$L$3&amp;K9&amp;$L$4, $I$3, $I$4, 0,"Quarterly", "Down", "No Heading", "Normal")</f>
        <v>0.71982449635397405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68.743762162146396</v>
      </c>
      <c r="K13">
        <v>0.72027305921574902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68.996227500213394</v>
      </c>
      <c r="K14">
        <v>0.704611295999234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69.279251504424195</v>
      </c>
      <c r="K15">
        <v>0.69546448918473103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69.6078343654885</v>
      </c>
      <c r="K16">
        <v>0.67245396810892299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69.841257107063797</v>
      </c>
      <c r="K17">
        <v>0.658342915410149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70.330892659527606</v>
      </c>
      <c r="K18">
        <v>0.65392958085931496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70.553234761940601</v>
      </c>
      <c r="K19">
        <v>0.65336658354114696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70.707690288178796</v>
      </c>
      <c r="K20">
        <v>0.64381232528059396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71.126513447044601</v>
      </c>
      <c r="K21">
        <v>0.63430889006644098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71.308148711158594</v>
      </c>
      <c r="K22">
        <v>0.62982939021675299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71.555523482852394</v>
      </c>
      <c r="K23">
        <v>0.63229951935239104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71.8123774025145</v>
      </c>
      <c r="K24">
        <v>0.62982900352708404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72.1216734782369</v>
      </c>
      <c r="K25">
        <v>0.62571857921866703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72.178577439252194</v>
      </c>
      <c r="K26">
        <v>0.62744633608854405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72.369583045715103</v>
      </c>
      <c r="K27">
        <v>0.628879165488197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72.387032791443502</v>
      </c>
      <c r="K28">
        <v>0.63496423654172396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72.576471412146603</v>
      </c>
      <c r="K29">
        <v>0.63548425849859203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72.758463406983594</v>
      </c>
      <c r="K30">
        <v>0.64916170071338097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73.060657908277705</v>
      </c>
      <c r="K31">
        <v>0.64840352087451603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73.010134874556201</v>
      </c>
      <c r="K32">
        <v>0.64909645815575601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73.683329119477705</v>
      </c>
      <c r="K33">
        <v>0.64465605564276696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73.868491233165003</v>
      </c>
      <c r="K34">
        <v>0.63552659085590302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73.8080293738048</v>
      </c>
      <c r="K35">
        <v>0.62682732713061395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74.136203183481499</v>
      </c>
      <c r="K36">
        <v>0.62476284325203701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74.384985435127902</v>
      </c>
      <c r="K37">
        <v>0.62706418971656097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74.622625968902398</v>
      </c>
      <c r="K38">
        <v>0.62480056012011398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74.935702766594403</v>
      </c>
      <c r="K39">
        <v>0.62277821927588894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75.222425024331002</v>
      </c>
      <c r="K40">
        <v>0.63544061412391895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75.346345849726006</v>
      </c>
      <c r="K41">
        <v>0.63124721802930694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75.644267203345706</v>
      </c>
      <c r="K42">
        <v>0.63521138997049398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75.921693955757405</v>
      </c>
      <c r="K43">
        <v>0.63050936560290005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76.169552702573995</v>
      </c>
      <c r="K44">
        <v>0.62452206938993704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76.4127360639079</v>
      </c>
      <c r="K45">
        <v>0.62533471852521905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76.593117304962306</v>
      </c>
      <c r="K46">
        <v>0.62608242577351603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77.015335954406694</v>
      </c>
      <c r="K47">
        <v>0.63653524783139104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77.473800065364799</v>
      </c>
      <c r="K48">
        <v>0.63627996722981495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77.926607944366097</v>
      </c>
      <c r="K49">
        <v>0.63486613605504305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78.429887098646105</v>
      </c>
      <c r="K50">
        <v>0.65241229516620303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78.650450224220293</v>
      </c>
      <c r="K51">
        <v>0.65446219885289902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78.979688999678004</v>
      </c>
      <c r="K52">
        <v>0.66091908724602799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79.688478674002994</v>
      </c>
      <c r="K53">
        <v>0.66091000873885497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80.314080795744104</v>
      </c>
      <c r="K54">
        <v>0.65793897350294706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80.767598871034707</v>
      </c>
      <c r="K55">
        <v>0.65250611822025395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81.262662336062903</v>
      </c>
      <c r="K56">
        <v>0.64120008324831701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81.726250538871199</v>
      </c>
      <c r="K57">
        <v>0.65071749491976905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81.738755432819403</v>
      </c>
      <c r="K58">
        <v>0.65423212547982301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82.455025967927398</v>
      </c>
      <c r="K59">
        <v>0.67024506683642904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83.221725970549301</v>
      </c>
      <c r="K60">
        <v>0.69296241200498199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84.478392297313206</v>
      </c>
      <c r="K61">
        <v>0.72645325089660395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85.633329895369201</v>
      </c>
      <c r="K62">
        <v>0.74434298026276902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85.640870201207505</v>
      </c>
      <c r="K63">
        <v>0.73715014401478896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85.727723210041702</v>
      </c>
      <c r="K64">
        <v>0.74048679134173201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86.234746591915894</v>
      </c>
      <c r="K65">
        <v>0.72428991015393396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86.903550005052494</v>
      </c>
      <c r="K66">
        <v>0.72110977526947995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87.453767216499799</v>
      </c>
      <c r="K67">
        <v>0.73402521386714703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88.514127241192</v>
      </c>
      <c r="K68">
        <v>0.74071209632276902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89.209086183359005</v>
      </c>
      <c r="K69">
        <v>0.75220901159416698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89.597683841033898</v>
      </c>
      <c r="K70">
        <v>0.74996855794348305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90.410167787066598</v>
      </c>
      <c r="K71">
        <v>0.76582631113469501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92.119739749833698</v>
      </c>
      <c r="K72">
        <v>0.78215412173038701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93.115139140596895</v>
      </c>
      <c r="K73">
        <v>0.80092941699513398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93.838217119473299</v>
      </c>
      <c r="K74">
        <v>0.81113157519398005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94.600489932485303</v>
      </c>
      <c r="K75">
        <v>0.80216568317818704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95.296584148130407</v>
      </c>
      <c r="K76">
        <v>0.79835418708710004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95.693213531299804</v>
      </c>
      <c r="K77">
        <v>0.78803170707853898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96.132760719628607</v>
      </c>
      <c r="K78">
        <v>0.78634969678226596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97.111004738496405</v>
      </c>
      <c r="K79">
        <v>0.78628976005266804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97.925458902875704</v>
      </c>
      <c r="K80">
        <v>0.80702535396044905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98.272706595102505</v>
      </c>
      <c r="K81">
        <v>0.80061988410660201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98.742100877363796</v>
      </c>
      <c r="K82">
        <v>0.80020429606267296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99.137333193717495</v>
      </c>
      <c r="K83">
        <v>0.78393808826123101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99.631476601550702</v>
      </c>
      <c r="K84">
        <v>0.77500807653390702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99.977106108624895</v>
      </c>
      <c r="K85">
        <v>0.77065630898198501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100.163095153805</v>
      </c>
      <c r="K86">
        <v>0.75998496996257003</v>
      </c>
      <c r="L86">
        <v>88.037404545454606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100.06243149565699</v>
      </c>
      <c r="K87">
        <v>0.75127142152237703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99.740770647220799</v>
      </c>
      <c r="K88">
        <v>0.73099702131507505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99.974039934892204</v>
      </c>
      <c r="K89">
        <v>0.726376257800047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100.140852601795</v>
      </c>
      <c r="K90">
        <v>0.71661122800277499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100.14433681609199</v>
      </c>
      <c r="K91">
        <v>0.70785219429855795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100.093544617294</v>
      </c>
      <c r="K92">
        <v>0.72234316086335104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100.330800652611</v>
      </c>
      <c r="K93">
        <v>0.73890891526929603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100.842929304284</v>
      </c>
      <c r="K94">
        <v>0.77072553054453496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101.376885513658</v>
      </c>
      <c r="K95">
        <v>0.788207537233098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102.232951651815</v>
      </c>
      <c r="K96">
        <v>0.798228893411986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103.090261791385</v>
      </c>
      <c r="K97">
        <v>0.79550803385803104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103.670894319807</v>
      </c>
      <c r="K98">
        <v>0.802661568707982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104.45455859642</v>
      </c>
      <c r="K99">
        <v>0.80846109130113097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104.996875229697</v>
      </c>
      <c r="K100">
        <v>0.811856855436904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105.599576390393</v>
      </c>
      <c r="K101">
        <v>0.82016303423232595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106.267071084428</v>
      </c>
      <c r="K102">
        <v>0.82872608317530305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106.823764183771</v>
      </c>
      <c r="K103">
        <v>0.82467856051641997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106.962700532151</v>
      </c>
      <c r="K104">
        <v>0.82446537246885199</v>
      </c>
      <c r="L104">
        <v>78.730029687499993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107.77911591641499</v>
      </c>
      <c r="K105">
        <v>0.83105875414883501</v>
      </c>
      <c r="L105">
        <v>78.457547692307699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108.203785159253</v>
      </c>
      <c r="K106">
        <v>0.84333593957728503</v>
      </c>
      <c r="L106">
        <v>75.795746969697007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108.320546721306</v>
      </c>
      <c r="K107">
        <v>0.82843226110685597</v>
      </c>
      <c r="L107">
        <v>79.403969696969696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108.765737121171</v>
      </c>
      <c r="K108">
        <v>0.82376799530747102</v>
      </c>
      <c r="L108">
        <v>79.231538461538506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108.445986599131</v>
      </c>
      <c r="K109">
        <v>0.81302965278783501</v>
      </c>
      <c r="L109">
        <v>77.416984615384607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108.831178441348</v>
      </c>
      <c r="K110">
        <v>0.81523673020943999</v>
      </c>
      <c r="L110">
        <v>77.453536363636402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108.883861821894</v>
      </c>
      <c r="K111">
        <v>0.82770637555197202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109.495964679143</v>
      </c>
      <c r="K112">
        <v>0.81997916491071399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110.62355679663401</v>
      </c>
      <c r="K113">
        <v>0.82659569796815602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111.825183176511</v>
      </c>
      <c r="K114">
        <v>0.85503420500566196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114.22932279156301</v>
      </c>
      <c r="K115">
        <v>0.89904007625108595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116.391426649449</v>
      </c>
      <c r="K116">
        <v>0.93243291258427596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120.68869224470799</v>
      </c>
      <c r="K117">
        <v>0.989797540107896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123.00612915298299</v>
      </c>
      <c r="K118">
        <v>1.0549677290056301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126.53009480934401</v>
      </c>
      <c r="K119">
        <v>1.0246932577811401</v>
      </c>
      <c r="L119">
        <v>78.079235384615401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128.324520125059</v>
      </c>
      <c r="K120">
        <v>1.0328677670959601</v>
      </c>
      <c r="L120">
        <v>78.144530769230798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130.76987853213799</v>
      </c>
      <c r="K121">
        <v>1.0147751912979599</v>
      </c>
      <c r="L121">
        <v>80.435667692307703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131.240514737789</v>
      </c>
      <c r="K122">
        <v>1.0055862585390301</v>
      </c>
      <c r="L122">
        <v>82.183743076923093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131.84653575709299</v>
      </c>
      <c r="K123">
        <v>1.01447857562121</v>
      </c>
      <c r="L123">
        <v>81.170489230769206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132.927063740314</v>
      </c>
      <c r="K124">
        <v>1.00794502898862</v>
      </c>
      <c r="L124">
        <v>82.562649230769196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133.45733539661501</v>
      </c>
      <c r="K125">
        <v>1.0127852536478299</v>
      </c>
      <c r="L125">
        <v>82.934533846153798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133.906200773385</v>
      </c>
      <c r="K126">
        <v>0.99117458279846005</v>
      </c>
      <c r="L126">
        <v>84.298359090909102</v>
      </c>
      <c r="M126" s="16">
        <f>+'[3]VAR expectations'!C150</f>
        <v>2.9717312535901965</v>
      </c>
      <c r="N126">
        <v>-0.96369939332577004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135.11741963423</v>
      </c>
      <c r="K127">
        <v>0.99205214210804604</v>
      </c>
      <c r="L127">
        <v>84.617050000000006</v>
      </c>
      <c r="M127" s="16">
        <f>+'[3]VAR expectations'!C151</f>
        <v>3.468785277541127</v>
      </c>
      <c r="N127">
        <v>-0.58156090930256898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136.68114982716099</v>
      </c>
      <c r="K128">
        <v>0.99802377533478304</v>
      </c>
      <c r="L128">
        <v>84.063576560000001</v>
      </c>
      <c r="M128" s="16">
        <f>+'[3]VAR expectations'!C152</f>
        <v>3.8021957884789486</v>
      </c>
      <c r="N128">
        <v>-0.51830321999999995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137.96465545450801</v>
      </c>
      <c r="K129">
        <v>0.985856734523469</v>
      </c>
      <c r="L129">
        <v>84.544501589999996</v>
      </c>
      <c r="M129" s="16">
        <f>+'[3]VAR expectations'!C153</f>
        <v>4.011042611251681</v>
      </c>
      <c r="N129">
        <v>-8.5657049999999998E-2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138.61071726019</v>
      </c>
      <c r="K130">
        <v>0.974595193126222</v>
      </c>
      <c r="L130">
        <v>84.30223221</v>
      </c>
      <c r="M130" s="16">
        <f>+'[3]VAR expectations'!C154</f>
        <v>3.9691108090385026</v>
      </c>
      <c r="N130">
        <v>3.5385720000000002E-2</v>
      </c>
      <c r="O130">
        <v>-0.26930108869735597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139.57629448215999</v>
      </c>
      <c r="K131">
        <v>0.96740753480612496</v>
      </c>
      <c r="L131">
        <v>84.153461969999995</v>
      </c>
      <c r="M131" s="16">
        <f>+'[3]VAR expectations'!C155</f>
        <v>3.8470567349792795</v>
      </c>
      <c r="N131">
        <v>-0.19764823000000001</v>
      </c>
      <c r="O131">
        <v>-7.0653562478752097E-2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140.33088125827601</v>
      </c>
      <c r="K132">
        <v>0.961805194021912</v>
      </c>
      <c r="L132">
        <v>84.006998109999998</v>
      </c>
      <c r="M132" s="16">
        <f>+'[3]VAR expectations'!C156</f>
        <v>4.1639091291217634</v>
      </c>
      <c r="N132">
        <v>-0.33692306999999999</v>
      </c>
      <c r="O132">
        <v>-2.7934186663773002E-2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141.21984875713099</v>
      </c>
      <c r="K133">
        <v>0.95758467184297802</v>
      </c>
      <c r="L133">
        <v>83.86245357</v>
      </c>
      <c r="M133" s="16">
        <f>+'[3]VAR expectations'!C157</f>
        <v>5.4104651194166893</v>
      </c>
      <c r="N133">
        <v>-0.23998765999999999</v>
      </c>
      <c r="O133">
        <v>0.12310204368222501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141.89266311072899</v>
      </c>
      <c r="K134">
        <v>0.95620015321960805</v>
      </c>
      <c r="L134">
        <v>83.719310770000007</v>
      </c>
      <c r="M134" s="16">
        <f>+'[3]VAR expectations'!C158</f>
        <v>4.9139696600199789</v>
      </c>
      <c r="N134">
        <v>1.34035E-2</v>
      </c>
      <c r="O134">
        <v>-1.4756701063139799E-2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142.55584255371701</v>
      </c>
      <c r="K135">
        <v>0.955528310988354</v>
      </c>
      <c r="L135">
        <v>83.578799029999999</v>
      </c>
      <c r="M135" s="16">
        <f>+'[3]VAR expectations'!C159</f>
        <v>4.0011512098701685</v>
      </c>
      <c r="N135">
        <v>7.3145790000000002E-2</v>
      </c>
      <c r="O135">
        <v>-1.0035780311742799E-2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143.16265296047899</v>
      </c>
      <c r="K136">
        <v>0.95538909429444097</v>
      </c>
      <c r="L136">
        <v>83.442934280000003</v>
      </c>
      <c r="M136" s="16">
        <f>+'[3]VAR expectations'!C160</f>
        <v>3.3715300668176842</v>
      </c>
      <c r="N136">
        <v>7.2683620000000004E-2</v>
      </c>
      <c r="O136">
        <v>-2.27352026963679E-2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143.85791127253501</v>
      </c>
      <c r="K137">
        <v>0.95644558413290803</v>
      </c>
      <c r="L137">
        <v>83.312613440000007</v>
      </c>
      <c r="M137" s="16">
        <f>+'[3]VAR expectations'!C161</f>
        <v>2.9319715449134089</v>
      </c>
      <c r="N137">
        <v>-3.3105849999999999E-2</v>
      </c>
      <c r="O137">
        <v>1.5377144254311199E-2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144.53880438936301</v>
      </c>
      <c r="K138">
        <v>0.95561181656369198</v>
      </c>
      <c r="L138">
        <v>83.187631249999995</v>
      </c>
      <c r="M138" s="16">
        <f>+'[3]VAR expectations'!C162</f>
        <v>2.624058833894372</v>
      </c>
      <c r="N138">
        <v>-1.991826E-2</v>
      </c>
      <c r="O138">
        <v>-1.5348590585099501E-3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145.20643153588799</v>
      </c>
      <c r="K139">
        <v>0.95510573845596802</v>
      </c>
      <c r="L139">
        <v>83.067457439999998</v>
      </c>
      <c r="M139" s="16">
        <f>+'[3]VAR expectations'!C163</f>
        <v>2.4687156565697737</v>
      </c>
      <c r="N139">
        <v>-3.5511800000000003E-2</v>
      </c>
      <c r="O139">
        <v>-2.5251143636218099E-2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J140">
        <v>145.897597958055</v>
      </c>
      <c r="K140">
        <v>0.95428698560480996</v>
      </c>
      <c r="L140">
        <v>82.95136857</v>
      </c>
      <c r="M140" s="16">
        <f>+'[3]VAR expectations'!C164</f>
        <v>2.4272584547421974</v>
      </c>
      <c r="N140">
        <v>-2.1527250000000001E-2</v>
      </c>
      <c r="O140">
        <v>-9.6055752189889397E-3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J141">
        <v>146.600810839937</v>
      </c>
      <c r="K141">
        <v>0.95352367634571999</v>
      </c>
      <c r="L141">
        <v>82.838525279999999</v>
      </c>
      <c r="M141" s="16">
        <f>+'[3]VAR expectations'!C165</f>
        <v>2.4505337246023733</v>
      </c>
      <c r="N141">
        <v>-7.9892299999999999E-3</v>
      </c>
      <c r="O141">
        <v>2.8036974736993001E-2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M142" s="16">
        <f>+'[3]VAR expectations'!C166</f>
        <v>2.4399426350808717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8682-4917-4AF0-ABF6-273C919CAFDB}">
  <dimension ref="A1:V172"/>
  <sheetViews>
    <sheetView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s="3" t="s">
        <v>77</v>
      </c>
      <c r="I3" s="1" t="s">
        <v>7</v>
      </c>
      <c r="J3" s="2" t="s">
        <v>5</v>
      </c>
      <c r="K3" s="2"/>
      <c r="L3" t="s">
        <v>77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conv2qa(X12(A25_stifidx_fin.m,MULT,1996m1,2029m12))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conv2qa(X12(A25_stif_srv_fin.m,MULT,1996m1,2029m12))</v>
      </c>
      <c r="D10" s="12" t="str">
        <f t="shared" si="0"/>
        <v>conv2qa(X12(A25_stif_gds_xeatfnab_fin.m,MULT,1996m1,2029m12))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conv2qa(X12(A25_stif_fnab_fin.m,MULT,1996m1,2029m12))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conv2qa(X12(A25_stif_pu_fin.m,MULT,1996m1,2029m3))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68.274786414580404</v>
      </c>
      <c r="K12">
        <f>[2]!FAMEData($L$5&amp;$L$3&amp;K9&amp;$L$4, $I$3, $I$4, 0,"Quarterly", "Down", "No Heading", "Normal")</f>
        <v>0.71982449635397305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68.646172687168601</v>
      </c>
      <c r="K13">
        <v>0.72027305921574902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68.991322695066401</v>
      </c>
      <c r="K14">
        <v>0.704611295999234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69.381900506740493</v>
      </c>
      <c r="K15">
        <v>0.69546448918473103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69.587124601732995</v>
      </c>
      <c r="K16">
        <v>0.67245396810892299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69.779562747684096</v>
      </c>
      <c r="K17">
        <v>0.658342915410149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70.337384802925797</v>
      </c>
      <c r="K18">
        <v>0.65392958085931496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70.608568317896598</v>
      </c>
      <c r="K19">
        <v>0.65336658354114696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70.691929983897595</v>
      </c>
      <c r="K20">
        <v>0.64381232528059396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71.092691284107502</v>
      </c>
      <c r="K21">
        <v>0.63430889006644098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71.320298481779801</v>
      </c>
      <c r="K22">
        <v>0.62982939021675299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71.576720460953098</v>
      </c>
      <c r="K23">
        <v>0.63229951935239104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71.807724433311705</v>
      </c>
      <c r="K24">
        <v>0.62982900352708404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72.102604230611703</v>
      </c>
      <c r="K25">
        <v>0.62571857921866703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72.187039620586901</v>
      </c>
      <c r="K26">
        <v>0.62744633608854405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72.375605878606706</v>
      </c>
      <c r="K27">
        <v>0.628879165488197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72.393687161090895</v>
      </c>
      <c r="K28">
        <v>0.63496423654172396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72.563314003880194</v>
      </c>
      <c r="K29">
        <v>0.63548425849859203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72.759783054802597</v>
      </c>
      <c r="K30">
        <v>0.64916170071338097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73.063982099475794</v>
      </c>
      <c r="K31">
        <v>0.64840352087451603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73.022578700834003</v>
      </c>
      <c r="K32">
        <v>0.64909645815575601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73.672454142404405</v>
      </c>
      <c r="K33">
        <v>0.64465605564276696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73.864343681786593</v>
      </c>
      <c r="K34">
        <v>0.63552659085590302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73.816222956182401</v>
      </c>
      <c r="K35">
        <v>0.62682732713061395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74.1402006278242</v>
      </c>
      <c r="K36">
        <v>0.62476284325203701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74.380937474027604</v>
      </c>
      <c r="K37">
        <v>0.62706418971656097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74.621415618434995</v>
      </c>
      <c r="K38">
        <v>0.62480056012011398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74.939618848753796</v>
      </c>
      <c r="K39">
        <v>0.62277821927588894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75.220636295759604</v>
      </c>
      <c r="K40">
        <v>0.63544061412391895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75.346741994097499</v>
      </c>
      <c r="K41">
        <v>0.63124721802930694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75.646461576525496</v>
      </c>
      <c r="K42">
        <v>0.63521138997049398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75.926726457053604</v>
      </c>
      <c r="K43">
        <v>0.63050936560290005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76.159680972492296</v>
      </c>
      <c r="K44">
        <v>0.62452206938993704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76.418239624504196</v>
      </c>
      <c r="K45">
        <v>0.62533471852521905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76.596014034209901</v>
      </c>
      <c r="K46">
        <v>0.62608242577351603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77.015341535155699</v>
      </c>
      <c r="K47">
        <v>0.63653524783139104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77.473805678522098</v>
      </c>
      <c r="K48">
        <v>0.63627996722981495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77.926613590790197</v>
      </c>
      <c r="K49">
        <v>0.63486613605504305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78.429892782552301</v>
      </c>
      <c r="K50">
        <v>0.65241229516620303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78.650455923388293</v>
      </c>
      <c r="K51">
        <v>0.65446219885289902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78.979694721142707</v>
      </c>
      <c r="K52">
        <v>0.66091908724602799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79.688484448251103</v>
      </c>
      <c r="K53">
        <v>0.66091000873885497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80.314086614429499</v>
      </c>
      <c r="K54">
        <v>0.65793897350294706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80.767604728498597</v>
      </c>
      <c r="K55">
        <v>0.65250611822025395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-8.0932616320032902E-2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81.262668222742505</v>
      </c>
      <c r="K56">
        <v>0.64120008324831701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81.726256450645806</v>
      </c>
      <c r="K57">
        <v>0.65071749491976905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81.738761352886598</v>
      </c>
      <c r="K58">
        <v>0.65423212547982301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82.455031967805695</v>
      </c>
      <c r="K59">
        <v>0.67024506683642904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83.221731996581497</v>
      </c>
      <c r="K60">
        <v>0.69296241200498199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84.478398380979797</v>
      </c>
      <c r="K61">
        <v>0.72645325089660395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85.633336105074903</v>
      </c>
      <c r="K62">
        <v>0.74434298026276902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85.640876497870394</v>
      </c>
      <c r="K63">
        <v>0.73715014401478896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85.727729370209602</v>
      </c>
      <c r="K64">
        <v>0.74048679134173201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86.234752780794096</v>
      </c>
      <c r="K65">
        <v>0.72428991015393396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86.903556307732302</v>
      </c>
      <c r="K66">
        <v>0.72110977526947995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87.4537737316722</v>
      </c>
      <c r="K67">
        <v>0.73402521386714703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88.5141336075109</v>
      </c>
      <c r="K68">
        <v>0.74071209632276902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89.209092540124004</v>
      </c>
      <c r="K69">
        <v>0.75220901159416698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89.597690280022505</v>
      </c>
      <c r="K70">
        <v>0.74996855794348305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90.410174694471195</v>
      </c>
      <c r="K71">
        <v>0.76582631113469501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92.119746320076004</v>
      </c>
      <c r="K72">
        <v>0.78215412173038701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93.115145753489898</v>
      </c>
      <c r="K73">
        <v>0.80092941699513398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93.838223645731105</v>
      </c>
      <c r="K74">
        <v>0.81113157519398005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94.6004975527824</v>
      </c>
      <c r="K75">
        <v>0.80216568317818704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95.296590860635405</v>
      </c>
      <c r="K76">
        <v>0.79835418708710004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95.693220363811093</v>
      </c>
      <c r="K77">
        <v>0.78803170707853898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-4.3636593431138598E-2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96.1327662041666</v>
      </c>
      <c r="K78">
        <v>0.78634969678226596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97.111013503416402</v>
      </c>
      <c r="K79">
        <v>0.78628976005266804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97.925466242721299</v>
      </c>
      <c r="K80">
        <v>0.80702535396044905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98.272713923159699</v>
      </c>
      <c r="K81">
        <v>0.80061988410660201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98.742104771017495</v>
      </c>
      <c r="K82">
        <v>0.80020429606267296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99.137339068856704</v>
      </c>
      <c r="K83">
        <v>0.78393808826123101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99.631490952496904</v>
      </c>
      <c r="K84">
        <v>0.77500807653390702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99.9771198564857</v>
      </c>
      <c r="K85">
        <v>0.77065630898198501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100.16308106011699</v>
      </c>
      <c r="K86">
        <v>0.75998496996257003</v>
      </c>
      <c r="L86">
        <v>88.037404545454507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100.062424410171</v>
      </c>
      <c r="K87">
        <v>0.75127142152237703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99.740816658157897</v>
      </c>
      <c r="K88">
        <v>0.73099702131507505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99.974067526627493</v>
      </c>
      <c r="K89">
        <v>0.726376257800047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100.14078866727201</v>
      </c>
      <c r="K90">
        <v>0.71661122800277499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100.14432714794199</v>
      </c>
      <c r="K91">
        <v>0.70785219429855795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100.09364998508801</v>
      </c>
      <c r="K92">
        <v>0.72234316086335104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100.330869448779</v>
      </c>
      <c r="K93">
        <v>0.73890891526929603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100.84270311136</v>
      </c>
      <c r="K94">
        <v>0.77072553054453496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101.37694408578101</v>
      </c>
      <c r="K95">
        <v>0.788207537233098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102.233208454889</v>
      </c>
      <c r="K96">
        <v>0.798228893411986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103.09022231759199</v>
      </c>
      <c r="K97">
        <v>0.79550803385803104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103.670458971896</v>
      </c>
      <c r="K98">
        <v>0.802661568707982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104.45485770823301</v>
      </c>
      <c r="K99">
        <v>0.80846109130113097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104.997402249921</v>
      </c>
      <c r="K100">
        <v>0.811856855436904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105.599127984213</v>
      </c>
      <c r="K101">
        <v>0.82016303423232595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106.266201695221</v>
      </c>
      <c r="K102">
        <v>0.82872608317530305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106.824625676011</v>
      </c>
      <c r="K103">
        <v>0.82467856051641997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106.963787566398</v>
      </c>
      <c r="K104">
        <v>0.82446537246885199</v>
      </c>
      <c r="L104">
        <v>78.730029687499993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107.77701004650901</v>
      </c>
      <c r="K105">
        <v>0.83105875414883501</v>
      </c>
      <c r="L105">
        <v>78.457547692307699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108.203307923411</v>
      </c>
      <c r="K106">
        <v>0.84333593957728503</v>
      </c>
      <c r="L106">
        <v>75.795746969697007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108.322282493442</v>
      </c>
      <c r="K107">
        <v>0.82843226110685597</v>
      </c>
      <c r="L107">
        <v>79.403969696969696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108.767558713285</v>
      </c>
      <c r="K108">
        <v>0.82376799530747102</v>
      </c>
      <c r="L108">
        <v>79.231538461538506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108.44162855230201</v>
      </c>
      <c r="K109">
        <v>0.81302965278783501</v>
      </c>
      <c r="L109">
        <v>77.416984615384607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108.83095649832001</v>
      </c>
      <c r="K110">
        <v>0.81523673020943999</v>
      </c>
      <c r="L110">
        <v>77.453536363636402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108.88722952761501</v>
      </c>
      <c r="K111">
        <v>0.82770637555197202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109.498753813105</v>
      </c>
      <c r="K112">
        <v>0.81997916491071399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110.615452083593</v>
      </c>
      <c r="K113">
        <v>0.82659569796815602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111.82563764132099</v>
      </c>
      <c r="K114">
        <v>0.85503420500566196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114.235757971364</v>
      </c>
      <c r="K115">
        <v>0.89904007625108595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116.394598347325</v>
      </c>
      <c r="K116">
        <v>0.93243291258427596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120.676504908073</v>
      </c>
      <c r="K117">
        <v>0.989797540107896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123.005352790933</v>
      </c>
      <c r="K118">
        <v>1.0549677290056301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126.544930518752</v>
      </c>
      <c r="K119">
        <v>1.0246932577811401</v>
      </c>
      <c r="L119">
        <v>78.079235384615401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128.33122946653799</v>
      </c>
      <c r="K120">
        <v>1.0328677670959501</v>
      </c>
      <c r="L120">
        <v>78.144530769230798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130.74129771176499</v>
      </c>
      <c r="K121">
        <v>1.0147751912979599</v>
      </c>
      <c r="L121">
        <v>80.435667692307703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131.2421339906</v>
      </c>
      <c r="K122">
        <v>1.0055862585390301</v>
      </c>
      <c r="L122">
        <v>82.183743076923093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131.871939115993</v>
      </c>
      <c r="K123">
        <v>1.01447857562121</v>
      </c>
      <c r="L123">
        <v>81.170489230769206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132.937450430425</v>
      </c>
      <c r="K124">
        <v>1.00794502898862</v>
      </c>
      <c r="L124">
        <v>82.562649230769196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133.41136656048701</v>
      </c>
      <c r="K125">
        <v>1.0127852536478299</v>
      </c>
      <c r="L125">
        <v>82.934533846153798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133.91091125454099</v>
      </c>
      <c r="K126">
        <v>0.99117458279846005</v>
      </c>
      <c r="L126">
        <v>84.298359090909102</v>
      </c>
      <c r="M126" s="16">
        <f>+'[3]VAR expectations'!C150</f>
        <v>2.9717312535901965</v>
      </c>
      <c r="N126">
        <v>-0.96369939332577004</v>
      </c>
      <c r="O126">
        <v>-0.3982860759479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135.15399858036201</v>
      </c>
      <c r="K127">
        <v>0.99205214210804604</v>
      </c>
      <c r="L127">
        <v>84.617050000000006</v>
      </c>
      <c r="M127" s="16">
        <f>+'[3]VAR expectations'!C151</f>
        <v>3.468785277541127</v>
      </c>
      <c r="N127">
        <v>-0.58156090930256898</v>
      </c>
      <c r="O127">
        <v>0.16500605812999999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136.69686627589601</v>
      </c>
      <c r="K128">
        <v>1.0156033493433101</v>
      </c>
      <c r="L128">
        <v>84.063576562500003</v>
      </c>
      <c r="M128" s="16">
        <f>+'[3]VAR expectations'!C152</f>
        <v>3.8021957884789486</v>
      </c>
      <c r="N128">
        <v>-0.518303217993346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138.01938006899999</v>
      </c>
      <c r="K129">
        <v>0.99918554673399895</v>
      </c>
      <c r="L129">
        <v>85.43</v>
      </c>
      <c r="M129" s="16">
        <f>+'[3]VAR expectations'!C153</f>
        <v>4.011042611251681</v>
      </c>
      <c r="N129">
        <v>-8.0156162901135294E-2</v>
      </c>
      <c r="O129">
        <v>3.5632547105975999E-2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139.05599602486899</v>
      </c>
      <c r="K130">
        <v>0.99983199106680998</v>
      </c>
      <c r="L130">
        <v>84.94</v>
      </c>
      <c r="M130" s="16">
        <f>+'[3]VAR expectations'!C154</f>
        <v>3.9691108090385026</v>
      </c>
      <c r="N130">
        <v>0.14852738680451699</v>
      </c>
      <c r="O130">
        <v>-0.17429903529735599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140.08379787856001</v>
      </c>
      <c r="K131">
        <v>0.99222721823910498</v>
      </c>
      <c r="L131">
        <v>84.683469039739805</v>
      </c>
      <c r="M131" s="16">
        <f>+'[3]VAR expectations'!C155</f>
        <v>3.8470567349792795</v>
      </c>
      <c r="N131">
        <v>-2.4933242467237299E-2</v>
      </c>
      <c r="O131">
        <v>-7.0369201187523399E-3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141.02246033517099</v>
      </c>
      <c r="K132">
        <v>0.98684808363732701</v>
      </c>
      <c r="L132">
        <v>84.552781396425402</v>
      </c>
      <c r="M132" s="16">
        <f>+'[3]VAR expectations'!C156</f>
        <v>4.1639091291217634</v>
      </c>
      <c r="N132">
        <v>-0.15967816232041501</v>
      </c>
      <c r="O132">
        <v>-1.6535476013773E-2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142.16754098481499</v>
      </c>
      <c r="K133">
        <v>0.98432726171154505</v>
      </c>
      <c r="L133">
        <v>84.426705566104403</v>
      </c>
      <c r="M133" s="16">
        <f>+'[3]VAR expectations'!C157</f>
        <v>5.4104651194166893</v>
      </c>
      <c r="N133">
        <v>3.2187385329675699E-3</v>
      </c>
      <c r="O133">
        <v>0.19389058082222399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142.87205877895201</v>
      </c>
      <c r="K134">
        <v>0.98288812923445401</v>
      </c>
      <c r="L134">
        <v>84.3021647274103</v>
      </c>
      <c r="M134" s="16">
        <f>+'[3]VAR expectations'!C158</f>
        <v>4.9139696600199789</v>
      </c>
      <c r="N134">
        <v>0.112882428086807</v>
      </c>
      <c r="O134">
        <v>-5.4901279743138999E-2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143.577734783165</v>
      </c>
      <c r="K135">
        <v>0.98202562996375498</v>
      </c>
      <c r="L135">
        <v>84.176756248120995</v>
      </c>
      <c r="M135" s="16">
        <f>+'[3]VAR expectations'!C159</f>
        <v>4.0011512098701685</v>
      </c>
      <c r="N135">
        <v>0.109908345539346</v>
      </c>
      <c r="O135">
        <v>-4.4310271174268602E-4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144.251034269874</v>
      </c>
      <c r="K136">
        <v>0.98140258170216699</v>
      </c>
      <c r="L136">
        <v>84.050914156640701</v>
      </c>
      <c r="M136" s="16">
        <f>+'[3]VAR expectations'!C160</f>
        <v>3.3715300668176842</v>
      </c>
      <c r="N136">
        <v>9.8963290821522096E-2</v>
      </c>
      <c r="O136">
        <v>-1.27151534663672E-2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144.97079697287401</v>
      </c>
      <c r="K137">
        <v>0.98314102367360301</v>
      </c>
      <c r="L137">
        <v>83.926500416917705</v>
      </c>
      <c r="M137" s="16">
        <f>+'[3]VAR expectations'!C161</f>
        <v>2.9319715449134089</v>
      </c>
      <c r="N137">
        <v>-8.8196040741176499E-2</v>
      </c>
      <c r="O137">
        <v>1.60999570243111E-2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145.67792649303499</v>
      </c>
      <c r="K138">
        <v>0.98312659453002604</v>
      </c>
      <c r="L138">
        <v>83.804853173806507</v>
      </c>
      <c r="M138" s="16">
        <f>+'[3]VAR expectations'!C162</f>
        <v>2.624058833894372</v>
      </c>
      <c r="N138">
        <v>-4.8797883014125999E-2</v>
      </c>
      <c r="O138">
        <v>-6.7701651851022695E-4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146.39179074948601</v>
      </c>
      <c r="K139">
        <v>0.98195249345140401</v>
      </c>
      <c r="L139">
        <v>83.686240229972398</v>
      </c>
      <c r="M139" s="16">
        <f>+'[3]VAR expectations'!C163</f>
        <v>2.4687156565697737</v>
      </c>
      <c r="N139">
        <v>-4.6179373288456199E-2</v>
      </c>
      <c r="O139">
        <v>-4.15752015621643E-3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J140">
        <v>147.10009689725899</v>
      </c>
      <c r="K140">
        <v>0.98063247547008603</v>
      </c>
      <c r="L140">
        <v>83.570543753952805</v>
      </c>
      <c r="M140" s="16">
        <f>+'[3]VAR expectations'!C164</f>
        <v>2.4272584547421974</v>
      </c>
      <c r="N140">
        <v>-3.6428164539440797E-2</v>
      </c>
      <c r="O140">
        <v>-6.4730736789887404E-3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J141">
        <v>147.832752676871</v>
      </c>
      <c r="K141">
        <v>0.97944975080242502</v>
      </c>
      <c r="L141">
        <v>83.457428233358101</v>
      </c>
      <c r="M141" s="16">
        <f>+'[3]VAR expectations'!C165</f>
        <v>2.4505337246023733</v>
      </c>
      <c r="N141">
        <v>-4.0774840521668798E-2</v>
      </c>
      <c r="O141">
        <v>1.1817117236994201E-2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J142">
        <v>148.61419307026901</v>
      </c>
      <c r="K142">
        <v>0.97809105224503801</v>
      </c>
      <c r="L142">
        <v>83.346432687554298</v>
      </c>
      <c r="M142" s="16">
        <f>+'[3]VAR expectations'!C166</f>
        <v>2.4399426350808717</v>
      </c>
      <c r="N142">
        <v>-2.6473301337635199E-2</v>
      </c>
      <c r="O142">
        <v>3.8775680770001202E-2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M143" s="16">
        <f>+'[3]VAR expectations'!C167</f>
        <v>2.4724757454078841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901E-B131-4073-A62F-18FD2A00EC91}">
  <dimension ref="A1:V172"/>
  <sheetViews>
    <sheetView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s="3" t="str">
        <f>L3</f>
        <v>N25_</v>
      </c>
      <c r="I3" s="1" t="s">
        <v>7</v>
      </c>
      <c r="J3" s="2" t="s">
        <v>5</v>
      </c>
      <c r="K3" s="2"/>
      <c r="L3" t="s">
        <v>76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conv2qa(X12(N25_stifidx_fin.m,MULT,1996m1,2029m12))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conv2qa(X12(N25_stif_srv_fin.m,MULT,1996m1,2029m12))</v>
      </c>
      <c r="D10" s="12" t="str">
        <f t="shared" si="0"/>
        <v>conv2qa(X12(N25_stif_gds_xeatfnab_fin.m,MULT,1996m1,2029m12))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conv2qa(X12(N25_stif_fnab_fin.m,MULT,1996m1,2029m12))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conv2qa(X12(N25_stif_pu_fin.m,MULT,1996m1,2029m3))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68.274787902373603</v>
      </c>
      <c r="K12">
        <f>[2]!FAMEData($L$5&amp;$L$3&amp;K9&amp;$L$4, $I$3, $I$4, 0,"Quarterly", "Down", "No Heading", "Normal")</f>
        <v>0.69676277490104199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68.646174183054697</v>
      </c>
      <c r="K13">
        <v>0.697170201453299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68.991324198473905</v>
      </c>
      <c r="K14">
        <v>0.68186344897864604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69.381902018659105</v>
      </c>
      <c r="K15">
        <v>0.67273735054240202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69.587126118123706</v>
      </c>
      <c r="K16">
        <v>0.64866500847439001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69.779564268268302</v>
      </c>
      <c r="K17">
        <v>0.63881968316040705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70.337386335665599</v>
      </c>
      <c r="K18">
        <v>0.63363729975902106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70.608569856545898</v>
      </c>
      <c r="K19">
        <v>0.63168185721231895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70.691931524363397</v>
      </c>
      <c r="K20">
        <v>0.62547738438940403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71.092692833306401</v>
      </c>
      <c r="K21">
        <v>0.61574667956030105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71.320300035938502</v>
      </c>
      <c r="K22">
        <v>0.61191051876314595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71.576722020699606</v>
      </c>
      <c r="K23">
        <v>0.61574010208304597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71.807725998091996</v>
      </c>
      <c r="K24">
        <v>0.61207091368269495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72.102605801817901</v>
      </c>
      <c r="K25">
        <v>0.60728308657017904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72.187041193632894</v>
      </c>
      <c r="K26">
        <v>0.61019911719025599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72.375607455761894</v>
      </c>
      <c r="K27">
        <v>0.61024879064745796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72.393688738640094</v>
      </c>
      <c r="K28">
        <v>0.61738707307826801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72.563315585125807</v>
      </c>
      <c r="K29">
        <v>0.61947343357984297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72.759784640329599</v>
      </c>
      <c r="K30">
        <v>0.63244276822553902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73.063983691631606</v>
      </c>
      <c r="K31">
        <v>0.63170048297494796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73.022580292087497</v>
      </c>
      <c r="K32">
        <v>0.63197969052460601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73.672455747819598</v>
      </c>
      <c r="K33">
        <v>0.62800915039781702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73.864345291383401</v>
      </c>
      <c r="K34">
        <v>0.62069814185008299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73.816224564730504</v>
      </c>
      <c r="K35">
        <v>0.61398848183451404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74.140202243431801</v>
      </c>
      <c r="K36">
        <v>0.61193534320029497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74.380939094881796</v>
      </c>
      <c r="K37">
        <v>0.61392623608050001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74.621417244529596</v>
      </c>
      <c r="K38">
        <v>0.61140713450523598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74.939620481782299</v>
      </c>
      <c r="K39">
        <v>0.61028716844078001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75.220637934910499</v>
      </c>
      <c r="K40">
        <v>0.62041647951515799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75.346743635997896</v>
      </c>
      <c r="K41">
        <v>0.61828813643274905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75.646463224957202</v>
      </c>
      <c r="K42">
        <v>0.61991924669953002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75.926728111593704</v>
      </c>
      <c r="K43">
        <v>0.61489452059240901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76.159682632104904</v>
      </c>
      <c r="K44">
        <v>0.60867143253604195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76.418241289752402</v>
      </c>
      <c r="K45">
        <v>0.60880550537729305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76.596015703334999</v>
      </c>
      <c r="K46">
        <v>0.61031691283897305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77.015343213425098</v>
      </c>
      <c r="K47">
        <v>0.6183371950373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77.473807366757001</v>
      </c>
      <c r="K48">
        <v>0.61840327578253995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77.926615288906405</v>
      </c>
      <c r="K49">
        <v>0.61631983002944801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78.429894491653798</v>
      </c>
      <c r="K50">
        <v>0.63415776121743705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78.650457637282997</v>
      </c>
      <c r="K51">
        <v>0.63649118346376499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78.979696442227294</v>
      </c>
      <c r="K52">
        <v>0.643936754168837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79.688486184757195</v>
      </c>
      <c r="K53">
        <v>0.64504573018076805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80.314088364246203</v>
      </c>
      <c r="K54">
        <v>0.64469200388279202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80.767606489097602</v>
      </c>
      <c r="K55">
        <v>0.63671214878564597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-8.0932616320032805E-2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81.262669993646398</v>
      </c>
      <c r="K56">
        <v>0.625809146435098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81.726258230910801</v>
      </c>
      <c r="K57">
        <v>0.63249526529381705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81.738763132842095</v>
      </c>
      <c r="K58">
        <v>0.63428595802217802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82.455033767777806</v>
      </c>
      <c r="K59">
        <v>0.65156664826788002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83.2217338100901</v>
      </c>
      <c r="K60">
        <v>0.67751013764314005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84.478400217256905</v>
      </c>
      <c r="K61">
        <v>0.70527092842389205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85.633337971823906</v>
      </c>
      <c r="K62">
        <v>0.72646358089944096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85.640878374143597</v>
      </c>
      <c r="K63">
        <v>0.72239393340314095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85.727731230902805</v>
      </c>
      <c r="K64">
        <v>0.72661089022131198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86.234754655048206</v>
      </c>
      <c r="K65">
        <v>0.71057430087007001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86.903558207126096</v>
      </c>
      <c r="K66">
        <v>0.70624632996315695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87.453775650775498</v>
      </c>
      <c r="K67">
        <v>0.71312563216665403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88.514135511530895</v>
      </c>
      <c r="K68">
        <v>0.72850263925166703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89.209094510666404</v>
      </c>
      <c r="K69">
        <v>0.73948734389313797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89.597692240453995</v>
      </c>
      <c r="K70">
        <v>0.73616345215259904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90.410176642029199</v>
      </c>
      <c r="K71">
        <v>0.74890750503329495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92.119748272626197</v>
      </c>
      <c r="K72">
        <v>0.76801178867382702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93.115147922292493</v>
      </c>
      <c r="K73">
        <v>0.78598894375808204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93.838225645778607</v>
      </c>
      <c r="K74">
        <v>0.79763645735829003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94.600499579476406</v>
      </c>
      <c r="K75">
        <v>0.79098248277391703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95.296592807966107</v>
      </c>
      <c r="K76">
        <v>0.78445519594833202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95.693222687763793</v>
      </c>
      <c r="K77">
        <v>0.77648309280210304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-4.3636593431138501E-2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96.132768307259497</v>
      </c>
      <c r="K78">
        <v>0.773750224657893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97.111015754146393</v>
      </c>
      <c r="K79">
        <v>0.77593535443149497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97.925467879824694</v>
      </c>
      <c r="K80">
        <v>0.793275555227409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98.272716538371398</v>
      </c>
      <c r="K81">
        <v>0.78606778031131697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98.742106498262501</v>
      </c>
      <c r="K82">
        <v>0.78685398527671802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99.137340308859706</v>
      </c>
      <c r="K83">
        <v>0.77148855611012102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99.631496133959999</v>
      </c>
      <c r="K84">
        <v>0.764685545599466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99.977122710937707</v>
      </c>
      <c r="K85">
        <v>0.75652355931874804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100.163074616019</v>
      </c>
      <c r="K86">
        <v>0.74703364887329005</v>
      </c>
      <c r="L86">
        <v>88.037404545454507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100.062431578592</v>
      </c>
      <c r="K87">
        <v>0.74102157012206804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99.740830630068103</v>
      </c>
      <c r="K88">
        <v>0.72146583209529702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99.974068619788895</v>
      </c>
      <c r="K89">
        <v>0.71542272078423097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100.140759088815</v>
      </c>
      <c r="K90">
        <v>0.70953585910489703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100.144341661328</v>
      </c>
      <c r="K91">
        <v>0.69999900006120397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100.093688167891</v>
      </c>
      <c r="K92">
        <v>0.71380270581144101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100.33092122503299</v>
      </c>
      <c r="K93">
        <v>0.72841909278455397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100.842577266405</v>
      </c>
      <c r="K94">
        <v>0.75866722226809502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101.37699610351299</v>
      </c>
      <c r="K95">
        <v>0.77922745217358302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102.233239431109</v>
      </c>
      <c r="K96">
        <v>0.78952175777403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103.090342955125</v>
      </c>
      <c r="K97">
        <v>0.785893147625779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103.67024483275701</v>
      </c>
      <c r="K98">
        <v>0.79269568773239496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104.454947673666</v>
      </c>
      <c r="K99">
        <v>0.79908942011029505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104.997349103576</v>
      </c>
      <c r="K100">
        <v>0.80726253139325199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105.599437820326</v>
      </c>
      <c r="K101">
        <v>0.81024107379897403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106.26594400099199</v>
      </c>
      <c r="K102">
        <v>0.81983150343626099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106.82470879420799</v>
      </c>
      <c r="K103">
        <v>0.81626752245600098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106.96369848153699</v>
      </c>
      <c r="K104">
        <v>0.81070131262425305</v>
      </c>
      <c r="L104">
        <v>78.730029687499993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107.777659903979</v>
      </c>
      <c r="K105">
        <v>0.81987586424888903</v>
      </c>
      <c r="L105">
        <v>78.457547692307699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108.20287939372299</v>
      </c>
      <c r="K106">
        <v>0.83369252863313603</v>
      </c>
      <c r="L106">
        <v>75.795746969697007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108.32215602212101</v>
      </c>
      <c r="K107">
        <v>0.81585606993257498</v>
      </c>
      <c r="L107">
        <v>79.403969696969696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108.767350076038</v>
      </c>
      <c r="K108">
        <v>0.81035288021968699</v>
      </c>
      <c r="L108">
        <v>79.231538461538506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108.442866798586</v>
      </c>
      <c r="K109">
        <v>0.79949973931455798</v>
      </c>
      <c r="L109">
        <v>77.416984615384607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108.830475200649</v>
      </c>
      <c r="K110">
        <v>0.79834560906724505</v>
      </c>
      <c r="L110">
        <v>77.453536363636402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108.886475749985</v>
      </c>
      <c r="K111">
        <v>0.807719556848424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109.498341167383</v>
      </c>
      <c r="K112">
        <v>0.80260600542279303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110.61786579135401</v>
      </c>
      <c r="K113">
        <v>0.814089043773909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111.825054138231</v>
      </c>
      <c r="K114">
        <v>0.83577480203352394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114.23369672895301</v>
      </c>
      <c r="K115">
        <v>0.88967799254248703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116.393823524045</v>
      </c>
      <c r="K116">
        <v>0.91704684352781196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120.68050134177599</v>
      </c>
      <c r="K117">
        <v>0.97799595064369504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123.00482789268899</v>
      </c>
      <c r="K118">
        <v>1.0191295882470099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126.540489869678</v>
      </c>
      <c r="K119">
        <v>1.0075868270203401</v>
      </c>
      <c r="L119">
        <v>78.079235384615401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128.331620513014</v>
      </c>
      <c r="K120">
        <v>1.018927972462</v>
      </c>
      <c r="L120">
        <v>78.144530769230798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130.749574897206</v>
      </c>
      <c r="K121">
        <v>1.0008168053352999</v>
      </c>
      <c r="L121">
        <v>80.435667692307703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131.237550087682</v>
      </c>
      <c r="K122">
        <v>0.98602621638057697</v>
      </c>
      <c r="L122">
        <v>82.183743076923093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131.865840235045</v>
      </c>
      <c r="K123">
        <v>0.99411759541347999</v>
      </c>
      <c r="L123">
        <v>81.170489230769206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132.94048268817099</v>
      </c>
      <c r="K124">
        <v>0.98526455612131902</v>
      </c>
      <c r="L124">
        <v>82.562649230769196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133.424750027051</v>
      </c>
      <c r="K125">
        <v>0.99574367761410199</v>
      </c>
      <c r="L125">
        <v>82.934533846153798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133.89840716548099</v>
      </c>
      <c r="K126">
        <v>0.97587846557592905</v>
      </c>
      <c r="L126">
        <v>84.298359090909102</v>
      </c>
      <c r="M126" s="16">
        <f>+'[3]VAR expectations'!C150</f>
        <v>2.9717312535901965</v>
      </c>
      <c r="N126">
        <v>-0.96369939332577004</v>
      </c>
      <c r="O126">
        <v>-0.39830475465660198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135.147844066792</v>
      </c>
      <c r="K127">
        <v>0.97755443466796799</v>
      </c>
      <c r="L127">
        <v>84.617050000000006</v>
      </c>
      <c r="M127" s="16">
        <f>+'[3]VAR expectations'!C151</f>
        <v>3.468785277541127</v>
      </c>
      <c r="N127">
        <v>-0.58156090930256898</v>
      </c>
      <c r="O127">
        <v>0.16500605812762401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136.70608672629501</v>
      </c>
      <c r="K128">
        <v>0.99939408428411303</v>
      </c>
      <c r="L128">
        <v>84.063576562500003</v>
      </c>
      <c r="M128" s="16">
        <f>+'[3]VAR expectations'!C152</f>
        <v>3.8021957884789486</v>
      </c>
      <c r="N128">
        <v>-0.518303217993346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138.040567430181</v>
      </c>
      <c r="K129">
        <v>0.99106811490214497</v>
      </c>
      <c r="L129">
        <v>85.433744615384597</v>
      </c>
      <c r="M129" s="16">
        <f>+'[3]VAR expectations'!C153</f>
        <v>4.011042611251681</v>
      </c>
      <c r="N129">
        <v>-8.0156162901135294E-2</v>
      </c>
      <c r="O129">
        <v>4.1047258462795402E-2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138.971878880872</v>
      </c>
      <c r="K130">
        <v>0.98826679418242003</v>
      </c>
      <c r="L130">
        <v>84.985242424242401</v>
      </c>
      <c r="M130" s="16">
        <f>+'[3]VAR expectations'!C154</f>
        <v>3.9691108090385026</v>
      </c>
      <c r="N130">
        <v>0.17385582924148901</v>
      </c>
      <c r="O130">
        <v>-0.14024893238342001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139.85387475851701</v>
      </c>
      <c r="K131">
        <v>0.98263826862659698</v>
      </c>
      <c r="L131">
        <v>84.479012844963606</v>
      </c>
      <c r="M131" s="16">
        <f>+'[3]VAR expectations'!C155</f>
        <v>3.8470567349792795</v>
      </c>
      <c r="N131">
        <v>7.0352199113104696E-2</v>
      </c>
      <c r="O131">
        <v>5.6917628496099902E-2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140.96006154114301</v>
      </c>
      <c r="K132">
        <v>0.97725801282102598</v>
      </c>
      <c r="L132">
        <v>84.252155690230595</v>
      </c>
      <c r="M132" s="16">
        <f>+'[3]VAR expectations'!C156</f>
        <v>4.1639091291217634</v>
      </c>
      <c r="N132">
        <v>-6.2439376125195997E-2</v>
      </c>
      <c r="O132">
        <v>-1.7071836905162601E-2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142.00570327765499</v>
      </c>
      <c r="K133">
        <v>0.97495040409969502</v>
      </c>
      <c r="L133">
        <v>84.117538990663405</v>
      </c>
      <c r="M133" s="16">
        <f>+'[3]VAR expectations'!C157</f>
        <v>5.4104651194166893</v>
      </c>
      <c r="N133">
        <v>0.17834605911026</v>
      </c>
      <c r="O133">
        <v>0.27934691363146902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142.70718635416901</v>
      </c>
      <c r="K134">
        <v>0.97388426513513504</v>
      </c>
      <c r="L134">
        <v>83.985309784793699</v>
      </c>
      <c r="M134" s="16">
        <f>+'[3]VAR expectations'!C158</f>
        <v>4.9139696600199789</v>
      </c>
      <c r="N134">
        <v>0.29097335910427802</v>
      </c>
      <c r="O134">
        <v>-2.4761746194057799E-2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143.350983533928</v>
      </c>
      <c r="K135">
        <v>0.97306004000609503</v>
      </c>
      <c r="L135">
        <v>83.853892259900505</v>
      </c>
      <c r="M135" s="16">
        <f>+'[3]VAR expectations'!C159</f>
        <v>4.0011512098701685</v>
      </c>
      <c r="N135">
        <v>0.19411764869801101</v>
      </c>
      <c r="O135">
        <v>-3.8177707498694202E-2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144.033291882393</v>
      </c>
      <c r="K136">
        <v>0.97240043564962397</v>
      </c>
      <c r="L136">
        <v>83.722427852144094</v>
      </c>
      <c r="M136" s="16">
        <f>+'[3]VAR expectations'!C160</f>
        <v>3.3715300668176842</v>
      </c>
      <c r="N136">
        <v>0.208417294591415</v>
      </c>
      <c r="O136">
        <v>2.13358108401909E-4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144.76619421549799</v>
      </c>
      <c r="K137">
        <v>0.97421348895219395</v>
      </c>
      <c r="L137">
        <v>83.591451351612804</v>
      </c>
      <c r="M137" s="16">
        <f>+'[3]VAR expectations'!C161</f>
        <v>2.9319715449134089</v>
      </c>
      <c r="N137">
        <v>-3.0372033582109999E-2</v>
      </c>
      <c r="O137">
        <v>3.41681168050103E-2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145.507213273346</v>
      </c>
      <c r="K138">
        <v>0.97436963436458002</v>
      </c>
      <c r="L138">
        <v>83.462187269638207</v>
      </c>
      <c r="M138" s="16">
        <f>+'[3]VAR expectations'!C162</f>
        <v>2.624058833894372</v>
      </c>
      <c r="N138">
        <v>6.0302951733499999E-3</v>
      </c>
      <c r="O138">
        <v>1.15398165866652E-2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146.26524121222599</v>
      </c>
      <c r="K139">
        <v>0.97332130611155698</v>
      </c>
      <c r="L139">
        <v>83.3355013115834</v>
      </c>
      <c r="M139" s="16">
        <f>+'[3]VAR expectations'!C163</f>
        <v>2.4687156565697737</v>
      </c>
      <c r="N139">
        <v>5.4953356977352798E-2</v>
      </c>
      <c r="O139">
        <v>1.1097633463309199E-2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J140">
        <v>147.00873820596701</v>
      </c>
      <c r="K140">
        <v>0.97211633808919795</v>
      </c>
      <c r="L140">
        <v>83.211437656241699</v>
      </c>
      <c r="M140" s="16">
        <f>+'[3]VAR expectations'!C164</f>
        <v>2.4272584547421974</v>
      </c>
      <c r="N140">
        <v>6.0807530754992199E-2</v>
      </c>
      <c r="O140">
        <v>4.6243938598148496E-3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J141">
        <v>147.78016162913499</v>
      </c>
      <c r="K141">
        <v>0.97121443038946198</v>
      </c>
      <c r="L141">
        <v>83.089805120932098</v>
      </c>
      <c r="M141" s="16">
        <f>+'[3]VAR expectations'!C165</f>
        <v>2.4505337246023733</v>
      </c>
      <c r="N141">
        <v>5.2961631016687702E-2</v>
      </c>
      <c r="O141">
        <v>2.59377181723855E-2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J142">
        <v>148.54929407238799</v>
      </c>
      <c r="K142">
        <v>0.97018548636511204</v>
      </c>
      <c r="L142">
        <v>82.970359088415194</v>
      </c>
      <c r="M142" s="16">
        <f>+'[3]VAR expectations'!C166</f>
        <v>2.4399426350808717</v>
      </c>
      <c r="N142">
        <v>5.5627618626222397E-2</v>
      </c>
      <c r="O142">
        <v>1.4130632639043499E-2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J143">
        <v>149.33243191761699</v>
      </c>
      <c r="K143">
        <v>0.96942555925380702</v>
      </c>
      <c r="L143">
        <v>82.852814967888094</v>
      </c>
      <c r="M143" s="16">
        <f>+'[3]VAR expectations'!C167</f>
        <v>2.4724757454078841</v>
      </c>
      <c r="N143">
        <v>5.9236448752574097E-2</v>
      </c>
      <c r="O143">
        <v>1.47508857815706E-2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M144" s="16">
        <f>+'[3]VAR expectations'!C168</f>
        <v>2.5381252562448622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DDD5-CC1A-457E-92B9-20D1F44E3A97}">
  <dimension ref="A1:V172"/>
  <sheetViews>
    <sheetView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s="3" t="str">
        <f>L3</f>
        <v>F26_</v>
      </c>
      <c r="I3" s="1" t="s">
        <v>7</v>
      </c>
      <c r="J3" s="2" t="s">
        <v>5</v>
      </c>
      <c r="K3" s="2"/>
      <c r="L3" t="s">
        <v>75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conv2qa(X12(F26_stifidx_fin.m,MULT,1996m1,2029m12))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conv2qa(X12(F26_stif_srv_fin.m,MULT,1996m1,2029m12))</v>
      </c>
      <c r="D10" s="12" t="str">
        <f t="shared" si="0"/>
        <v>conv2qa(X12(F26_stif_gds_xeatfnab_fin.m,MULT,1996m1,2029m12))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conv2qa(X12(F26_stif_fnab_fin.m,MULT,1996m1,2029m12))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conv2qa(X12(F26_stif_pu_fin.m,MULT,1996m1,2029m3))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68.2747845747502</v>
      </c>
      <c r="K12">
        <f>[2]!FAMEData($L$5&amp;$L$3&amp;K9&amp;$L$4, $I$3, $I$4, 0,"Quarterly", "Down", "No Heading", "Normal")</f>
        <v>0.69676277490104199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0.20789577611610899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68.646170837330502</v>
      </c>
      <c r="K13">
        <v>0.697170201453299</v>
      </c>
      <c r="L13">
        <v>81.882196923076904</v>
      </c>
      <c r="M13" s="16">
        <f>+'[3]VAR expectations'!C37</f>
        <v>2.6154884948264598</v>
      </c>
      <c r="N13">
        <v>0.3</v>
      </c>
      <c r="O13">
        <v>-0.16120155703172701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68.991320835927496</v>
      </c>
      <c r="K14">
        <v>0.68186344897864604</v>
      </c>
      <c r="L14">
        <v>82.869486363636398</v>
      </c>
      <c r="M14" s="16">
        <f>+'[3]VAR expectations'!C38</f>
        <v>2.6428562485995646</v>
      </c>
      <c r="N14">
        <v>0.3</v>
      </c>
      <c r="O14">
        <v>0.32912444162450999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69.381898637076503</v>
      </c>
      <c r="K15">
        <v>0.67273735054240202</v>
      </c>
      <c r="L15">
        <v>88.333556060606099</v>
      </c>
      <c r="M15" s="16">
        <f>+'[3]VAR expectations'!C39</f>
        <v>2.8292929206876933</v>
      </c>
      <c r="N15">
        <v>0.3</v>
      </c>
      <c r="O15">
        <v>-2.2510150918334201E-3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69.587122726538695</v>
      </c>
      <c r="K16">
        <v>0.64938685118057304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-0.262290558696672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69.779560867304099</v>
      </c>
      <c r="K17">
        <v>0.63898761329940501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-0.18076935065413899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70.337382907513899</v>
      </c>
      <c r="K18">
        <v>0.63319365618204004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0.135072712526874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70.608566415176995</v>
      </c>
      <c r="K19">
        <v>0.63128999906948902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-0.18038836269067801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70.691928078931596</v>
      </c>
      <c r="K20">
        <v>0.62538235592018598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-0.40106993870267899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71.092689368342107</v>
      </c>
      <c r="K21">
        <v>0.61574060369241101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-0.121959828355084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71.320296559880902</v>
      </c>
      <c r="K22">
        <v>0.61194660690414404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0.148148898493562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71.576718532144298</v>
      </c>
      <c r="K23">
        <v>0.615800780480114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-0.44461325206669999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71.807722498277897</v>
      </c>
      <c r="K24">
        <v>0.61208261764455096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0.52782221066476598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72.102602287631697</v>
      </c>
      <c r="K25">
        <v>0.60729455707630897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0.48725261916995399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72.187037675331496</v>
      </c>
      <c r="K26">
        <v>0.61019911719025599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0.67076862974608797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72.375603928269996</v>
      </c>
      <c r="K27">
        <v>0.61022681521550604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0.25537877518103203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72.393685210266895</v>
      </c>
      <c r="K28">
        <v>0.61741448216996297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9.2271063782413995E-2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72.563312048485201</v>
      </c>
      <c r="K29">
        <v>0.61947343357984297</v>
      </c>
      <c r="L29">
        <v>101.013821538462</v>
      </c>
      <c r="M29" s="16">
        <f>+'[3]VAR expectations'!C53</f>
        <v>2.480790509902373</v>
      </c>
      <c r="N29">
        <v>0.578228356186961</v>
      </c>
      <c r="O29">
        <v>6.4185673634936505E-2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72.759781094113606</v>
      </c>
      <c r="K30">
        <v>0.63243205574934103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0.321076211975517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73.063980130589101</v>
      </c>
      <c r="K31">
        <v>0.63168490396144295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-1.6390389462865099E-2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73.022576733062607</v>
      </c>
      <c r="K32">
        <v>0.63197458532471795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-0.227577979531076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73.6724521571211</v>
      </c>
      <c r="K33">
        <v>0.62800409836081905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0.14427868690463599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73.864341691333095</v>
      </c>
      <c r="K34">
        <v>0.62070323942146299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-0.145405425617782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73.816220967024293</v>
      </c>
      <c r="K35">
        <v>0.61399358747248201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-0.40207821981541297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74.140198629934503</v>
      </c>
      <c r="K36">
        <v>0.61193038298108404</v>
      </c>
      <c r="L36">
        <v>100.22180625</v>
      </c>
      <c r="M36" s="16">
        <f>+'[3]VAR expectations'!C60</f>
        <v>2.2636382290406152</v>
      </c>
      <c r="N36">
        <v>-0.19866515250366801</v>
      </c>
      <c r="O36">
        <v>0.181561700258596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74.380935469653593</v>
      </c>
      <c r="K37">
        <v>0.61392139822955905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0.26583891266085302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74.621413607581303</v>
      </c>
      <c r="K38">
        <v>0.61140713450523598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2.2118145407947602E-2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74.939616829324905</v>
      </c>
      <c r="K39">
        <v>0.61029675732614896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-3.5729490300290101E-2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75.220634268750601</v>
      </c>
      <c r="K40">
        <v>0.62041647951515799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75.346739963703399</v>
      </c>
      <c r="K41">
        <v>0.61830243153139897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75.6464595380465</v>
      </c>
      <c r="K42">
        <v>0.61992864970907302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75.926724411022903</v>
      </c>
      <c r="K43">
        <v>0.61487188261720405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76.159678920179303</v>
      </c>
      <c r="K44">
        <v>0.60870261377130896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76.418237565263098</v>
      </c>
      <c r="K45">
        <v>0.60880985911549002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76.596011970112798</v>
      </c>
      <c r="K46">
        <v>0.61030418054680202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77.015339459626105</v>
      </c>
      <c r="K47">
        <v>0.61831603266951796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77.473803591154905</v>
      </c>
      <c r="K48">
        <v>0.61841602743295798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77.926611490941795</v>
      </c>
      <c r="K49">
        <v>0.61632396776809295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78.429890668470094</v>
      </c>
      <c r="K50">
        <v>0.63415776121743705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78.6504538038064</v>
      </c>
      <c r="K51">
        <v>0.63647438784451305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78.979692593871704</v>
      </c>
      <c r="K52">
        <v>0.64392875406480998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79.688482300798796</v>
      </c>
      <c r="K53">
        <v>0.645021888756523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80.314084449959694</v>
      </c>
      <c r="K54">
        <v>0.64469200388279202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80.767602549772604</v>
      </c>
      <c r="K55">
        <v>0.63674417807601602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-8.0932616320032805E-2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81.262666034385504</v>
      </c>
      <c r="K56">
        <v>0.62581298051233103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81.726254253762605</v>
      </c>
      <c r="K57">
        <v>0.63252628567691904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81.738759148672003</v>
      </c>
      <c r="K58">
        <v>0.63429720224555597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82.455029736794501</v>
      </c>
      <c r="K59">
        <v>0.65152011018314004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83.221729756997405</v>
      </c>
      <c r="K60">
        <v>0.67754230031801499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84.478396118209602</v>
      </c>
      <c r="K61">
        <v>0.70524569880666799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85.633333794251001</v>
      </c>
      <c r="K62">
        <v>0.72643695207768799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85.640874155225802</v>
      </c>
      <c r="K63">
        <v>0.72241258631374905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85.727727082822298</v>
      </c>
      <c r="K64">
        <v>0.72660601033444505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86.234750471392999</v>
      </c>
      <c r="K65">
        <v>0.71060767773743105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86.903553971704099</v>
      </c>
      <c r="K66">
        <v>0.70626942705568496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87.453771303988304</v>
      </c>
      <c r="K67">
        <v>0.71307555305012305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88.514131249682805</v>
      </c>
      <c r="K68">
        <v>0.728539457407268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89.209090144507499</v>
      </c>
      <c r="K69">
        <v>0.73945108477349097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89.597687957703698</v>
      </c>
      <c r="K70">
        <v>0.73612846250786801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90.410172068359202</v>
      </c>
      <c r="K71">
        <v>0.74894275805859101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92.119743880239795</v>
      </c>
      <c r="K72">
        <v>0.76795644437294597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93.115143268170698</v>
      </c>
      <c r="K73">
        <v>0.78601194951893705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93.838221339388795</v>
      </c>
      <c r="K74">
        <v>0.79767405379552203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94.600494535747401</v>
      </c>
      <c r="K75">
        <v>0.79097785093980599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95.296588584850198</v>
      </c>
      <c r="K76">
        <v>0.78450970750098603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95.693218095087701</v>
      </c>
      <c r="K77">
        <v>0.77647425286413296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-4.3636593431138501E-2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96.1327627972681</v>
      </c>
      <c r="K78">
        <v>0.77372804471122703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97.111011075226003</v>
      </c>
      <c r="K79">
        <v>0.77591266488393695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97.925465207659698</v>
      </c>
      <c r="K80">
        <v>0.79327096477283698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98.2727110183192</v>
      </c>
      <c r="K81">
        <v>0.78607646491260896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98.742097312001903</v>
      </c>
      <c r="K82">
        <v>0.78686274407179801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99.137340599534696</v>
      </c>
      <c r="K83">
        <v>0.77147591000258298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99.631492622251002</v>
      </c>
      <c r="K84">
        <v>0.76471064327003702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99.9771137860522</v>
      </c>
      <c r="K85">
        <v>0.75652355931874804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100.163068165933</v>
      </c>
      <c r="K86">
        <v>0.74702570375291799</v>
      </c>
      <c r="L86">
        <v>88.037404545454507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100.062442025895</v>
      </c>
      <c r="K87">
        <v>0.74100676314344904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99.740811975889002</v>
      </c>
      <c r="K88">
        <v>0.72147671960187199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99.974053643315301</v>
      </c>
      <c r="K89">
        <v>0.715433691316956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100.140773160721</v>
      </c>
      <c r="K90">
        <v>0.70953585910489703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100.144361220075</v>
      </c>
      <c r="K91">
        <v>0.69997826233493599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100.093643345929</v>
      </c>
      <c r="K92">
        <v>0.71383426802272298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100.330839059962</v>
      </c>
      <c r="K93">
        <v>0.72842619652318097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100.84268464754599</v>
      </c>
      <c r="K94">
        <v>0.75866006641232298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101.377019063332</v>
      </c>
      <c r="K95">
        <v>0.77919341507458195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102.233183235505</v>
      </c>
      <c r="K96">
        <v>0.789525546407159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103.090140653756</v>
      </c>
      <c r="K97">
        <v>0.78588949111338002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103.670467205088</v>
      </c>
      <c r="K98">
        <v>0.79269202055480104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104.454994047208</v>
      </c>
      <c r="K99">
        <v>0.799093183197087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104.997337020445</v>
      </c>
      <c r="K100">
        <v>0.807255032696516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105.598978766721</v>
      </c>
      <c r="K101">
        <v>0.810248468777227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106.266326250871</v>
      </c>
      <c r="K102">
        <v>0.819838980351559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106.824825767671</v>
      </c>
      <c r="K103">
        <v>0.81626033633022899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106.963896739679</v>
      </c>
      <c r="K104">
        <v>0.81075741498863596</v>
      </c>
      <c r="L104">
        <v>78.730029687499993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107.776680485764</v>
      </c>
      <c r="K105">
        <v>0.81988327993753196</v>
      </c>
      <c r="L105">
        <v>78.457547692307699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108.203391127947</v>
      </c>
      <c r="K106">
        <v>0.83367765179866604</v>
      </c>
      <c r="L106">
        <v>75.795746969697007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108.32257722460101</v>
      </c>
      <c r="K107">
        <v>0.815799757201631</v>
      </c>
      <c r="L107">
        <v>79.403969696969696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108.767677913699</v>
      </c>
      <c r="K108">
        <v>0.81036439784284897</v>
      </c>
      <c r="L108">
        <v>79.231538461538506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108.441367407364</v>
      </c>
      <c r="K109">
        <v>0.79942922481137701</v>
      </c>
      <c r="L109">
        <v>77.416984615384607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108.83100365249</v>
      </c>
      <c r="K110">
        <v>0.79831566710352497</v>
      </c>
      <c r="L110">
        <v>77.453536363636402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108.887168632395</v>
      </c>
      <c r="K111">
        <v>0.80778746622391695</v>
      </c>
      <c r="L111">
        <v>77.966816666666702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109.498934257554</v>
      </c>
      <c r="K112">
        <v>0.80252061125680996</v>
      </c>
      <c r="L112">
        <v>80.482731250000001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110.616282792888</v>
      </c>
      <c r="K113">
        <v>0.814089043773909</v>
      </c>
      <c r="L113">
        <v>81.786427692307697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111.824984889191</v>
      </c>
      <c r="K114">
        <v>0.83581527254149302</v>
      </c>
      <c r="L114">
        <v>81.769348484848507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114.234041636553</v>
      </c>
      <c r="K115">
        <v>0.88972454293969705</v>
      </c>
      <c r="L115">
        <v>81.601331818181805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116.39488992392501</v>
      </c>
      <c r="K116">
        <v>0.91704289667698202</v>
      </c>
      <c r="L116">
        <v>82.320465624997198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120.681451285687</v>
      </c>
      <c r="K117">
        <v>0.97798349717312705</v>
      </c>
      <c r="L117">
        <v>80.190636866096895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123.002359230427</v>
      </c>
      <c r="K118">
        <v>1.0191250785446899</v>
      </c>
      <c r="L118">
        <v>78.205745454544996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126.53789760431999</v>
      </c>
      <c r="K119">
        <v>1.0076086063713401</v>
      </c>
      <c r="L119">
        <v>78.079235384615401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128.33346396455701</v>
      </c>
      <c r="K120">
        <v>1.0189055470944</v>
      </c>
      <c r="L120">
        <v>78.144530769230798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130.75767472763101</v>
      </c>
      <c r="K121">
        <v>1.0008168053352999</v>
      </c>
      <c r="L121">
        <v>80.435667692307703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131.230183938208</v>
      </c>
      <c r="K122">
        <v>0.98603497028103204</v>
      </c>
      <c r="L122">
        <v>82.183743076923093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131.86009621969001</v>
      </c>
      <c r="K123">
        <v>0.99413068767971202</v>
      </c>
      <c r="L123">
        <v>81.170489230769206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132.94217233784099</v>
      </c>
      <c r="K124">
        <v>0.98504517419274895</v>
      </c>
      <c r="L124">
        <v>82.562649230769196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133.44109244885499</v>
      </c>
      <c r="K125">
        <v>0.99638931439056</v>
      </c>
      <c r="L125">
        <v>82.934533846153798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133.88720614444199</v>
      </c>
      <c r="K126">
        <v>0.973566341141053</v>
      </c>
      <c r="L126">
        <v>84.298359090909102</v>
      </c>
      <c r="M126" s="16">
        <f>+'[3]VAR expectations'!C150</f>
        <v>2.9717312535901965</v>
      </c>
      <c r="N126">
        <v>-0.96369939332577004</v>
      </c>
      <c r="O126">
        <v>-0.39830475465660198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135.13943156925899</v>
      </c>
      <c r="K127">
        <v>0.97726903650528596</v>
      </c>
      <c r="L127">
        <v>84.617050000000006</v>
      </c>
      <c r="M127" s="16">
        <f>+'[3]VAR expectations'!C151</f>
        <v>3.468785277541127</v>
      </c>
      <c r="N127">
        <v>-0.58156090930256898</v>
      </c>
      <c r="O127">
        <v>0.16500605812762401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136.706154305236</v>
      </c>
      <c r="K128">
        <v>0.99874385829074097</v>
      </c>
      <c r="L128">
        <v>84.063576562500003</v>
      </c>
      <c r="M128" s="16">
        <f>+'[3]VAR expectations'!C152</f>
        <v>3.8021957884789486</v>
      </c>
      <c r="N128">
        <v>-0.518303217993346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138.061451879369</v>
      </c>
      <c r="K129">
        <v>0.99161202523815395</v>
      </c>
      <c r="L129">
        <v>85.433744615384597</v>
      </c>
      <c r="M129" s="16">
        <f>+'[3]VAR expectations'!C153</f>
        <v>4.011042611251681</v>
      </c>
      <c r="N129">
        <v>-8.0156162901135294E-2</v>
      </c>
      <c r="O129">
        <v>4.1047258462795402E-2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138.963882572042</v>
      </c>
      <c r="K130">
        <v>0.98427110447687505</v>
      </c>
      <c r="L130">
        <v>84.985242424242401</v>
      </c>
      <c r="M130" s="16">
        <f>+'[3]VAR expectations'!C154</f>
        <v>3.9691108090385026</v>
      </c>
      <c r="N130">
        <v>0.17385582924148901</v>
      </c>
      <c r="O130">
        <v>-0.14024893238342001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139.793283240195</v>
      </c>
      <c r="K131">
        <v>0.98557496940479805</v>
      </c>
      <c r="L131">
        <v>84.151327272727301</v>
      </c>
      <c r="M131" s="16">
        <f>+'[3]VAR expectations'!C155</f>
        <v>3.8470567349792795</v>
      </c>
      <c r="N131">
        <v>0.1119962</v>
      </c>
      <c r="O131">
        <v>9.7460000000000005E-2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140.742611834809</v>
      </c>
      <c r="K132">
        <v>0.98115825437211202</v>
      </c>
      <c r="L132">
        <v>84.880127037426107</v>
      </c>
      <c r="M132" s="16">
        <f>+'[3]VAR expectations'!C156</f>
        <v>4.1639091291217634</v>
      </c>
      <c r="N132">
        <v>-5.8174799999999999E-2</v>
      </c>
      <c r="O132">
        <v>-5.0445000000000101E-2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140.99696355284601</v>
      </c>
      <c r="K133">
        <v>0.97643030506649398</v>
      </c>
      <c r="L133">
        <v>84.714538752775198</v>
      </c>
      <c r="M133" s="16">
        <f>+'[3]VAR expectations'!C157</f>
        <v>5.4104651194166893</v>
      </c>
      <c r="N133">
        <v>-0.38231369999999998</v>
      </c>
      <c r="O133">
        <v>-0.28963100000000003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141.71391796140799</v>
      </c>
      <c r="K134">
        <v>0.97301713254911903</v>
      </c>
      <c r="L134">
        <v>84.609612703186599</v>
      </c>
      <c r="M134" s="16">
        <f>+'[3]VAR expectations'!C158</f>
        <v>4.9139696600199789</v>
      </c>
      <c r="N134">
        <v>-0.25995099999999999</v>
      </c>
      <c r="O134">
        <v>-1.8131999999999999E-2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142.525447660623</v>
      </c>
      <c r="K135">
        <v>0.970156973555649</v>
      </c>
      <c r="L135">
        <v>84.509532982508702</v>
      </c>
      <c r="M135" s="16">
        <f>+'[3]VAR expectations'!C159</f>
        <v>4.0011512098701685</v>
      </c>
      <c r="N135">
        <v>-0.34265899999999999</v>
      </c>
      <c r="O135">
        <v>1.29139999999999E-2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143.15196468423699</v>
      </c>
      <c r="K136">
        <v>0.96788262601687003</v>
      </c>
      <c r="L136">
        <v>84.411549085421598</v>
      </c>
      <c r="M136" s="16">
        <f>+'[3]VAR expectations'!C160</f>
        <v>3.3715300668176842</v>
      </c>
      <c r="N136">
        <v>-0.236508</v>
      </c>
      <c r="O136">
        <v>4.8689999999999997E-2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143.81210726825799</v>
      </c>
      <c r="K137">
        <v>0.96838329862197503</v>
      </c>
      <c r="L137">
        <v>84.313254206463796</v>
      </c>
      <c r="M137" s="16">
        <f>+'[3]VAR expectations'!C161</f>
        <v>2.9319715449134089</v>
      </c>
      <c r="N137">
        <v>9.8760000000000001E-2</v>
      </c>
      <c r="O137">
        <v>5.1257999999999901E-2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144.44444536735901</v>
      </c>
      <c r="K138">
        <v>0.96754422579269606</v>
      </c>
      <c r="L138">
        <v>84.214140323848198</v>
      </c>
      <c r="M138" s="16">
        <f>+'[3]VAR expectations'!C162</f>
        <v>2.624058833894372</v>
      </c>
      <c r="N138">
        <v>0.111237</v>
      </c>
      <c r="O138">
        <v>-4.9970000000000899E-3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145.12854964450801</v>
      </c>
      <c r="K139">
        <v>0.96573179743189697</v>
      </c>
      <c r="L139">
        <v>84.114975878037598</v>
      </c>
      <c r="M139" s="16">
        <f>+'[3]VAR expectations'!C163</f>
        <v>2.4687156565697737</v>
      </c>
      <c r="N139">
        <v>9.3019000000000004E-2</v>
      </c>
      <c r="O139">
        <v>-4.8610000000000701E-3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J140">
        <v>145.790533707485</v>
      </c>
      <c r="K140">
        <v>0.96413548241635605</v>
      </c>
      <c r="L140">
        <v>84.016573380577896</v>
      </c>
      <c r="M140" s="16">
        <f>+'[3]VAR expectations'!C164</f>
        <v>2.4272584547421974</v>
      </c>
      <c r="N140">
        <v>3.9982999999999998E-2</v>
      </c>
      <c r="O140">
        <v>-8.29000000000062E-4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J141">
        <v>146.67556278298099</v>
      </c>
      <c r="K141">
        <v>0.962934992639086</v>
      </c>
      <c r="L141">
        <v>83.919155905963805</v>
      </c>
      <c r="M141" s="16">
        <f>+'[3]VAR expectations'!C165</f>
        <v>2.4505337246023733</v>
      </c>
      <c r="N141">
        <v>1.0666E-2</v>
      </c>
      <c r="O141">
        <v>2.1399000000000001E-2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J142">
        <v>147.37248470998401</v>
      </c>
      <c r="K142">
        <v>0.96177157767361698</v>
      </c>
      <c r="L142">
        <v>83.822798778478898</v>
      </c>
      <c r="M142" s="16">
        <f>+'[3]VAR expectations'!C166</f>
        <v>2.4399426350808717</v>
      </c>
      <c r="N142">
        <v>2.8835E-2</v>
      </c>
      <c r="O142">
        <v>1.3081000000000001E-2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J143">
        <v>148.08023853328299</v>
      </c>
      <c r="K143">
        <v>0.96073403704871396</v>
      </c>
      <c r="L143">
        <v>83.727519722800906</v>
      </c>
      <c r="M143" s="16">
        <f>+'[3]VAR expectations'!C167</f>
        <v>2.4724757454078841</v>
      </c>
      <c r="N143">
        <v>4.7026999999999999E-2</v>
      </c>
      <c r="O143">
        <v>1.33330000000001E-2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J144">
        <v>148.76879706440599</v>
      </c>
      <c r="K144">
        <v>0.95973934705584296</v>
      </c>
      <c r="L144">
        <v>83.633264131807096</v>
      </c>
      <c r="M144" s="16">
        <f>+'[3]VAR expectations'!C168</f>
        <v>2.5381252562448622</v>
      </c>
      <c r="N144">
        <v>5.67E-2</v>
      </c>
      <c r="O144">
        <v>8.5569999999999292E-3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M145" s="16">
        <f>+'[3]VAR expectations'!C169</f>
        <v>2.6576871518365146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96FF-863D-4C74-906D-A24CDE2D151A}">
  <dimension ref="A1:V172"/>
  <sheetViews>
    <sheetView zoomScaleNormal="100" workbookViewId="0">
      <selection activeCell="A4" sqref="A4"/>
    </sheetView>
  </sheetViews>
  <sheetFormatPr defaultRowHeight="15" x14ac:dyDescent="0.25"/>
  <cols>
    <col min="1" max="1" width="12.140625" customWidth="1"/>
    <col min="2" max="2" width="11.140625" customWidth="1"/>
    <col min="9" max="9" width="9.5703125" customWidth="1"/>
  </cols>
  <sheetData>
    <row r="1" spans="1:22" x14ac:dyDescent="0.25">
      <c r="A1" t="s">
        <v>0</v>
      </c>
      <c r="I1" t="s">
        <v>1</v>
      </c>
    </row>
    <row r="2" spans="1:22" x14ac:dyDescent="0.25">
      <c r="A2" t="s">
        <v>2</v>
      </c>
      <c r="I2" t="s">
        <v>3</v>
      </c>
    </row>
    <row r="3" spans="1:22" x14ac:dyDescent="0.25">
      <c r="A3" s="1" t="s">
        <v>4</v>
      </c>
      <c r="B3" s="2" t="s">
        <v>5</v>
      </c>
      <c r="C3" s="2"/>
      <c r="D3" s="3" t="str">
        <f>L3</f>
        <v>M26_</v>
      </c>
      <c r="I3" s="1" t="s">
        <v>7</v>
      </c>
      <c r="J3" s="2" t="s">
        <v>5</v>
      </c>
      <c r="K3" s="2"/>
      <c r="L3" t="s">
        <v>6</v>
      </c>
    </row>
    <row r="4" spans="1:22" x14ac:dyDescent="0.25">
      <c r="A4" t="s">
        <v>194</v>
      </c>
      <c r="B4" s="2" t="s">
        <v>8</v>
      </c>
      <c r="C4" s="2"/>
      <c r="D4" s="3" t="s">
        <v>9</v>
      </c>
      <c r="I4" s="4" t="s">
        <v>10</v>
      </c>
      <c r="J4" s="2" t="s">
        <v>8</v>
      </c>
      <c r="K4" s="2"/>
      <c r="L4" s="5" t="s">
        <v>78</v>
      </c>
    </row>
    <row r="5" spans="1:22" x14ac:dyDescent="0.25">
      <c r="A5" t="s">
        <v>7</v>
      </c>
      <c r="B5" s="2" t="s">
        <v>11</v>
      </c>
      <c r="C5" s="2"/>
      <c r="I5" t="s">
        <v>12</v>
      </c>
      <c r="J5" s="2" t="s">
        <v>11</v>
      </c>
      <c r="K5" s="2"/>
    </row>
    <row r="6" spans="1:22" x14ac:dyDescent="0.25">
      <c r="A6" t="s">
        <v>193</v>
      </c>
      <c r="I6" t="s">
        <v>13</v>
      </c>
      <c r="K6" s="2"/>
    </row>
    <row r="7" spans="1:22" x14ac:dyDescent="0.25">
      <c r="B7" s="6" t="s">
        <v>14</v>
      </c>
      <c r="C7" s="7"/>
      <c r="D7" s="7"/>
      <c r="E7" s="7"/>
      <c r="F7" s="7"/>
      <c r="G7" s="7" t="s">
        <v>15</v>
      </c>
      <c r="H7" s="7"/>
      <c r="I7" s="8" t="s">
        <v>16</v>
      </c>
      <c r="J7" s="9"/>
      <c r="K7" s="9"/>
      <c r="L7" s="9"/>
      <c r="M7" s="9"/>
      <c r="N7" s="8"/>
      <c r="O7" s="8"/>
      <c r="P7" s="10" t="s">
        <v>17</v>
      </c>
      <c r="Q7" s="11"/>
      <c r="R7" s="11"/>
      <c r="S7" s="11"/>
      <c r="T7" s="11"/>
      <c r="U7" s="11"/>
      <c r="V7" s="11"/>
    </row>
    <row r="8" spans="1:22" x14ac:dyDescent="0.25">
      <c r="B8" s="6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10" t="s">
        <v>20</v>
      </c>
      <c r="Q8" s="10" t="s">
        <v>25</v>
      </c>
      <c r="R8" s="10" t="s">
        <v>19</v>
      </c>
      <c r="S8" s="10" t="s">
        <v>22</v>
      </c>
      <c r="T8" s="10" t="s">
        <v>23</v>
      </c>
      <c r="U8" s="10" t="s">
        <v>24</v>
      </c>
      <c r="V8" s="10" t="s">
        <v>32</v>
      </c>
    </row>
    <row r="9" spans="1:22" x14ac:dyDescent="0.25">
      <c r="A9" t="s">
        <v>33</v>
      </c>
      <c r="B9" s="7" t="s">
        <v>34</v>
      </c>
      <c r="C9" s="7" t="s">
        <v>35</v>
      </c>
      <c r="D9" s="7" t="s">
        <v>36</v>
      </c>
      <c r="E9" s="7"/>
      <c r="F9" s="7" t="s">
        <v>37</v>
      </c>
      <c r="G9" s="7" t="s">
        <v>38</v>
      </c>
      <c r="H9" s="7" t="s">
        <v>39</v>
      </c>
      <c r="I9" s="9" t="s">
        <v>40</v>
      </c>
      <c r="J9" s="9" t="s">
        <v>41</v>
      </c>
      <c r="K9" s="9" t="s">
        <v>42</v>
      </c>
      <c r="L9" s="9" t="s">
        <v>43</v>
      </c>
      <c r="M9" s="9"/>
      <c r="N9" s="9" t="s">
        <v>44</v>
      </c>
      <c r="O9" s="9" t="s">
        <v>45</v>
      </c>
      <c r="P9" s="11"/>
      <c r="Q9" s="11"/>
      <c r="R9" s="11"/>
      <c r="S9" s="11"/>
      <c r="T9" s="11"/>
      <c r="U9" s="11"/>
      <c r="V9" s="11"/>
    </row>
    <row r="10" spans="1:22" x14ac:dyDescent="0.25">
      <c r="A10" t="s">
        <v>46</v>
      </c>
      <c r="B10" s="12" t="str">
        <f>"conv2qa(X12("&amp;$D$5&amp;$D$3&amp;B9&amp;$D$4&amp;",MULT," &amp; TEXT($A$3,"yyyy""m""m") &amp; "," &amp; TEXT($A$4,"yyyy""m""m") &amp; "))"</f>
        <v>conv2qa(X12(M26_stifidx_fin.m,MULT,1996m1,2029m12))</v>
      </c>
      <c r="C10" s="12" t="str">
        <f t="shared" ref="C10:D10" si="0">"conv2qa(X12("&amp;$D$5&amp;$D$3&amp;C9&amp;$D$4&amp;",MULT," &amp; TEXT($A$3,"yyyy""m""m") &amp; "," &amp; TEXT($A$4,"yyyy""m""m") &amp; "))"</f>
        <v>conv2qa(X12(M26_stif_srv_fin.m,MULT,1996m1,2029m12))</v>
      </c>
      <c r="D10" s="12" t="str">
        <f t="shared" si="0"/>
        <v>conv2qa(X12(M26_stif_gds_xeatfnab_fin.m,MULT,1996m1,2029m12))</v>
      </c>
      <c r="E10" s="12" t="str">
        <f>"conv2qa(X12(cpi_aggregation("&amp;G7&amp;", "&amp;G9&amp;","&amp;H9&amp;",#,#,#,#,#,#,#,#,#,#,#,#,#,#,#,#,#),MULT," &amp; TEXT($A$3,"yyyy""m""m") &amp; "," &amp; TEXT($A$4,"yyyy""m""m") &amp; "))"</f>
        <v>conv2qa(X12(cpi_aggregation(stif_fnab.m, booze.m,fags.m,#,#,#,#,#,#,#,#,#,#,#,#,#,#,#,#,#),MULT,1996m1,2029m12))</v>
      </c>
      <c r="F10" s="12" t="str">
        <f>"conv2qa(X12("&amp;$D$5&amp;$D$3&amp;F9&amp;$D$4&amp;",MULT," &amp; TEXT($A$3,"yyyy""m""m") &amp; "," &amp; TEXT($A$4,"yyyy""m""m") &amp; "))"</f>
        <v>conv2qa(X12(M26_stif_fnab_fin.m,MULT,1996m1,2029m12))</v>
      </c>
      <c r="G10" s="12" t="str">
        <f>"conv2qa(X12("&amp;G9&amp;",MULT," &amp; TEXT($A$3,"yyyy""m""m") &amp; "," &amp; TEXT($A$4,"yyyy""m""m") &amp; "))"</f>
        <v>conv2qa(X12(booze.m,MULT,1996m1,2029m12))</v>
      </c>
      <c r="H10" s="12" t="str">
        <f>"conv2qa(X12("&amp;H9&amp;",MULT," &amp; TEXT($A$3,"yyyy""m""m") &amp; "," &amp; TEXT($A$4,"yyyy""m""m") &amp; "))"</f>
        <v>conv2qa(X12(fags.m,MULT,1996m1,2029m12))</v>
      </c>
      <c r="I10" s="12" t="str">
        <f>"conv2qa(X12("&amp;$D$5&amp;$D$3&amp;I9&amp;$D$4&amp;",MULT," &amp; TEXT($A$3,"yyyy""m""m") &amp; "," &amp; TEXT($I$5,"yyyy""m""m") &amp; "))"</f>
        <v>conv2qa(X12(M26_stif_pu_fin.m,MULT,1996m1,2029m3))</v>
      </c>
      <c r="J10" s="12"/>
      <c r="K10" s="12"/>
      <c r="L10" s="12"/>
      <c r="M10" s="12"/>
      <c r="N10" s="12"/>
      <c r="O10" s="12"/>
      <c r="P10" s="13" t="s">
        <v>47</v>
      </c>
      <c r="Q10" s="13" t="s">
        <v>48</v>
      </c>
      <c r="R10" s="13" t="s">
        <v>49</v>
      </c>
      <c r="S10" s="13" t="s">
        <v>50</v>
      </c>
      <c r="T10" s="13" t="s">
        <v>51</v>
      </c>
      <c r="U10" s="13" t="s">
        <v>52</v>
      </c>
      <c r="V10" s="13"/>
    </row>
    <row r="11" spans="1:22" x14ac:dyDescent="0.25">
      <c r="A11" s="14" t="s">
        <v>53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71</v>
      </c>
      <c r="T11" s="14" t="s">
        <v>72</v>
      </c>
      <c r="U11" s="14" t="s">
        <v>73</v>
      </c>
      <c r="V11" s="14" t="s">
        <v>74</v>
      </c>
    </row>
    <row r="12" spans="1:22" x14ac:dyDescent="0.25">
      <c r="A12" s="15">
        <v>35155</v>
      </c>
      <c r="B12" t="e">
        <f>[2]!FAMEData(B10, $A$5, $A$6, 0,"Quarterly", "Down", "No Heading", "Normal")</f>
        <v>#N/A</v>
      </c>
      <c r="C12" t="e">
        <f>[2]!FAMEData(C10, $A$5, $A$6, 0,"Quarterly", "Down", "No Heading", "Normal")</f>
        <v>#N/A</v>
      </c>
      <c r="D12" t="e">
        <f>[2]!FAMEData(D10, $A$5, $A$6, 0,"Quarterly", "Down", "No Heading", "Normal")</f>
        <v>#N/A</v>
      </c>
      <c r="E12" t="e">
        <f>[2]!FAMEData(E10, $A$5, $A$6, 0,"Quarterly", "Down", "No Heading", "Normal")</f>
        <v>#N/A</v>
      </c>
      <c r="F12" t="e">
        <f>[2]!FAMEData(F10, $A$5, $A$6, 0,"Quarterly", "Down", "No Heading", "Normal")</f>
        <v>#N/A</v>
      </c>
      <c r="G12" t="e">
        <f>[2]!FAMEData(G10, $A$5, $A$6, 0,"Quarterly", "Down", "No Heading", "Normal")</f>
        <v>#N/A</v>
      </c>
      <c r="H12" t="e">
        <f>[2]!FAMEData(H10, $A$5, $A$6, 0,"Quarterly", "Down", "No Heading", "Normal")</f>
        <v>#N/A</v>
      </c>
      <c r="I12" t="e">
        <f>[2]!FAMEData(I10, $I$3, $I$6, 0,"Quarterly", "Down", "No Heading", "Normal")</f>
        <v>#N/A</v>
      </c>
      <c r="J12">
        <f>[2]!FAMEData($L$5&amp;$L$3&amp;J9&amp;$L$4, $I$3, $I$4, 0,"Quarterly", "Down", "No Heading", "Normal")</f>
        <v>68.274785869470605</v>
      </c>
      <c r="K12">
        <f>[2]!FAMEData($L$5&amp;$L$3&amp;K9&amp;$L$4, $I$3, $I$4, 0,"Quarterly", "Down", "No Heading", "Normal")</f>
        <v>0.69676277490104199</v>
      </c>
      <c r="L12">
        <f>[2]!FAMEData($L$5&amp;$L$3&amp;L9&amp;$L$4, $I$3, $I$4, 0,"Quarterly", "Down", "No Heading", "Normal")</f>
        <v>80.896181538461505</v>
      </c>
      <c r="M12" s="16">
        <f>+'[3]VAR expectations'!C36</f>
        <v>2.8151174291133074</v>
      </c>
      <c r="N12">
        <f>[2]!FAMEData($L$5&amp;$L$3&amp;N9&amp;$L$4, $I$3, $I$4, 0,"Quarterly", "Down", "No Heading", "Normal")</f>
        <v>0.3</v>
      </c>
      <c r="O12">
        <f>[2]!FAMEData($L$5&amp;$L$3&amp;O9&amp;$L$4, $I$3, $I$4, 0,"Quarterly", "Down", "No Heading", "Normal")</f>
        <v>0.118309818208218</v>
      </c>
      <c r="P12">
        <f>[2]!FAMEData(P10, $I$3, $I$4, 0,"Quarterly", "Down", "No Heading", "Normal")</f>
        <v>330</v>
      </c>
      <c r="Q12">
        <f>[2]!FAMEData(Q10, $I$3, $I$4, 0,"Quarterly", "Down", "No Heading", "Normal")</f>
        <v>85</v>
      </c>
      <c r="R12">
        <f>[2]!FAMEData(R10, $I$3, $I$4, 0,"Quarterly", "Down", "No Heading", "Normal")</f>
        <v>359</v>
      </c>
      <c r="S12">
        <f>[2]!FAMEData(S10, $I$3, $I$4, 0,"Quarterly", "Down", "No Heading", "Normal")</f>
        <v>156</v>
      </c>
      <c r="T12">
        <f>[2]!FAMEData(T10, $I$3, $I$4, 0,"Quarterly", "Down", "No Heading", "Normal")</f>
        <v>35</v>
      </c>
      <c r="U12">
        <f>[2]!FAMEData(U10, $I$3, $I$4, 0,"Quarterly", "Down", "No Heading", "Normal")</f>
        <v>35</v>
      </c>
      <c r="V12">
        <f>+S12+T12+U12</f>
        <v>226</v>
      </c>
    </row>
    <row r="13" spans="1:22" x14ac:dyDescent="0.25">
      <c r="A13" s="15">
        <v>35246</v>
      </c>
      <c r="B13">
        <v>68.723480942931303</v>
      </c>
      <c r="C13">
        <v>51.436217115422501</v>
      </c>
      <c r="D13">
        <v>120.55767761245134</v>
      </c>
      <c r="E13">
        <v>59.150835037210463</v>
      </c>
      <c r="F13">
        <v>66.150622751811724</v>
      </c>
      <c r="G13">
        <v>78.703574190501072</v>
      </c>
      <c r="H13">
        <v>30.476125774121101</v>
      </c>
      <c r="I13">
        <v>43.120581147797139</v>
      </c>
      <c r="J13">
        <v>68.646172139093594</v>
      </c>
      <c r="K13">
        <v>0.697170201453299</v>
      </c>
      <c r="L13">
        <v>81.882196923076904</v>
      </c>
      <c r="M13" s="16">
        <f>+'[3]VAR expectations'!C37</f>
        <v>2.6154884948264598</v>
      </c>
      <c r="N13">
        <v>0.3</v>
      </c>
      <c r="O13">
        <v>2.51123070484027E-4</v>
      </c>
      <c r="P13">
        <v>330</v>
      </c>
      <c r="Q13">
        <v>85</v>
      </c>
      <c r="R13">
        <v>359</v>
      </c>
      <c r="S13">
        <v>156</v>
      </c>
      <c r="T13">
        <v>35</v>
      </c>
      <c r="U13">
        <v>35</v>
      </c>
      <c r="V13">
        <f>+S13+T13+U13</f>
        <v>226</v>
      </c>
    </row>
    <row r="14" spans="1:22" x14ac:dyDescent="0.25">
      <c r="A14" s="15">
        <v>35338</v>
      </c>
      <c r="B14">
        <v>68.949456546139999</v>
      </c>
      <c r="C14">
        <v>51.916931408985363</v>
      </c>
      <c r="D14">
        <v>120.616001958364</v>
      </c>
      <c r="E14">
        <v>59.12231197052197</v>
      </c>
      <c r="F14">
        <v>65.892031840330773</v>
      </c>
      <c r="G14">
        <v>78.989247520031967</v>
      </c>
      <c r="H14">
        <v>30.929830737469164</v>
      </c>
      <c r="I14">
        <v>43.346266616041838</v>
      </c>
      <c r="J14">
        <v>68.991322144235795</v>
      </c>
      <c r="K14">
        <v>0.68186344897864604</v>
      </c>
      <c r="L14">
        <v>82.869486363636398</v>
      </c>
      <c r="M14" s="16">
        <f>+'[3]VAR expectations'!C38</f>
        <v>2.6428562485995646</v>
      </c>
      <c r="N14">
        <v>0.3</v>
      </c>
      <c r="O14">
        <v>7.0742212235927596E-2</v>
      </c>
      <c r="P14">
        <v>330</v>
      </c>
      <c r="Q14">
        <v>85</v>
      </c>
      <c r="R14">
        <v>359</v>
      </c>
      <c r="S14">
        <v>156</v>
      </c>
      <c r="T14">
        <v>35</v>
      </c>
      <c r="U14">
        <v>35</v>
      </c>
      <c r="V14">
        <f t="shared" ref="V14:V77" si="1">+S14+T14+U14</f>
        <v>226</v>
      </c>
    </row>
    <row r="15" spans="1:22" x14ac:dyDescent="0.25">
      <c r="A15" s="15">
        <v>35430</v>
      </c>
      <c r="B15">
        <v>69.259947297382666</v>
      </c>
      <c r="C15">
        <v>52.311071312771965</v>
      </c>
      <c r="D15">
        <v>120.63002394083701</v>
      </c>
      <c r="E15">
        <v>58.834792121222769</v>
      </c>
      <c r="F15">
        <v>65.084105610473628</v>
      </c>
      <c r="G15">
        <v>79.125642753287138</v>
      </c>
      <c r="H15">
        <v>31.483583173415866</v>
      </c>
      <c r="I15">
        <v>44.7267749910337</v>
      </c>
      <c r="J15">
        <v>69.3818999527915</v>
      </c>
      <c r="K15">
        <v>0.67273735054240202</v>
      </c>
      <c r="L15">
        <v>88.333556060606099</v>
      </c>
      <c r="M15" s="16">
        <f>+'[3]VAR expectations'!C39</f>
        <v>2.8292929206876933</v>
      </c>
      <c r="N15">
        <v>0.3</v>
      </c>
      <c r="O15">
        <v>0.23646385967731501</v>
      </c>
      <c r="P15">
        <v>330</v>
      </c>
      <c r="Q15">
        <v>85</v>
      </c>
      <c r="R15">
        <v>359</v>
      </c>
      <c r="S15">
        <v>156</v>
      </c>
      <c r="T15">
        <v>35</v>
      </c>
      <c r="U15">
        <v>35</v>
      </c>
      <c r="V15">
        <f t="shared" si="1"/>
        <v>226</v>
      </c>
    </row>
    <row r="16" spans="1:22" x14ac:dyDescent="0.25">
      <c r="A16" s="15">
        <v>35520</v>
      </c>
      <c r="B16">
        <v>69.656172144574199</v>
      </c>
      <c r="C16">
        <v>52.833527081934562</v>
      </c>
      <c r="D16">
        <v>120.51831953602668</v>
      </c>
      <c r="E16">
        <v>59.076250344490298</v>
      </c>
      <c r="F16">
        <v>65.240899062162541</v>
      </c>
      <c r="G16">
        <v>78.957703138344769</v>
      </c>
      <c r="H16">
        <v>32.032941374691468</v>
      </c>
      <c r="I16">
        <v>45.328295668909</v>
      </c>
      <c r="J16">
        <v>69.587124046145405</v>
      </c>
      <c r="K16">
        <v>0.64938685118057304</v>
      </c>
      <c r="L16">
        <v>92.820320312500002</v>
      </c>
      <c r="M16" s="16">
        <f>+'[3]VAR expectations'!C40</f>
        <v>2.782809710824401</v>
      </c>
      <c r="N16">
        <v>0.32542978632096897</v>
      </c>
      <c r="O16">
        <v>2.3357266560196901E-2</v>
      </c>
      <c r="P16">
        <v>330</v>
      </c>
      <c r="Q16">
        <v>87</v>
      </c>
      <c r="R16">
        <v>360</v>
      </c>
      <c r="S16">
        <v>152</v>
      </c>
      <c r="T16">
        <v>35</v>
      </c>
      <c r="U16">
        <v>36</v>
      </c>
      <c r="V16">
        <f t="shared" si="1"/>
        <v>223</v>
      </c>
    </row>
    <row r="17" spans="1:22" x14ac:dyDescent="0.25">
      <c r="A17" s="15">
        <v>35611</v>
      </c>
      <c r="B17">
        <v>69.818827320614488</v>
      </c>
      <c r="C17">
        <v>53.331404584016006</v>
      </c>
      <c r="D17">
        <v>120.310188362095</v>
      </c>
      <c r="E17">
        <v>59.375031266633805</v>
      </c>
      <c r="F17">
        <v>65.408499895120499</v>
      </c>
      <c r="G17">
        <v>79.267965073223266</v>
      </c>
      <c r="H17">
        <v>32.549626728659469</v>
      </c>
      <c r="I17">
        <v>44.445946493019299</v>
      </c>
      <c r="J17">
        <v>69.77956219056</v>
      </c>
      <c r="K17">
        <v>0.63898761329940501</v>
      </c>
      <c r="L17">
        <v>95.131486153846197</v>
      </c>
      <c r="M17" s="16">
        <f>+'[3]VAR expectations'!C41</f>
        <v>2.9050115480316223</v>
      </c>
      <c r="N17">
        <v>0.25613509932256301</v>
      </c>
      <c r="O17">
        <v>-6.6622115671634702E-2</v>
      </c>
      <c r="P17">
        <v>330</v>
      </c>
      <c r="Q17">
        <v>87</v>
      </c>
      <c r="R17">
        <v>360</v>
      </c>
      <c r="S17">
        <v>152</v>
      </c>
      <c r="T17">
        <v>35</v>
      </c>
      <c r="U17">
        <v>36</v>
      </c>
      <c r="V17">
        <f t="shared" si="1"/>
        <v>223</v>
      </c>
    </row>
    <row r="18" spans="1:22" x14ac:dyDescent="0.25">
      <c r="A18" s="15">
        <v>35703</v>
      </c>
      <c r="B18">
        <v>70.281779806161396</v>
      </c>
      <c r="C18">
        <v>53.831610222106065</v>
      </c>
      <c r="D18">
        <v>120.33884823031001</v>
      </c>
      <c r="E18">
        <v>59.894854455189403</v>
      </c>
      <c r="F18">
        <v>65.91284178230616</v>
      </c>
      <c r="G18">
        <v>79.394793740428895</v>
      </c>
      <c r="H18">
        <v>33.304621200313029</v>
      </c>
      <c r="I18">
        <v>45.375545582595635</v>
      </c>
      <c r="J18">
        <v>70.337384241348005</v>
      </c>
      <c r="K18">
        <v>0.63319365618204004</v>
      </c>
      <c r="L18">
        <v>97.471460606060603</v>
      </c>
      <c r="M18" s="16">
        <f>+'[3]VAR expectations'!C42</f>
        <v>3.1797827097537499</v>
      </c>
      <c r="N18">
        <v>0.39400900071781603</v>
      </c>
      <c r="O18">
        <v>0.20520694553852101</v>
      </c>
      <c r="P18">
        <v>330</v>
      </c>
      <c r="Q18">
        <v>87</v>
      </c>
      <c r="R18">
        <v>360</v>
      </c>
      <c r="S18">
        <v>152</v>
      </c>
      <c r="T18">
        <v>35</v>
      </c>
      <c r="U18">
        <v>36</v>
      </c>
      <c r="V18">
        <f t="shared" si="1"/>
        <v>223</v>
      </c>
    </row>
    <row r="19" spans="1:22" x14ac:dyDescent="0.25">
      <c r="A19" s="15">
        <v>35795</v>
      </c>
      <c r="B19">
        <v>70.534190606333013</v>
      </c>
      <c r="C19">
        <v>54.3557598582004</v>
      </c>
      <c r="D19">
        <v>120.137475565896</v>
      </c>
      <c r="E19">
        <v>60.113280542367164</v>
      </c>
      <c r="F19">
        <v>65.8557702922663</v>
      </c>
      <c r="G19">
        <v>79.329518514698592</v>
      </c>
      <c r="H19">
        <v>34.107615541725302</v>
      </c>
      <c r="I19">
        <v>45.165943591837305</v>
      </c>
      <c r="J19">
        <v>70.608567754153796</v>
      </c>
      <c r="K19">
        <v>0.63128999906948902</v>
      </c>
      <c r="L19">
        <v>98.626171212121207</v>
      </c>
      <c r="M19" s="16">
        <f>+'[3]VAR expectations'!C43</f>
        <v>3.4444390840252752</v>
      </c>
      <c r="N19">
        <v>8.2296484534251493E-2</v>
      </c>
      <c r="O19">
        <v>-7.6698243618011502E-2</v>
      </c>
      <c r="P19">
        <v>330</v>
      </c>
      <c r="Q19">
        <v>87</v>
      </c>
      <c r="R19">
        <v>360</v>
      </c>
      <c r="S19">
        <v>152</v>
      </c>
      <c r="T19">
        <v>35</v>
      </c>
      <c r="U19">
        <v>36</v>
      </c>
      <c r="V19">
        <f t="shared" si="1"/>
        <v>223</v>
      </c>
    </row>
    <row r="20" spans="1:22" x14ac:dyDescent="0.25">
      <c r="A20" s="15">
        <v>35885</v>
      </c>
      <c r="B20">
        <v>70.7608317169408</v>
      </c>
      <c r="C20">
        <v>54.867317852625661</v>
      </c>
      <c r="D20">
        <v>119.84603007593834</v>
      </c>
      <c r="E20">
        <v>60.324796116075639</v>
      </c>
      <c r="F20">
        <v>65.556439010962166</v>
      </c>
      <c r="G20">
        <v>80.314829273702273</v>
      </c>
      <c r="H20">
        <v>35.043737560232664</v>
      </c>
      <c r="I20">
        <v>45.066788167537368</v>
      </c>
      <c r="J20">
        <v>70.691929419489099</v>
      </c>
      <c r="K20">
        <v>0.62538235592018598</v>
      </c>
      <c r="L20">
        <v>100.6106328125</v>
      </c>
      <c r="M20" s="16">
        <f>+'[3]VAR expectations'!C44</f>
        <v>3.2371139634797124</v>
      </c>
      <c r="N20">
        <v>-5.7532854062382399E-2</v>
      </c>
      <c r="O20">
        <v>-0.11486139148473699</v>
      </c>
      <c r="P20">
        <v>344</v>
      </c>
      <c r="Q20">
        <v>86</v>
      </c>
      <c r="R20">
        <v>358</v>
      </c>
      <c r="S20">
        <v>144</v>
      </c>
      <c r="T20">
        <v>32</v>
      </c>
      <c r="U20">
        <v>36</v>
      </c>
      <c r="V20">
        <f t="shared" si="1"/>
        <v>212</v>
      </c>
    </row>
    <row r="21" spans="1:22" x14ac:dyDescent="0.25">
      <c r="A21" s="15">
        <v>35976</v>
      </c>
      <c r="B21">
        <v>71.100692129748865</v>
      </c>
      <c r="C21">
        <v>55.376840634027332</v>
      </c>
      <c r="D21">
        <v>119.471764844226</v>
      </c>
      <c r="E21">
        <v>60.759837540213304</v>
      </c>
      <c r="F21">
        <v>65.968165559058164</v>
      </c>
      <c r="G21">
        <v>80.69741780577624</v>
      </c>
      <c r="H21">
        <v>35.534825019560401</v>
      </c>
      <c r="I21">
        <v>45.512400795735267</v>
      </c>
      <c r="J21">
        <v>71.092690716499405</v>
      </c>
      <c r="K21">
        <v>0.61574060369241101</v>
      </c>
      <c r="L21">
        <v>100.512433846154</v>
      </c>
      <c r="M21" s="16">
        <f>+'[3]VAR expectations'!C45</f>
        <v>3.3504016664521434</v>
      </c>
      <c r="N21">
        <v>0.21318487209665199</v>
      </c>
      <c r="O21">
        <v>0.20608988404274001</v>
      </c>
      <c r="P21">
        <v>344</v>
      </c>
      <c r="Q21">
        <v>86</v>
      </c>
      <c r="R21">
        <v>358</v>
      </c>
      <c r="S21">
        <v>144</v>
      </c>
      <c r="T21">
        <v>32</v>
      </c>
      <c r="U21">
        <v>36</v>
      </c>
      <c r="V21">
        <f t="shared" si="1"/>
        <v>212</v>
      </c>
    </row>
    <row r="22" spans="1:22" x14ac:dyDescent="0.25">
      <c r="A22" s="15">
        <v>36068</v>
      </c>
      <c r="B22">
        <v>71.255609421750464</v>
      </c>
      <c r="C22">
        <v>55.834494062716864</v>
      </c>
      <c r="D22">
        <v>118.95366575846867</v>
      </c>
      <c r="E22">
        <v>61.32656451816981</v>
      </c>
      <c r="F22">
        <v>66.599884378909437</v>
      </c>
      <c r="G22">
        <v>81.111237273143601</v>
      </c>
      <c r="H22">
        <v>36.009377724459029</v>
      </c>
      <c r="I22">
        <v>45.240117527977468</v>
      </c>
      <c r="J22">
        <v>71.320297912354405</v>
      </c>
      <c r="K22">
        <v>0.61194660690414404</v>
      </c>
      <c r="L22">
        <v>100.14717121212099</v>
      </c>
      <c r="M22" s="16">
        <f>+'[3]VAR expectations'!C46</f>
        <v>3.4355092923982902</v>
      </c>
      <c r="N22">
        <v>-2.0958848262692498E-2</v>
      </c>
      <c r="O22">
        <v>-2.9661141335964199E-2</v>
      </c>
      <c r="P22">
        <v>344</v>
      </c>
      <c r="Q22">
        <v>86</v>
      </c>
      <c r="R22">
        <v>358</v>
      </c>
      <c r="S22">
        <v>144</v>
      </c>
      <c r="T22">
        <v>32</v>
      </c>
      <c r="U22">
        <v>36</v>
      </c>
      <c r="V22">
        <f t="shared" si="1"/>
        <v>212</v>
      </c>
    </row>
    <row r="23" spans="1:22" x14ac:dyDescent="0.25">
      <c r="A23" s="15">
        <v>36160</v>
      </c>
      <c r="B23">
        <v>71.539883561847134</v>
      </c>
      <c r="C23">
        <v>56.342645165224134</v>
      </c>
      <c r="D23">
        <v>118.50979090512165</v>
      </c>
      <c r="E23">
        <v>61.798219499311834</v>
      </c>
      <c r="F23">
        <v>66.931585635713873</v>
      </c>
      <c r="G23">
        <v>81.345598400718799</v>
      </c>
      <c r="H23">
        <v>36.768433546815068</v>
      </c>
      <c r="I23">
        <v>45.182611283650935</v>
      </c>
      <c r="J23">
        <v>71.576719889480401</v>
      </c>
      <c r="K23">
        <v>0.615800780480114</v>
      </c>
      <c r="L23">
        <v>97.166321212121204</v>
      </c>
      <c r="M23" s="16">
        <f>+'[3]VAR expectations'!C47</f>
        <v>3.0318466606958814</v>
      </c>
      <c r="N23">
        <v>-3.8943111691064898E-3</v>
      </c>
      <c r="O23">
        <v>-5.8732811361551299E-2</v>
      </c>
      <c r="P23">
        <v>344</v>
      </c>
      <c r="Q23">
        <v>86</v>
      </c>
      <c r="R23">
        <v>358</v>
      </c>
      <c r="S23">
        <v>144</v>
      </c>
      <c r="T23">
        <v>32</v>
      </c>
      <c r="U23">
        <v>36</v>
      </c>
      <c r="V23">
        <f t="shared" si="1"/>
        <v>212</v>
      </c>
    </row>
    <row r="24" spans="1:22" x14ac:dyDescent="0.25">
      <c r="A24" s="15">
        <v>36250</v>
      </c>
      <c r="B24">
        <v>71.869448362919044</v>
      </c>
      <c r="C24">
        <v>56.820337302049928</v>
      </c>
      <c r="D24">
        <v>117.91126120930566</v>
      </c>
      <c r="E24">
        <v>62.464147948596434</v>
      </c>
      <c r="F24">
        <v>67.238659277963379</v>
      </c>
      <c r="G24">
        <v>81.576404148116524</v>
      </c>
      <c r="H24">
        <v>38.383741142268867</v>
      </c>
      <c r="I24">
        <v>45.605839036949533</v>
      </c>
      <c r="J24">
        <v>71.807723859994795</v>
      </c>
      <c r="K24">
        <v>0.61208261764455096</v>
      </c>
      <c r="L24">
        <v>97.283789062500006</v>
      </c>
      <c r="M24" s="16">
        <f>+'[3]VAR expectations'!C48</f>
        <v>2.9135124750770758</v>
      </c>
      <c r="N24">
        <v>9.5197607719880006E-2</v>
      </c>
      <c r="O24">
        <v>-1.5952862799167598E-2</v>
      </c>
      <c r="P24">
        <v>341</v>
      </c>
      <c r="Q24">
        <v>83</v>
      </c>
      <c r="R24">
        <v>372</v>
      </c>
      <c r="S24">
        <v>141</v>
      </c>
      <c r="T24">
        <v>30</v>
      </c>
      <c r="U24">
        <v>33</v>
      </c>
      <c r="V24">
        <f t="shared" si="1"/>
        <v>204</v>
      </c>
    </row>
    <row r="25" spans="1:22" x14ac:dyDescent="0.25">
      <c r="A25" s="15">
        <v>36341</v>
      </c>
      <c r="B25">
        <v>72.089045435709679</v>
      </c>
      <c r="C25">
        <v>57.315645524914736</v>
      </c>
      <c r="D25">
        <v>117.102020370133</v>
      </c>
      <c r="E25">
        <v>62.327610240975297</v>
      </c>
      <c r="F25">
        <v>66.571844762680328</v>
      </c>
      <c r="G25">
        <v>81.622908379807555</v>
      </c>
      <c r="H25">
        <v>39.566559269054331</v>
      </c>
      <c r="I25">
        <v>46.924886016740267</v>
      </c>
      <c r="J25">
        <v>72.102603654941007</v>
      </c>
      <c r="K25">
        <v>0.60729455707630897</v>
      </c>
      <c r="L25">
        <v>99.140043076923106</v>
      </c>
      <c r="M25" s="16">
        <f>+'[3]VAR expectations'!C49</f>
        <v>2.7839723709682413</v>
      </c>
      <c r="N25">
        <v>0.27359049641299199</v>
      </c>
      <c r="O25">
        <v>0.380440324544907</v>
      </c>
      <c r="P25">
        <v>341</v>
      </c>
      <c r="Q25">
        <v>83</v>
      </c>
      <c r="R25">
        <v>372</v>
      </c>
      <c r="S25">
        <v>141</v>
      </c>
      <c r="T25">
        <v>30</v>
      </c>
      <c r="U25">
        <v>33</v>
      </c>
      <c r="V25">
        <f t="shared" si="1"/>
        <v>204</v>
      </c>
    </row>
    <row r="26" spans="1:22" x14ac:dyDescent="0.25">
      <c r="A26" s="15">
        <v>36433</v>
      </c>
      <c r="B26">
        <v>72.125395078804502</v>
      </c>
      <c r="C26">
        <v>57.725891052138103</v>
      </c>
      <c r="D26">
        <v>116.21646773960333</v>
      </c>
      <c r="E26">
        <v>62.26600590101333</v>
      </c>
      <c r="F26">
        <v>65.966078638823205</v>
      </c>
      <c r="G26">
        <v>81.70027643685718</v>
      </c>
      <c r="H26">
        <v>40.694457856544737</v>
      </c>
      <c r="I26">
        <v>47.676146770894739</v>
      </c>
      <c r="J26">
        <v>72.187039044239896</v>
      </c>
      <c r="K26">
        <v>0.61019911719025599</v>
      </c>
      <c r="L26">
        <v>98.754672727272705</v>
      </c>
      <c r="M26" s="16">
        <f>+'[3]VAR expectations'!C50</f>
        <v>2.5771344994295728</v>
      </c>
      <c r="N26">
        <v>0.45287391151197798</v>
      </c>
      <c r="O26">
        <v>0.14683547616004899</v>
      </c>
      <c r="P26">
        <v>341</v>
      </c>
      <c r="Q26">
        <v>83</v>
      </c>
      <c r="R26">
        <v>372</v>
      </c>
      <c r="S26">
        <v>141</v>
      </c>
      <c r="T26">
        <v>30</v>
      </c>
      <c r="U26">
        <v>33</v>
      </c>
      <c r="V26">
        <f t="shared" si="1"/>
        <v>204</v>
      </c>
    </row>
    <row r="27" spans="1:22" x14ac:dyDescent="0.25">
      <c r="A27" s="15">
        <v>36525</v>
      </c>
      <c r="B27">
        <v>72.359803406135839</v>
      </c>
      <c r="C27">
        <v>58.260597172429392</v>
      </c>
      <c r="D27">
        <v>115.11724534960399</v>
      </c>
      <c r="E27">
        <v>62.425190149027202</v>
      </c>
      <c r="F27">
        <v>66.000462650335422</v>
      </c>
      <c r="G27">
        <v>81.899917498004768</v>
      </c>
      <c r="H27">
        <v>41.070297940002668</v>
      </c>
      <c r="I27">
        <v>48.744128850988496</v>
      </c>
      <c r="J27">
        <v>72.375605300756106</v>
      </c>
      <c r="K27">
        <v>0.61022681521550604</v>
      </c>
      <c r="L27">
        <v>100.634428787879</v>
      </c>
      <c r="M27" s="16">
        <f>+'[3]VAR expectations'!C51</f>
        <v>2.6427151941363944</v>
      </c>
      <c r="N27">
        <v>0.64683941023249503</v>
      </c>
      <c r="O27">
        <v>0.13658648729324299</v>
      </c>
      <c r="P27">
        <v>341</v>
      </c>
      <c r="Q27">
        <v>83</v>
      </c>
      <c r="R27">
        <v>372</v>
      </c>
      <c r="S27">
        <v>141</v>
      </c>
      <c r="T27">
        <v>30</v>
      </c>
      <c r="U27">
        <v>33</v>
      </c>
      <c r="V27">
        <f t="shared" si="1"/>
        <v>204</v>
      </c>
    </row>
    <row r="28" spans="1:22" x14ac:dyDescent="0.25">
      <c r="A28" s="15">
        <v>36616</v>
      </c>
      <c r="B28">
        <v>72.440743283146261</v>
      </c>
      <c r="C28">
        <v>58.772737337573631</v>
      </c>
      <c r="D28">
        <v>113.71050289670067</v>
      </c>
      <c r="E28">
        <v>62.294225732533363</v>
      </c>
      <c r="F28">
        <v>65.738951218719208</v>
      </c>
      <c r="G28">
        <v>81.953847149944593</v>
      </c>
      <c r="H28">
        <v>41.192698366617265</v>
      </c>
      <c r="I28">
        <v>50.014345022097928</v>
      </c>
      <c r="J28">
        <v>72.393686583097505</v>
      </c>
      <c r="K28">
        <v>0.61741448216996297</v>
      </c>
      <c r="L28">
        <v>102.291083076923</v>
      </c>
      <c r="M28" s="16">
        <f>+'[3]VAR expectations'!C52</f>
        <v>2.5107508450090452</v>
      </c>
      <c r="N28">
        <v>0.79634125067367401</v>
      </c>
      <c r="O28">
        <v>0.11457213759422299</v>
      </c>
      <c r="P28">
        <v>342</v>
      </c>
      <c r="Q28">
        <v>71</v>
      </c>
      <c r="R28">
        <v>409</v>
      </c>
      <c r="S28">
        <v>121</v>
      </c>
      <c r="T28">
        <v>26</v>
      </c>
      <c r="U28">
        <v>31</v>
      </c>
      <c r="V28">
        <f t="shared" si="1"/>
        <v>178</v>
      </c>
    </row>
    <row r="29" spans="1:22" x14ac:dyDescent="0.25">
      <c r="A29" s="15">
        <v>36707</v>
      </c>
      <c r="B29">
        <v>72.539182312841504</v>
      </c>
      <c r="C29">
        <v>59.022039679802134</v>
      </c>
      <c r="D29">
        <v>113.06246638512567</v>
      </c>
      <c r="E29">
        <v>62.695488488984267</v>
      </c>
      <c r="F29">
        <v>65.547576525313545</v>
      </c>
      <c r="G29">
        <v>81.549251880044139</v>
      </c>
      <c r="H29">
        <v>43.499742188366803</v>
      </c>
      <c r="I29">
        <v>50.294131092571668</v>
      </c>
      <c r="J29">
        <v>72.563313424527905</v>
      </c>
      <c r="K29">
        <v>0.61947343357984297</v>
      </c>
      <c r="L29">
        <v>101.013821538462</v>
      </c>
      <c r="M29" s="16">
        <f>+'[3]VAR expectations'!C53</f>
        <v>2.480790509902373</v>
      </c>
      <c r="N29">
        <v>0.578228356186961</v>
      </c>
      <c r="O29">
        <v>0.16771019995212599</v>
      </c>
      <c r="P29">
        <v>342</v>
      </c>
      <c r="Q29">
        <v>71</v>
      </c>
      <c r="R29">
        <v>409</v>
      </c>
      <c r="S29">
        <v>121</v>
      </c>
      <c r="T29">
        <v>26</v>
      </c>
      <c r="U29">
        <v>31</v>
      </c>
      <c r="V29">
        <f t="shared" si="1"/>
        <v>178</v>
      </c>
    </row>
    <row r="30" spans="1:22" x14ac:dyDescent="0.25">
      <c r="A30" s="15">
        <v>36799</v>
      </c>
      <c r="B30">
        <v>72.707840576543859</v>
      </c>
      <c r="C30">
        <v>59.618307460292534</v>
      </c>
      <c r="D30">
        <v>111.70485772051767</v>
      </c>
      <c r="E30">
        <v>63.480786414583037</v>
      </c>
      <c r="F30">
        <v>66.470733130124344</v>
      </c>
      <c r="G30">
        <v>81.400383542254033</v>
      </c>
      <c r="H30">
        <v>44.129516914186162</v>
      </c>
      <c r="I30">
        <v>50.848549060358373</v>
      </c>
      <c r="J30">
        <v>72.759782473887299</v>
      </c>
      <c r="K30">
        <v>0.63243205574934103</v>
      </c>
      <c r="L30">
        <v>99.456144615384602</v>
      </c>
      <c r="M30" s="16">
        <f>+'[3]VAR expectations'!C54</f>
        <v>2.4571125053402318</v>
      </c>
      <c r="N30">
        <v>0.50801792517880295</v>
      </c>
      <c r="O30">
        <v>7.53215327858925E-2</v>
      </c>
      <c r="P30">
        <v>342</v>
      </c>
      <c r="Q30">
        <v>71</v>
      </c>
      <c r="R30">
        <v>409</v>
      </c>
      <c r="S30">
        <v>121</v>
      </c>
      <c r="T30">
        <v>26</v>
      </c>
      <c r="U30">
        <v>31</v>
      </c>
      <c r="V30">
        <f t="shared" si="1"/>
        <v>178</v>
      </c>
    </row>
    <row r="31" spans="1:22" x14ac:dyDescent="0.25">
      <c r="A31" s="15">
        <v>36891</v>
      </c>
      <c r="B31">
        <v>73.058296991468595</v>
      </c>
      <c r="C31">
        <v>60.261873317660566</v>
      </c>
      <c r="D31">
        <v>111.14640687755167</v>
      </c>
      <c r="E31">
        <v>63.852768971110471</v>
      </c>
      <c r="F31">
        <v>66.715067260746267</v>
      </c>
      <c r="G31">
        <v>81.765643927476674</v>
      </c>
      <c r="H31">
        <v>44.729361748243598</v>
      </c>
      <c r="I31">
        <v>51.114811152054337</v>
      </c>
      <c r="J31">
        <v>73.063981516128905</v>
      </c>
      <c r="K31">
        <v>0.63168490396144295</v>
      </c>
      <c r="L31">
        <v>100.229946153846</v>
      </c>
      <c r="M31" s="16">
        <f>+'[3]VAR expectations'!C55</f>
        <v>2.4793436532788289</v>
      </c>
      <c r="N31">
        <v>0.35052454382543902</v>
      </c>
      <c r="O31">
        <v>-1.80886518210173E-2</v>
      </c>
      <c r="P31">
        <v>342</v>
      </c>
      <c r="Q31">
        <v>71</v>
      </c>
      <c r="R31">
        <v>409</v>
      </c>
      <c r="S31">
        <v>121</v>
      </c>
      <c r="T31">
        <v>26</v>
      </c>
      <c r="U31">
        <v>31</v>
      </c>
      <c r="V31">
        <f t="shared" si="1"/>
        <v>178</v>
      </c>
    </row>
    <row r="32" spans="1:22" x14ac:dyDescent="0.25">
      <c r="A32" s="15">
        <v>36981</v>
      </c>
      <c r="B32">
        <v>73.057199972199726</v>
      </c>
      <c r="C32">
        <v>60.743618510486499</v>
      </c>
      <c r="D32">
        <v>110.17048885713501</v>
      </c>
      <c r="E32">
        <v>64.304947564597896</v>
      </c>
      <c r="F32">
        <v>67.219576569640893</v>
      </c>
      <c r="G32">
        <v>81.956356251570668</v>
      </c>
      <c r="H32">
        <v>45.213764851116906</v>
      </c>
      <c r="I32">
        <v>49.776772698758201</v>
      </c>
      <c r="J32">
        <v>73.022578117809601</v>
      </c>
      <c r="K32">
        <v>0.63197458532471795</v>
      </c>
      <c r="L32">
        <v>98.163178461538493</v>
      </c>
      <c r="M32" s="16">
        <f>+'[3]VAR expectations'!C56</f>
        <v>2.2606623386544604</v>
      </c>
      <c r="N32">
        <v>-9.6508386047468499E-3</v>
      </c>
      <c r="O32">
        <v>-0.21965420246124301</v>
      </c>
      <c r="P32">
        <v>336</v>
      </c>
      <c r="Q32">
        <v>66</v>
      </c>
      <c r="R32">
        <v>436</v>
      </c>
      <c r="S32">
        <v>114</v>
      </c>
      <c r="T32">
        <v>20</v>
      </c>
      <c r="U32">
        <v>28</v>
      </c>
      <c r="V32">
        <f t="shared" si="1"/>
        <v>162</v>
      </c>
    </row>
    <row r="33" spans="1:22" x14ac:dyDescent="0.25">
      <c r="A33" s="15">
        <v>37072</v>
      </c>
      <c r="B33">
        <v>73.640782847443958</v>
      </c>
      <c r="C33">
        <v>61.544420219885332</v>
      </c>
      <c r="D33">
        <v>109.89504456781434</v>
      </c>
      <c r="E33">
        <v>65.671562289779899</v>
      </c>
      <c r="F33">
        <v>69.291698510684967</v>
      </c>
      <c r="G33">
        <v>81.894722914880603</v>
      </c>
      <c r="H33">
        <v>45.475672672189063</v>
      </c>
      <c r="I33">
        <v>49.554685240331963</v>
      </c>
      <c r="J33">
        <v>73.672453554203102</v>
      </c>
      <c r="K33">
        <v>0.62800409836081905</v>
      </c>
      <c r="L33">
        <v>99.237372307692297</v>
      </c>
      <c r="M33" s="16">
        <f>+'[3]VAR expectations'!C57</f>
        <v>2.2219944984907083</v>
      </c>
      <c r="N33">
        <v>-8.6513159775206599E-2</v>
      </c>
      <c r="O33">
        <v>8.7121553719043704E-2</v>
      </c>
      <c r="P33">
        <v>336</v>
      </c>
      <c r="Q33">
        <v>66</v>
      </c>
      <c r="R33">
        <v>436</v>
      </c>
      <c r="S33">
        <v>114</v>
      </c>
      <c r="T33">
        <v>20</v>
      </c>
      <c r="U33">
        <v>28</v>
      </c>
      <c r="V33">
        <f t="shared" si="1"/>
        <v>162</v>
      </c>
    </row>
    <row r="34" spans="1:22" x14ac:dyDescent="0.25">
      <c r="A34" s="15">
        <v>37164</v>
      </c>
      <c r="B34">
        <v>73.825368346705162</v>
      </c>
      <c r="C34">
        <v>62.223963784280272</v>
      </c>
      <c r="D34">
        <v>109.34835279541367</v>
      </c>
      <c r="E34">
        <v>65.641448713927829</v>
      </c>
      <c r="F34">
        <v>68.979536133829399</v>
      </c>
      <c r="G34">
        <v>82.063297447175827</v>
      </c>
      <c r="H34">
        <v>45.842531038287937</v>
      </c>
      <c r="I34">
        <v>49.541042554852801</v>
      </c>
      <c r="J34">
        <v>73.864343092066804</v>
      </c>
      <c r="K34">
        <v>0.62070323942146299</v>
      </c>
      <c r="L34">
        <v>99.239315384615395</v>
      </c>
      <c r="M34" s="16">
        <f>+'[3]VAR expectations'!C58</f>
        <v>2.3621300730309192</v>
      </c>
      <c r="N34">
        <v>-0.18219844297104101</v>
      </c>
      <c r="O34">
        <v>-1.9923435524106001E-2</v>
      </c>
      <c r="P34">
        <v>336</v>
      </c>
      <c r="Q34">
        <v>66</v>
      </c>
      <c r="R34">
        <v>436</v>
      </c>
      <c r="S34">
        <v>114</v>
      </c>
      <c r="T34">
        <v>20</v>
      </c>
      <c r="U34">
        <v>28</v>
      </c>
      <c r="V34">
        <f t="shared" si="1"/>
        <v>162</v>
      </c>
    </row>
    <row r="35" spans="1:22" x14ac:dyDescent="0.25">
      <c r="A35" s="15">
        <v>37256</v>
      </c>
      <c r="B35">
        <v>73.809976698452303</v>
      </c>
      <c r="C35">
        <v>62.586922212635066</v>
      </c>
      <c r="D35">
        <v>108.73663622536766</v>
      </c>
      <c r="E35">
        <v>65.828698669319564</v>
      </c>
      <c r="F35">
        <v>68.970945389894339</v>
      </c>
      <c r="G35">
        <v>82.057820785625765</v>
      </c>
      <c r="H35">
        <v>46.482425595715902</v>
      </c>
      <c r="I35">
        <v>48.008808713627495</v>
      </c>
      <c r="J35">
        <v>73.816222366808006</v>
      </c>
      <c r="K35">
        <v>0.61399358747248201</v>
      </c>
      <c r="L35">
        <v>99.639537878787905</v>
      </c>
      <c r="M35" s="16">
        <f>+'[3]VAR expectations'!C59</f>
        <v>2.1718892232885554</v>
      </c>
      <c r="N35">
        <v>-0.41053249519444801</v>
      </c>
      <c r="O35">
        <v>-0.24701800942421001</v>
      </c>
      <c r="P35">
        <v>336</v>
      </c>
      <c r="Q35">
        <v>66</v>
      </c>
      <c r="R35">
        <v>436</v>
      </c>
      <c r="S35">
        <v>114</v>
      </c>
      <c r="T35">
        <v>20</v>
      </c>
      <c r="U35">
        <v>28</v>
      </c>
      <c r="V35">
        <f t="shared" si="1"/>
        <v>162</v>
      </c>
    </row>
    <row r="36" spans="1:22" x14ac:dyDescent="0.25">
      <c r="A36" s="15">
        <v>37346</v>
      </c>
      <c r="B36">
        <v>74.172709547617714</v>
      </c>
      <c r="C36">
        <v>63.253448974794672</v>
      </c>
      <c r="D36">
        <v>108.253887812421</v>
      </c>
      <c r="E36">
        <v>66.271856797838623</v>
      </c>
      <c r="F36">
        <v>69.566869099543467</v>
      </c>
      <c r="G36">
        <v>82.184032839410861</v>
      </c>
      <c r="H36">
        <v>46.712875198812867</v>
      </c>
      <c r="I36">
        <v>48.300000597159077</v>
      </c>
      <c r="J36">
        <v>74.140200035856097</v>
      </c>
      <c r="K36">
        <v>0.61193038298108404</v>
      </c>
      <c r="L36">
        <v>100.22180625</v>
      </c>
      <c r="M36" s="16">
        <f>+'[3]VAR expectations'!C60</f>
        <v>2.2636382290406152</v>
      </c>
      <c r="N36">
        <v>-0.19866515250366801</v>
      </c>
      <c r="O36">
        <v>-7.7734054066240796E-3</v>
      </c>
      <c r="P36">
        <v>321</v>
      </c>
      <c r="Q36">
        <v>56</v>
      </c>
      <c r="R36">
        <v>457</v>
      </c>
      <c r="S36">
        <v>115</v>
      </c>
      <c r="T36">
        <v>20</v>
      </c>
      <c r="U36">
        <v>31</v>
      </c>
      <c r="V36">
        <f t="shared" si="1"/>
        <v>166</v>
      </c>
    </row>
    <row r="37" spans="1:22" x14ac:dyDescent="0.25">
      <c r="A37" s="15">
        <v>37437</v>
      </c>
      <c r="B37">
        <v>74.341060971658422</v>
      </c>
      <c r="C37">
        <v>64.098357828458106</v>
      </c>
      <c r="D37">
        <v>107.15975382369832</v>
      </c>
      <c r="E37">
        <v>65.841453783592442</v>
      </c>
      <c r="F37">
        <v>69.072767804200325</v>
      </c>
      <c r="G37">
        <v>82.070455378131101</v>
      </c>
      <c r="H37">
        <v>46.699129956856133</v>
      </c>
      <c r="I37">
        <v>48.834968279363466</v>
      </c>
      <c r="J37">
        <v>74.380936880197396</v>
      </c>
      <c r="K37">
        <v>0.62732294639877295</v>
      </c>
      <c r="L37">
        <v>99.283556923076901</v>
      </c>
      <c r="M37" s="16">
        <f>+'[3]VAR expectations'!C61</f>
        <v>2.420078349479549</v>
      </c>
      <c r="N37">
        <v>-0.121645386242651</v>
      </c>
      <c r="O37">
        <v>0.16057209670543701</v>
      </c>
      <c r="P37">
        <v>321</v>
      </c>
      <c r="Q37">
        <v>56</v>
      </c>
      <c r="R37">
        <v>457</v>
      </c>
      <c r="S37">
        <v>115</v>
      </c>
      <c r="T37">
        <v>20</v>
      </c>
      <c r="U37">
        <v>31</v>
      </c>
      <c r="V37">
        <f t="shared" si="1"/>
        <v>166</v>
      </c>
    </row>
    <row r="38" spans="1:22" x14ac:dyDescent="0.25">
      <c r="A38" s="15">
        <v>37529</v>
      </c>
      <c r="B38">
        <v>74.586828837548069</v>
      </c>
      <c r="C38">
        <v>64.806065670026939</v>
      </c>
      <c r="D38">
        <v>106.44583489625866</v>
      </c>
      <c r="E38">
        <v>66.101100807903208</v>
      </c>
      <c r="F38">
        <v>69.016510777194938</v>
      </c>
      <c r="G38">
        <v>82.393205064322629</v>
      </c>
      <c r="H38">
        <v>47.312363041482463</v>
      </c>
      <c r="I38">
        <v>48.810172757408203</v>
      </c>
      <c r="J38">
        <v>74.621415022690897</v>
      </c>
      <c r="K38">
        <v>0.62666792181779396</v>
      </c>
      <c r="L38">
        <v>100.497328787879</v>
      </c>
      <c r="M38" s="16">
        <f>+'[3]VAR expectations'!C62</f>
        <v>2.3348466240519783</v>
      </c>
      <c r="N38">
        <v>-0.12779910297989</v>
      </c>
      <c r="O38">
        <v>-2.52052545547485E-2</v>
      </c>
      <c r="P38">
        <v>321</v>
      </c>
      <c r="Q38">
        <v>56</v>
      </c>
      <c r="R38">
        <v>457</v>
      </c>
      <c r="S38">
        <v>115</v>
      </c>
      <c r="T38">
        <v>20</v>
      </c>
      <c r="U38">
        <v>31</v>
      </c>
      <c r="V38">
        <f t="shared" si="1"/>
        <v>166</v>
      </c>
    </row>
    <row r="39" spans="1:22" x14ac:dyDescent="0.25">
      <c r="A39" s="15">
        <v>37621</v>
      </c>
      <c r="B39">
        <v>74.94152985171506</v>
      </c>
      <c r="C39">
        <v>65.527580796611758</v>
      </c>
      <c r="D39">
        <v>105.92448921583834</v>
      </c>
      <c r="E39">
        <v>66.196126733287258</v>
      </c>
      <c r="F39">
        <v>69.020712791603259</v>
      </c>
      <c r="G39">
        <v>81.795408938969828</v>
      </c>
      <c r="H39">
        <v>47.821927966217864</v>
      </c>
      <c r="I39">
        <v>49.301431799629</v>
      </c>
      <c r="J39">
        <v>74.939618250451403</v>
      </c>
      <c r="K39">
        <v>0.62607176712946</v>
      </c>
      <c r="L39">
        <v>101.02483030303</v>
      </c>
      <c r="M39" s="16">
        <f>+'[3]VAR expectations'!C63</f>
        <v>2.329046618617225</v>
      </c>
      <c r="N39">
        <v>0.13999724552415899</v>
      </c>
      <c r="O39">
        <v>2.2260053083300601E-2</v>
      </c>
      <c r="P39">
        <v>321</v>
      </c>
      <c r="Q39">
        <v>56</v>
      </c>
      <c r="R39">
        <v>457</v>
      </c>
      <c r="S39">
        <v>115</v>
      </c>
      <c r="T39">
        <v>20</v>
      </c>
      <c r="U39">
        <v>31</v>
      </c>
      <c r="V39">
        <f t="shared" si="1"/>
        <v>166</v>
      </c>
    </row>
    <row r="40" spans="1:22" x14ac:dyDescent="0.25">
      <c r="A40" s="15">
        <v>37711</v>
      </c>
      <c r="B40">
        <v>75.254179637007539</v>
      </c>
      <c r="C40">
        <v>66.024472037778409</v>
      </c>
      <c r="D40">
        <v>105.57840811720899</v>
      </c>
      <c r="E40">
        <v>66.29593719601047</v>
      </c>
      <c r="F40">
        <v>69.109899366957407</v>
      </c>
      <c r="G40">
        <v>81.579240086886898</v>
      </c>
      <c r="H40">
        <v>48.150793169108333</v>
      </c>
      <c r="I40">
        <v>50.696241265513159</v>
      </c>
      <c r="J40">
        <v>75.220635695064601</v>
      </c>
      <c r="K40">
        <v>0.63651760997190399</v>
      </c>
      <c r="L40">
        <v>98.401371874999995</v>
      </c>
      <c r="M40" s="16">
        <f>+'[3]VAR expectations'!C64</f>
        <v>2.5421835321638784</v>
      </c>
      <c r="N40">
        <v>0.27544788472214499</v>
      </c>
      <c r="O40">
        <v>0.118628311933358</v>
      </c>
      <c r="P40">
        <v>324</v>
      </c>
      <c r="Q40">
        <v>55</v>
      </c>
      <c r="R40">
        <v>466</v>
      </c>
      <c r="S40">
        <v>108</v>
      </c>
      <c r="T40">
        <v>19</v>
      </c>
      <c r="U40">
        <v>28</v>
      </c>
      <c r="V40">
        <f t="shared" si="1"/>
        <v>155</v>
      </c>
    </row>
    <row r="41" spans="1:22" x14ac:dyDescent="0.25">
      <c r="A41" s="15">
        <v>37802</v>
      </c>
      <c r="B41">
        <v>75.297738816456402</v>
      </c>
      <c r="C41">
        <v>66.477450028729891</v>
      </c>
      <c r="D41">
        <v>104.82493353971</v>
      </c>
      <c r="E41">
        <v>66.743553912164842</v>
      </c>
      <c r="F41">
        <v>69.746466956818594</v>
      </c>
      <c r="G41">
        <v>81.929888108927102</v>
      </c>
      <c r="H41">
        <v>48.45408482428504</v>
      </c>
      <c r="I41">
        <v>49.519114792624237</v>
      </c>
      <c r="J41">
        <v>75.346741392751298</v>
      </c>
      <c r="K41">
        <v>0.63320748380537994</v>
      </c>
      <c r="L41">
        <v>95.764499999999998</v>
      </c>
      <c r="M41" s="16">
        <f>+'[3]VAR expectations'!C65</f>
        <v>2.3887461732171329</v>
      </c>
      <c r="N41">
        <v>8.0091340388783697E-2</v>
      </c>
      <c r="O41">
        <v>-3.3435978033822499E-2</v>
      </c>
      <c r="P41">
        <v>324</v>
      </c>
      <c r="Q41">
        <v>55</v>
      </c>
      <c r="R41">
        <v>466</v>
      </c>
      <c r="S41">
        <v>108</v>
      </c>
      <c r="T41">
        <v>19</v>
      </c>
      <c r="U41">
        <v>28</v>
      </c>
      <c r="V41">
        <f t="shared" si="1"/>
        <v>155</v>
      </c>
    </row>
    <row r="42" spans="1:22" x14ac:dyDescent="0.25">
      <c r="A42" s="15">
        <v>37894</v>
      </c>
      <c r="B42">
        <v>75.612766960048859</v>
      </c>
      <c r="C42">
        <v>66.969781979790568</v>
      </c>
      <c r="D42">
        <v>104.57345498303602</v>
      </c>
      <c r="E42">
        <v>67.31296933393827</v>
      </c>
      <c r="F42">
        <v>70.26415567744364</v>
      </c>
      <c r="G42">
        <v>81.29251558503266</v>
      </c>
      <c r="H42">
        <v>49.190874969117239</v>
      </c>
      <c r="I42">
        <v>49.812423085229902</v>
      </c>
      <c r="J42">
        <v>75.646460972491596</v>
      </c>
      <c r="K42">
        <v>0.63000871963946403</v>
      </c>
      <c r="L42">
        <v>95.544218181818195</v>
      </c>
      <c r="M42" s="16">
        <f>+'[3]VAR expectations'!C66</f>
        <v>2.197575219813666</v>
      </c>
      <c r="N42">
        <v>0.109281701994484</v>
      </c>
      <c r="O42">
        <v>4.3959080115475602E-3</v>
      </c>
      <c r="P42">
        <v>324</v>
      </c>
      <c r="Q42">
        <v>55</v>
      </c>
      <c r="R42">
        <v>466</v>
      </c>
      <c r="S42">
        <v>108</v>
      </c>
      <c r="T42">
        <v>19</v>
      </c>
      <c r="U42">
        <v>28</v>
      </c>
      <c r="V42">
        <f t="shared" si="1"/>
        <v>155</v>
      </c>
    </row>
    <row r="43" spans="1:22" x14ac:dyDescent="0.25">
      <c r="A43" s="15">
        <v>37986</v>
      </c>
      <c r="B43">
        <v>75.930389741807929</v>
      </c>
      <c r="C43">
        <v>67.546972720157029</v>
      </c>
      <c r="D43">
        <v>104.00485126915201</v>
      </c>
      <c r="E43">
        <v>67.719275637251357</v>
      </c>
      <c r="F43">
        <v>70.752523645876281</v>
      </c>
      <c r="G43">
        <v>81.390202718947663</v>
      </c>
      <c r="H43">
        <v>49.438759813309993</v>
      </c>
      <c r="I43">
        <v>50.456696042455739</v>
      </c>
      <c r="J43">
        <v>75.926725850656695</v>
      </c>
      <c r="K43">
        <v>0.62604665825440697</v>
      </c>
      <c r="L43">
        <v>97.264069696969699</v>
      </c>
      <c r="M43" s="16">
        <f>+'[3]VAR expectations'!C67</f>
        <v>2.507260502799705</v>
      </c>
      <c r="N43">
        <v>0.12812529825024099</v>
      </c>
      <c r="O43">
        <v>4.1066675765942702E-2</v>
      </c>
      <c r="P43">
        <v>324</v>
      </c>
      <c r="Q43">
        <v>55</v>
      </c>
      <c r="R43">
        <v>466</v>
      </c>
      <c r="S43">
        <v>108</v>
      </c>
      <c r="T43">
        <v>19</v>
      </c>
      <c r="U43">
        <v>28</v>
      </c>
      <c r="V43">
        <f t="shared" si="1"/>
        <v>155</v>
      </c>
    </row>
    <row r="44" spans="1:22" x14ac:dyDescent="0.25">
      <c r="A44" s="15">
        <v>38077</v>
      </c>
      <c r="B44">
        <v>76.200272982905773</v>
      </c>
      <c r="C44">
        <v>68.10626529045453</v>
      </c>
      <c r="D44">
        <v>103.62955172533468</v>
      </c>
      <c r="E44">
        <v>67.701733001774699</v>
      </c>
      <c r="F44">
        <v>70.68062324019364</v>
      </c>
      <c r="G44">
        <v>81.372891223910457</v>
      </c>
      <c r="H44">
        <v>49.677802172771571</v>
      </c>
      <c r="I44">
        <v>51.504084271991964</v>
      </c>
      <c r="J44">
        <v>76.159680364508901</v>
      </c>
      <c r="K44">
        <v>0.61688244432997197</v>
      </c>
      <c r="L44">
        <v>101.570772307692</v>
      </c>
      <c r="M44" s="16">
        <f>+'[3]VAR expectations'!C68</f>
        <v>2.5370974361013499</v>
      </c>
      <c r="N44">
        <v>8.3923273491197103E-2</v>
      </c>
      <c r="O44">
        <v>7.0507431525519401E-2</v>
      </c>
      <c r="P44">
        <v>329</v>
      </c>
      <c r="Q44">
        <v>52</v>
      </c>
      <c r="R44">
        <v>467</v>
      </c>
      <c r="S44">
        <v>106</v>
      </c>
      <c r="T44">
        <v>19</v>
      </c>
      <c r="U44">
        <v>27</v>
      </c>
      <c r="V44">
        <f t="shared" si="1"/>
        <v>152</v>
      </c>
    </row>
    <row r="45" spans="1:22" x14ac:dyDescent="0.25">
      <c r="A45" s="15">
        <v>38168</v>
      </c>
      <c r="B45">
        <v>76.35914331720403</v>
      </c>
      <c r="C45">
        <v>68.631855809508735</v>
      </c>
      <c r="D45">
        <v>102.877321258834</v>
      </c>
      <c r="E45">
        <v>67.638280882704308</v>
      </c>
      <c r="F45">
        <v>70.476850084807339</v>
      </c>
      <c r="G45">
        <v>81.287191131295103</v>
      </c>
      <c r="H45">
        <v>50.250960584307229</v>
      </c>
      <c r="I45">
        <v>52.490029578442538</v>
      </c>
      <c r="J45">
        <v>76.418239016262504</v>
      </c>
      <c r="K45">
        <v>0.61216051574775598</v>
      </c>
      <c r="L45">
        <v>102.354193846154</v>
      </c>
      <c r="M45" s="16">
        <f>+'[3]VAR expectations'!C69</f>
        <v>2.6184554615948845</v>
      </c>
      <c r="N45">
        <v>0.31536003264232498</v>
      </c>
      <c r="O45">
        <v>0.198013254587315</v>
      </c>
      <c r="P45">
        <v>329</v>
      </c>
      <c r="Q45">
        <v>52</v>
      </c>
      <c r="R45">
        <v>467</v>
      </c>
      <c r="S45">
        <v>106</v>
      </c>
      <c r="T45">
        <v>19</v>
      </c>
      <c r="U45">
        <v>27</v>
      </c>
      <c r="V45">
        <f t="shared" si="1"/>
        <v>152</v>
      </c>
    </row>
    <row r="46" spans="1:22" x14ac:dyDescent="0.25">
      <c r="A46" s="15">
        <v>38260</v>
      </c>
      <c r="B46">
        <v>76.562231444892205</v>
      </c>
      <c r="C46">
        <v>69.203743095995534</v>
      </c>
      <c r="D46">
        <v>102.210003687398</v>
      </c>
      <c r="E46">
        <v>67.646192048084202</v>
      </c>
      <c r="F46">
        <v>70.117000340503537</v>
      </c>
      <c r="G46">
        <v>81.074507639907196</v>
      </c>
      <c r="H46">
        <v>50.981515782794624</v>
      </c>
      <c r="I46">
        <v>53.359156399593196</v>
      </c>
      <c r="J46">
        <v>76.596013420986793</v>
      </c>
      <c r="K46">
        <v>0.61479560780718101</v>
      </c>
      <c r="L46">
        <v>102.09841969697</v>
      </c>
      <c r="M46" s="16">
        <f>+'[3]VAR expectations'!C70</f>
        <v>2.5768443943169923</v>
      </c>
      <c r="N46">
        <v>0.36869653428947002</v>
      </c>
      <c r="O46">
        <v>5.6970751238223802E-2</v>
      </c>
      <c r="P46">
        <v>329</v>
      </c>
      <c r="Q46">
        <v>52</v>
      </c>
      <c r="R46">
        <v>467</v>
      </c>
      <c r="S46">
        <v>106</v>
      </c>
      <c r="T46">
        <v>19</v>
      </c>
      <c r="U46">
        <v>27</v>
      </c>
      <c r="V46">
        <f t="shared" si="1"/>
        <v>152</v>
      </c>
    </row>
    <row r="47" spans="1:22" x14ac:dyDescent="0.25">
      <c r="A47" s="15">
        <v>38352</v>
      </c>
      <c r="B47">
        <v>77.024679842319401</v>
      </c>
      <c r="C47">
        <v>69.904808946467725</v>
      </c>
      <c r="D47">
        <v>101.65395874629166</v>
      </c>
      <c r="E47">
        <v>67.923169332980237</v>
      </c>
      <c r="F47">
        <v>70.398557799152996</v>
      </c>
      <c r="G47">
        <v>81.151471150211634</v>
      </c>
      <c r="H47">
        <v>51.389293344833</v>
      </c>
      <c r="I47">
        <v>55.645647717141969</v>
      </c>
      <c r="J47">
        <v>77.015340908716695</v>
      </c>
      <c r="K47">
        <v>0.62484171870294902</v>
      </c>
      <c r="L47">
        <v>100.312145454545</v>
      </c>
      <c r="M47" s="16">
        <f>+'[3]VAR expectations'!C71</f>
        <v>2.4054948631666009</v>
      </c>
      <c r="N47">
        <v>0.52821538705181603</v>
      </c>
      <c r="O47">
        <v>0.200185341433055</v>
      </c>
      <c r="P47">
        <v>329</v>
      </c>
      <c r="Q47">
        <v>52</v>
      </c>
      <c r="R47">
        <v>467</v>
      </c>
      <c r="S47">
        <v>106</v>
      </c>
      <c r="T47">
        <v>19</v>
      </c>
      <c r="U47">
        <v>27</v>
      </c>
      <c r="V47">
        <f t="shared" si="1"/>
        <v>152</v>
      </c>
    </row>
    <row r="48" spans="1:22" x14ac:dyDescent="0.25">
      <c r="A48" s="15">
        <v>38442</v>
      </c>
      <c r="B48">
        <v>77.519231176107169</v>
      </c>
      <c r="C48">
        <v>70.711753851160836</v>
      </c>
      <c r="D48">
        <v>101.224550821802</v>
      </c>
      <c r="E48">
        <v>68.690840572994531</v>
      </c>
      <c r="F48">
        <v>71.390648871021142</v>
      </c>
      <c r="G48">
        <v>80.604662189294956</v>
      </c>
      <c r="H48">
        <v>52.1517551844384</v>
      </c>
      <c r="I48">
        <v>56.449023556288402</v>
      </c>
      <c r="J48">
        <v>77.473805083463901</v>
      </c>
      <c r="K48">
        <v>0.62789457821978201</v>
      </c>
      <c r="L48">
        <v>100.67795468750001</v>
      </c>
      <c r="M48" s="16">
        <f>+'[3]VAR expectations'!C72</f>
        <v>2.3903185646503933</v>
      </c>
      <c r="N48">
        <v>0.50065150605009701</v>
      </c>
      <c r="O48">
        <v>4.8524115231025303E-2</v>
      </c>
      <c r="P48">
        <v>329</v>
      </c>
      <c r="Q48">
        <v>55</v>
      </c>
      <c r="R48">
        <v>464</v>
      </c>
      <c r="S48">
        <v>106</v>
      </c>
      <c r="T48">
        <v>20</v>
      </c>
      <c r="U48">
        <v>26</v>
      </c>
      <c r="V48">
        <f t="shared" si="1"/>
        <v>152</v>
      </c>
    </row>
    <row r="49" spans="1:22" x14ac:dyDescent="0.25">
      <c r="A49" s="15">
        <v>38533</v>
      </c>
      <c r="B49">
        <v>77.860319039965134</v>
      </c>
      <c r="C49">
        <v>71.482542510630239</v>
      </c>
      <c r="D49">
        <v>100.61472786661368</v>
      </c>
      <c r="E49">
        <v>68.823685139220927</v>
      </c>
      <c r="F49">
        <v>71.584679044364876</v>
      </c>
      <c r="G49">
        <v>80.155897015147175</v>
      </c>
      <c r="H49">
        <v>52.541890037276467</v>
      </c>
      <c r="I49">
        <v>57.440858337591798</v>
      </c>
      <c r="J49">
        <v>77.926612974031798</v>
      </c>
      <c r="K49">
        <v>0.62404102684160401</v>
      </c>
      <c r="L49">
        <v>101.57767076923101</v>
      </c>
      <c r="M49" s="16">
        <f>+'[3]VAR expectations'!C73</f>
        <v>2.2621936183541234</v>
      </c>
      <c r="N49">
        <v>0.50804321100112604</v>
      </c>
      <c r="O49">
        <v>0.204065629477542</v>
      </c>
      <c r="P49">
        <v>329</v>
      </c>
      <c r="Q49">
        <v>55</v>
      </c>
      <c r="R49">
        <v>464</v>
      </c>
      <c r="S49">
        <v>106</v>
      </c>
      <c r="T49">
        <v>20</v>
      </c>
      <c r="U49">
        <v>26</v>
      </c>
      <c r="V49">
        <f t="shared" si="1"/>
        <v>152</v>
      </c>
    </row>
    <row r="50" spans="1:22" x14ac:dyDescent="0.25">
      <c r="A50" s="15">
        <v>38625</v>
      </c>
      <c r="B50">
        <v>78.392641647215498</v>
      </c>
      <c r="C50">
        <v>72.329300982486799</v>
      </c>
      <c r="D50">
        <v>100.07117850201189</v>
      </c>
      <c r="E50">
        <v>68.937238070698058</v>
      </c>
      <c r="F50">
        <v>71.487850246053981</v>
      </c>
      <c r="G50">
        <v>80.839757344550961</v>
      </c>
      <c r="H50">
        <v>52.691778596856601</v>
      </c>
      <c r="I50">
        <v>60.297134294160365</v>
      </c>
      <c r="J50">
        <v>78.429892117686506</v>
      </c>
      <c r="K50">
        <v>0.64005400942808899</v>
      </c>
      <c r="L50">
        <v>99.734880303030295</v>
      </c>
      <c r="M50" s="16">
        <f>+'[3]VAR expectations'!C74</f>
        <v>2.2761535969954032</v>
      </c>
      <c r="N50">
        <v>0.70017615103754105</v>
      </c>
      <c r="O50">
        <v>0.242344274322987</v>
      </c>
      <c r="P50">
        <v>329</v>
      </c>
      <c r="Q50">
        <v>55</v>
      </c>
      <c r="R50">
        <v>464</v>
      </c>
      <c r="S50">
        <v>106</v>
      </c>
      <c r="T50">
        <v>20</v>
      </c>
      <c r="U50">
        <v>26</v>
      </c>
      <c r="V50">
        <f t="shared" si="1"/>
        <v>152</v>
      </c>
    </row>
    <row r="51" spans="1:22" x14ac:dyDescent="0.25">
      <c r="A51" s="15">
        <v>38717</v>
      </c>
      <c r="B51">
        <v>78.6650109310023</v>
      </c>
      <c r="C51">
        <v>72.76231699168676</v>
      </c>
      <c r="D51">
        <v>99.588196020431226</v>
      </c>
      <c r="E51">
        <v>69.148767012309762</v>
      </c>
      <c r="F51">
        <v>71.487766538913363</v>
      </c>
      <c r="G51">
        <v>80.757559259722939</v>
      </c>
      <c r="H51">
        <v>53.78196520630194</v>
      </c>
      <c r="I51">
        <v>62.2130789827755</v>
      </c>
      <c r="J51">
        <v>78.650455282462801</v>
      </c>
      <c r="K51">
        <v>0.64257239123518295</v>
      </c>
      <c r="L51">
        <v>99.510515384615402</v>
      </c>
      <c r="M51" s="16">
        <f>+'[3]VAR expectations'!C75</f>
        <v>2.3383760137173226</v>
      </c>
      <c r="N51">
        <v>0.64873933629690095</v>
      </c>
      <c r="O51">
        <v>0.150036034492979</v>
      </c>
      <c r="P51">
        <v>329</v>
      </c>
      <c r="Q51">
        <v>55</v>
      </c>
      <c r="R51">
        <v>464</v>
      </c>
      <c r="S51">
        <v>106</v>
      </c>
      <c r="T51">
        <v>20</v>
      </c>
      <c r="U51">
        <v>26</v>
      </c>
      <c r="V51">
        <f t="shared" si="1"/>
        <v>152</v>
      </c>
    </row>
    <row r="52" spans="1:22" x14ac:dyDescent="0.25">
      <c r="A52" s="15">
        <v>38807</v>
      </c>
      <c r="B52">
        <v>79.028056405096038</v>
      </c>
      <c r="C52">
        <v>73.385241780506931</v>
      </c>
      <c r="D52">
        <v>99.218511677460256</v>
      </c>
      <c r="E52">
        <v>69.456235720820999</v>
      </c>
      <c r="F52">
        <v>71.887123990551444</v>
      </c>
      <c r="G52">
        <v>80.784701223545497</v>
      </c>
      <c r="H52">
        <v>54.031494090685165</v>
      </c>
      <c r="I52">
        <v>63.507502811969232</v>
      </c>
      <c r="J52">
        <v>78.979694161115503</v>
      </c>
      <c r="K52">
        <v>0.652090387217511</v>
      </c>
      <c r="L52">
        <v>98.760283076923102</v>
      </c>
      <c r="M52" s="16">
        <f>+'[3]VAR expectations'!C76</f>
        <v>2.4666666666666477</v>
      </c>
      <c r="N52">
        <v>0.71062376825367302</v>
      </c>
      <c r="O52">
        <v>9.3912785774244806E-2</v>
      </c>
      <c r="P52">
        <v>341</v>
      </c>
      <c r="Q52">
        <v>67</v>
      </c>
      <c r="R52">
        <v>446</v>
      </c>
      <c r="S52">
        <v>102</v>
      </c>
      <c r="T52">
        <v>18</v>
      </c>
      <c r="U52">
        <v>26</v>
      </c>
      <c r="V52">
        <f t="shared" si="1"/>
        <v>146</v>
      </c>
    </row>
    <row r="53" spans="1:22" x14ac:dyDescent="0.25">
      <c r="A53" s="15">
        <v>38898</v>
      </c>
      <c r="B53">
        <v>79.616100225425328</v>
      </c>
      <c r="C53">
        <v>74.005587617268034</v>
      </c>
      <c r="D53">
        <v>98.648450712308275</v>
      </c>
      <c r="E53">
        <v>69.890091453383164</v>
      </c>
      <c r="F53">
        <v>72.381509189292998</v>
      </c>
      <c r="G53">
        <v>80.348361076617337</v>
      </c>
      <c r="H53">
        <v>54.731568788130495</v>
      </c>
      <c r="I53">
        <v>67.671668071312865</v>
      </c>
      <c r="J53">
        <v>79.688483811502905</v>
      </c>
      <c r="K53">
        <v>0.65617518075692405</v>
      </c>
      <c r="L53">
        <v>100.279141538462</v>
      </c>
      <c r="M53" s="16">
        <f>+'[3]VAR expectations'!C77</f>
        <v>2.4000000000000123</v>
      </c>
      <c r="N53">
        <v>1.0848462424740499</v>
      </c>
      <c r="O53">
        <v>0.58313714236387104</v>
      </c>
      <c r="P53">
        <v>341</v>
      </c>
      <c r="Q53">
        <v>67</v>
      </c>
      <c r="R53">
        <v>446</v>
      </c>
      <c r="S53">
        <v>102</v>
      </c>
      <c r="T53">
        <v>18</v>
      </c>
      <c r="U53">
        <v>26</v>
      </c>
      <c r="V53">
        <f t="shared" si="1"/>
        <v>146</v>
      </c>
    </row>
    <row r="54" spans="1:22" x14ac:dyDescent="0.25">
      <c r="A54" s="15">
        <v>38990</v>
      </c>
      <c r="B54">
        <v>80.274543396524294</v>
      </c>
      <c r="C54">
        <v>74.554497667706627</v>
      </c>
      <c r="D54">
        <v>98.578686661604138</v>
      </c>
      <c r="E54">
        <v>71.285664208466599</v>
      </c>
      <c r="F54">
        <v>73.986476840642638</v>
      </c>
      <c r="G54">
        <v>80.810976586724337</v>
      </c>
      <c r="H54">
        <v>55.632163947862068</v>
      </c>
      <c r="I54">
        <v>70.050693769964226</v>
      </c>
      <c r="J54">
        <v>80.3140859444444</v>
      </c>
      <c r="K54">
        <v>0.65104403115045795</v>
      </c>
      <c r="L54">
        <v>102.332647692308</v>
      </c>
      <c r="M54" s="16">
        <f>+'[3]VAR expectations'!C78</f>
        <v>2.2999999999999843</v>
      </c>
      <c r="N54">
        <v>1.0480109248003999</v>
      </c>
      <c r="O54">
        <v>0.20579069700496899</v>
      </c>
      <c r="P54">
        <v>341</v>
      </c>
      <c r="Q54">
        <v>67</v>
      </c>
      <c r="R54">
        <v>446</v>
      </c>
      <c r="S54">
        <v>102</v>
      </c>
      <c r="T54">
        <v>18</v>
      </c>
      <c r="U54">
        <v>26</v>
      </c>
      <c r="V54">
        <f t="shared" si="1"/>
        <v>146</v>
      </c>
    </row>
    <row r="55" spans="1:22" x14ac:dyDescent="0.25">
      <c r="A55" s="15">
        <v>39082</v>
      </c>
      <c r="B55">
        <v>80.800427132545607</v>
      </c>
      <c r="C55">
        <v>75.456551080588838</v>
      </c>
      <c r="D55">
        <v>98.55851182358596</v>
      </c>
      <c r="E55">
        <v>72.05791184393081</v>
      </c>
      <c r="F55">
        <v>74.869558595355159</v>
      </c>
      <c r="G55">
        <v>81.596469153893167</v>
      </c>
      <c r="H55">
        <v>56.187332522586701</v>
      </c>
      <c r="I55">
        <v>69.842554979972434</v>
      </c>
      <c r="J55">
        <v>80.7676039528492</v>
      </c>
      <c r="K55">
        <v>0.64418906925003505</v>
      </c>
      <c r="L55">
        <v>103.713430769231</v>
      </c>
      <c r="M55" s="16">
        <f>+'[3]VAR expectations'!C79</f>
        <v>2.4333333333333633</v>
      </c>
      <c r="N55">
        <v>0.81313574028850799</v>
      </c>
      <c r="O55">
        <v>-8.0932616320032805E-2</v>
      </c>
      <c r="P55">
        <v>341</v>
      </c>
      <c r="Q55">
        <v>67</v>
      </c>
      <c r="R55">
        <v>446</v>
      </c>
      <c r="S55">
        <v>102</v>
      </c>
      <c r="T55">
        <v>18</v>
      </c>
      <c r="U55">
        <v>26</v>
      </c>
      <c r="V55">
        <f t="shared" si="1"/>
        <v>146</v>
      </c>
    </row>
    <row r="56" spans="1:22" x14ac:dyDescent="0.25">
      <c r="A56" s="15">
        <v>39172</v>
      </c>
      <c r="B56">
        <v>81.294136618175912</v>
      </c>
      <c r="C56">
        <v>76.094739715081161</v>
      </c>
      <c r="D56">
        <v>98.47129778946919</v>
      </c>
      <c r="E56">
        <v>72.551116044786497</v>
      </c>
      <c r="F56">
        <v>75.238861106674236</v>
      </c>
      <c r="G56">
        <v>81.666506596602034</v>
      </c>
      <c r="H56">
        <v>57.265354626060002</v>
      </c>
      <c r="I56">
        <v>71.130011789566865</v>
      </c>
      <c r="J56">
        <v>81.262667673769101</v>
      </c>
      <c r="K56">
        <v>0.63269312835008995</v>
      </c>
      <c r="L56">
        <v>104.730033846154</v>
      </c>
      <c r="M56" s="16">
        <f>+'[3]VAR expectations'!C80</f>
        <v>2.5333333333333421</v>
      </c>
      <c r="N56">
        <v>0.81545309377751096</v>
      </c>
      <c r="O56">
        <v>0.110154954327973</v>
      </c>
      <c r="P56">
        <v>326</v>
      </c>
      <c r="Q56">
        <v>75</v>
      </c>
      <c r="R56">
        <v>453</v>
      </c>
      <c r="S56">
        <v>103</v>
      </c>
      <c r="T56">
        <v>18</v>
      </c>
      <c r="U56">
        <v>25</v>
      </c>
      <c r="V56">
        <f t="shared" si="1"/>
        <v>146</v>
      </c>
    </row>
    <row r="57" spans="1:22" x14ac:dyDescent="0.25">
      <c r="A57" s="15">
        <v>39263</v>
      </c>
      <c r="B57">
        <v>81.649031387279209</v>
      </c>
      <c r="C57">
        <v>76.642439912560803</v>
      </c>
      <c r="D57">
        <v>98.272229618024468</v>
      </c>
      <c r="E57">
        <v>73.298449248593599</v>
      </c>
      <c r="F57">
        <v>76.216291536187541</v>
      </c>
      <c r="G57">
        <v>81.349848710347601</v>
      </c>
      <c r="H57">
        <v>57.844587255826099</v>
      </c>
      <c r="I57">
        <v>71.15515842146344</v>
      </c>
      <c r="J57">
        <v>81.726256142183999</v>
      </c>
      <c r="K57">
        <v>0.64008688386534296</v>
      </c>
      <c r="L57">
        <v>104.239373846154</v>
      </c>
      <c r="M57" s="16">
        <f>+'[3]VAR expectations'!C81</f>
        <v>2.4666666666666814</v>
      </c>
      <c r="N57">
        <v>0.37404988473768203</v>
      </c>
      <c r="O57">
        <v>0.14035169197522099</v>
      </c>
      <c r="P57">
        <v>326</v>
      </c>
      <c r="Q57">
        <v>75</v>
      </c>
      <c r="R57">
        <v>453</v>
      </c>
      <c r="S57">
        <v>103</v>
      </c>
      <c r="T57">
        <v>18</v>
      </c>
      <c r="U57">
        <v>25</v>
      </c>
      <c r="V57">
        <f t="shared" si="1"/>
        <v>146</v>
      </c>
    </row>
    <row r="58" spans="1:22" x14ac:dyDescent="0.25">
      <c r="A58" s="15">
        <v>39355</v>
      </c>
      <c r="B58">
        <v>81.704607649355637</v>
      </c>
      <c r="C58">
        <v>77.223121066424127</v>
      </c>
      <c r="D58">
        <v>97.540757784927692</v>
      </c>
      <c r="E58">
        <v>73.551211882680761</v>
      </c>
      <c r="F58">
        <v>76.301462693589997</v>
      </c>
      <c r="G58">
        <v>81.728890813466364</v>
      </c>
      <c r="H58">
        <v>58.326849903898335</v>
      </c>
      <c r="I58">
        <v>70.482016023792468</v>
      </c>
      <c r="J58">
        <v>81.7387605418172</v>
      </c>
      <c r="K58">
        <v>0.64067203317101096</v>
      </c>
      <c r="L58">
        <v>104.41271846153801</v>
      </c>
      <c r="M58" s="16">
        <f>+'[3]VAR expectations'!C82</f>
        <v>2.4999999999999987</v>
      </c>
      <c r="N58">
        <v>4.4323022748277999E-2</v>
      </c>
      <c r="O58">
        <v>-0.11833065960497099</v>
      </c>
      <c r="P58">
        <v>326</v>
      </c>
      <c r="Q58">
        <v>75</v>
      </c>
      <c r="R58">
        <v>453</v>
      </c>
      <c r="S58">
        <v>103</v>
      </c>
      <c r="T58">
        <v>18</v>
      </c>
      <c r="U58">
        <v>25</v>
      </c>
      <c r="V58">
        <f t="shared" si="1"/>
        <v>146</v>
      </c>
    </row>
    <row r="59" spans="1:22" x14ac:dyDescent="0.25">
      <c r="A59" s="15">
        <v>39447</v>
      </c>
      <c r="B59">
        <v>82.511309278758574</v>
      </c>
      <c r="C59">
        <v>77.976239910448101</v>
      </c>
      <c r="D59">
        <v>97.458073236449025</v>
      </c>
      <c r="E59">
        <v>75.219909973620261</v>
      </c>
      <c r="F59">
        <v>78.59689595892236</v>
      </c>
      <c r="G59">
        <v>81.927567146864604</v>
      </c>
      <c r="H59">
        <v>58.8590870525178</v>
      </c>
      <c r="I59">
        <v>73.07789982975801</v>
      </c>
      <c r="J59">
        <v>82.455030827616596</v>
      </c>
      <c r="K59">
        <v>0.65730996679913101</v>
      </c>
      <c r="L59">
        <v>101.594292424242</v>
      </c>
      <c r="M59" s="16">
        <f>+'[3]VAR expectations'!C83</f>
        <v>2.6999999999999864</v>
      </c>
      <c r="N59">
        <v>0.33094281461280101</v>
      </c>
      <c r="O59">
        <v>0.207260368558223</v>
      </c>
      <c r="P59">
        <v>326</v>
      </c>
      <c r="Q59">
        <v>75</v>
      </c>
      <c r="R59">
        <v>453</v>
      </c>
      <c r="S59">
        <v>103</v>
      </c>
      <c r="T59">
        <v>18</v>
      </c>
      <c r="U59">
        <v>25</v>
      </c>
      <c r="V59">
        <f t="shared" si="1"/>
        <v>146</v>
      </c>
    </row>
    <row r="60" spans="1:22" x14ac:dyDescent="0.25">
      <c r="A60" s="15">
        <v>39538</v>
      </c>
      <c r="B60">
        <v>83.213165062111045</v>
      </c>
      <c r="C60">
        <v>78.585583459078208</v>
      </c>
      <c r="D60">
        <v>96.951612827693836</v>
      </c>
      <c r="E60">
        <v>75.989538679255261</v>
      </c>
      <c r="F60">
        <v>79.533800497150992</v>
      </c>
      <c r="G60">
        <v>81.958761243828363</v>
      </c>
      <c r="H60">
        <v>59.544386405336837</v>
      </c>
      <c r="I60">
        <v>77.885301025533423</v>
      </c>
      <c r="J60">
        <v>83.221731491025807</v>
      </c>
      <c r="K60">
        <v>0.68564477605056495</v>
      </c>
      <c r="L60">
        <v>95.934953846153803</v>
      </c>
      <c r="M60" s="16">
        <f>+'[3]VAR expectations'!C84</f>
        <v>3.3233333333333448</v>
      </c>
      <c r="N60">
        <v>0.70956108465802203</v>
      </c>
      <c r="O60">
        <v>0.46567345359179702</v>
      </c>
      <c r="P60">
        <v>323</v>
      </c>
      <c r="Q60">
        <v>73</v>
      </c>
      <c r="R60">
        <v>453</v>
      </c>
      <c r="S60">
        <v>109</v>
      </c>
      <c r="T60">
        <v>18</v>
      </c>
      <c r="U60">
        <v>24</v>
      </c>
      <c r="V60">
        <f t="shared" si="1"/>
        <v>151</v>
      </c>
    </row>
    <row r="61" spans="1:22" x14ac:dyDescent="0.25">
      <c r="A61" s="15">
        <v>39629</v>
      </c>
      <c r="B61">
        <v>84.399628691859334</v>
      </c>
      <c r="C61">
        <v>79.538236456857987</v>
      </c>
      <c r="D61">
        <v>96.709639020967742</v>
      </c>
      <c r="E61">
        <v>78.381976088304796</v>
      </c>
      <c r="F61">
        <v>82.317852052663767</v>
      </c>
      <c r="G61">
        <v>84.883187080121772</v>
      </c>
      <c r="H61">
        <v>60.342090857511202</v>
      </c>
      <c r="I61">
        <v>82.676147502636397</v>
      </c>
      <c r="J61">
        <v>84.4783985597211</v>
      </c>
      <c r="K61">
        <v>0.71013328179353397</v>
      </c>
      <c r="L61">
        <v>93.071035384615399</v>
      </c>
      <c r="M61" s="16">
        <f>+'[3]VAR expectations'!C85</f>
        <v>4.1266666666667335</v>
      </c>
      <c r="N61">
        <v>1.1528273888926699</v>
      </c>
      <c r="O61">
        <v>0.57749494659596201</v>
      </c>
      <c r="P61">
        <v>323</v>
      </c>
      <c r="Q61">
        <v>73</v>
      </c>
      <c r="R61">
        <v>453</v>
      </c>
      <c r="S61">
        <v>109</v>
      </c>
      <c r="T61">
        <v>18</v>
      </c>
      <c r="U61">
        <v>24</v>
      </c>
      <c r="V61">
        <f t="shared" si="1"/>
        <v>151</v>
      </c>
    </row>
    <row r="62" spans="1:22" x14ac:dyDescent="0.25">
      <c r="A62" s="15">
        <v>39721</v>
      </c>
      <c r="B62">
        <v>85.622629523416208</v>
      </c>
      <c r="C62">
        <v>80.567896111396422</v>
      </c>
      <c r="D62">
        <v>96.458973787625538</v>
      </c>
      <c r="E62">
        <v>80.821169443942864</v>
      </c>
      <c r="F62">
        <v>85.573695749653211</v>
      </c>
      <c r="G62">
        <v>85.076922336049037</v>
      </c>
      <c r="H62">
        <v>60.969200088634068</v>
      </c>
      <c r="I62">
        <v>87.767599664419478</v>
      </c>
      <c r="J62">
        <v>85.633335277083802</v>
      </c>
      <c r="K62">
        <v>0.73340169529048804</v>
      </c>
      <c r="L62">
        <v>91.695078787878799</v>
      </c>
      <c r="M62" s="16">
        <f>+'[3]VAR expectations'!C86</f>
        <v>4.3404589371979831</v>
      </c>
      <c r="N62">
        <v>1.7249383242570699</v>
      </c>
      <c r="O62">
        <v>0.41477957846817098</v>
      </c>
      <c r="P62">
        <v>323</v>
      </c>
      <c r="Q62">
        <v>73</v>
      </c>
      <c r="R62">
        <v>453</v>
      </c>
      <c r="S62">
        <v>109</v>
      </c>
      <c r="T62">
        <v>18</v>
      </c>
      <c r="U62">
        <v>24</v>
      </c>
      <c r="V62">
        <f t="shared" si="1"/>
        <v>151</v>
      </c>
    </row>
    <row r="63" spans="1:22" x14ac:dyDescent="0.25">
      <c r="A63" s="15">
        <v>39813</v>
      </c>
      <c r="B63">
        <v>85.715849377221033</v>
      </c>
      <c r="C63">
        <v>81.447767693574562</v>
      </c>
      <c r="D63">
        <v>95.356926302146803</v>
      </c>
      <c r="E63">
        <v>81.793418547474204</v>
      </c>
      <c r="F63">
        <v>86.792930875848811</v>
      </c>
      <c r="G63">
        <v>85.181242076336545</v>
      </c>
      <c r="H63">
        <v>61.653547758067361</v>
      </c>
      <c r="I63">
        <v>85.991098588507043</v>
      </c>
      <c r="J63">
        <v>85.640873534576798</v>
      </c>
      <c r="K63">
        <v>0.72747031121115702</v>
      </c>
      <c r="L63">
        <v>83.942380303030305</v>
      </c>
      <c r="M63" s="16">
        <f>+'[3]VAR expectations'!C87</f>
        <v>1.5441543026706288</v>
      </c>
      <c r="N63">
        <v>1.2851169715736199</v>
      </c>
      <c r="O63">
        <v>-0.25671941715742802</v>
      </c>
      <c r="P63">
        <v>323</v>
      </c>
      <c r="Q63">
        <v>73</v>
      </c>
      <c r="R63">
        <v>453</v>
      </c>
      <c r="S63">
        <v>109</v>
      </c>
      <c r="T63">
        <v>18</v>
      </c>
      <c r="U63">
        <v>24</v>
      </c>
      <c r="V63">
        <f t="shared" si="1"/>
        <v>151</v>
      </c>
    </row>
    <row r="64" spans="1:22" x14ac:dyDescent="0.25">
      <c r="A64" s="15">
        <v>39903</v>
      </c>
      <c r="B64">
        <v>85.677461988931228</v>
      </c>
      <c r="C64">
        <v>81.837362894259925</v>
      </c>
      <c r="D64">
        <v>94.827625367678976</v>
      </c>
      <c r="E64">
        <v>83.009858942090389</v>
      </c>
      <c r="F64">
        <v>87.99238482121784</v>
      </c>
      <c r="G64">
        <v>87.197951546616977</v>
      </c>
      <c r="H64">
        <v>62.259307413325836</v>
      </c>
      <c r="I64">
        <v>82.010216221786067</v>
      </c>
      <c r="J64">
        <v>85.727729818347797</v>
      </c>
      <c r="K64">
        <v>0.73092000531804802</v>
      </c>
      <c r="L64">
        <v>77.790968750000005</v>
      </c>
      <c r="M64" s="16">
        <f>+'[3]VAR expectations'!C88</f>
        <v>1.4821164021163924</v>
      </c>
      <c r="N64">
        <v>0.49581996628150798</v>
      </c>
      <c r="O64">
        <v>-0.32614814317173602</v>
      </c>
      <c r="P64">
        <v>312</v>
      </c>
      <c r="Q64">
        <v>80</v>
      </c>
      <c r="R64">
        <v>446</v>
      </c>
      <c r="S64">
        <v>118</v>
      </c>
      <c r="T64">
        <v>21</v>
      </c>
      <c r="U64">
        <v>23</v>
      </c>
      <c r="V64">
        <f t="shared" si="1"/>
        <v>162</v>
      </c>
    </row>
    <row r="65" spans="1:22" x14ac:dyDescent="0.25">
      <c r="A65" s="15">
        <v>39994</v>
      </c>
      <c r="B65">
        <v>86.15976755532354</v>
      </c>
      <c r="C65">
        <v>82.270942096016583</v>
      </c>
      <c r="D65">
        <v>95.654937823592505</v>
      </c>
      <c r="E65">
        <v>83.220861295653535</v>
      </c>
      <c r="F65">
        <v>88.308924452653969</v>
      </c>
      <c r="G65">
        <v>87.210677618102508</v>
      </c>
      <c r="H65">
        <v>62.310963197896491</v>
      </c>
      <c r="I65">
        <v>82.036383837974157</v>
      </c>
      <c r="J65">
        <v>86.234754047421404</v>
      </c>
      <c r="K65">
        <v>0.71601344282857504</v>
      </c>
      <c r="L65">
        <v>81.3092738461538</v>
      </c>
      <c r="M65" s="16">
        <f>+'[3]VAR expectations'!C89</f>
        <v>1.8160783232406086</v>
      </c>
      <c r="N65">
        <v>-3.3463491076020598E-3</v>
      </c>
      <c r="O65">
        <v>6.5202411569874996E-2</v>
      </c>
      <c r="P65">
        <v>312</v>
      </c>
      <c r="Q65">
        <v>80</v>
      </c>
      <c r="R65">
        <v>446</v>
      </c>
      <c r="S65">
        <v>118</v>
      </c>
      <c r="T65">
        <v>21</v>
      </c>
      <c r="U65">
        <v>23</v>
      </c>
      <c r="V65">
        <f t="shared" si="1"/>
        <v>162</v>
      </c>
    </row>
    <row r="66" spans="1:22" x14ac:dyDescent="0.25">
      <c r="A66" s="15">
        <v>40086</v>
      </c>
      <c r="B66">
        <v>86.924358866209801</v>
      </c>
      <c r="C66">
        <v>82.818965560018796</v>
      </c>
      <c r="D66">
        <v>96.748856693679144</v>
      </c>
      <c r="E66">
        <v>83.273957539010269</v>
      </c>
      <c r="F66">
        <v>87.773256644266795</v>
      </c>
      <c r="G66">
        <v>88.565655919881635</v>
      </c>
      <c r="H66">
        <v>63.382794957694408</v>
      </c>
      <c r="I66">
        <v>84.43822912724265</v>
      </c>
      <c r="J66">
        <v>86.903555326754898</v>
      </c>
      <c r="K66">
        <v>0.71104869772248203</v>
      </c>
      <c r="L66">
        <v>82.911893939393906</v>
      </c>
      <c r="M66" s="16">
        <f>+'[3]VAR expectations'!C90</f>
        <v>1.8710162025955688</v>
      </c>
      <c r="N66">
        <v>-0.246943476236648</v>
      </c>
      <c r="O66">
        <v>0.18136360737922499</v>
      </c>
      <c r="P66">
        <v>312</v>
      </c>
      <c r="Q66">
        <v>80</v>
      </c>
      <c r="R66">
        <v>446</v>
      </c>
      <c r="S66">
        <v>118</v>
      </c>
      <c r="T66">
        <v>21</v>
      </c>
      <c r="U66">
        <v>23</v>
      </c>
      <c r="V66">
        <f t="shared" si="1"/>
        <v>162</v>
      </c>
    </row>
    <row r="67" spans="1:22" x14ac:dyDescent="0.25">
      <c r="A67" s="15">
        <v>40178</v>
      </c>
      <c r="B67">
        <v>87.534280115684567</v>
      </c>
      <c r="C67">
        <v>83.410496500833645</v>
      </c>
      <c r="D67">
        <v>97.120889173976664</v>
      </c>
      <c r="E67">
        <v>83.844235616954464</v>
      </c>
      <c r="F67">
        <v>88.32590778326967</v>
      </c>
      <c r="G67">
        <v>89.28787021115356</v>
      </c>
      <c r="H67">
        <v>64.12562627513833</v>
      </c>
      <c r="I67">
        <v>86.397389894562437</v>
      </c>
      <c r="J67">
        <v>87.453767874372005</v>
      </c>
      <c r="K67">
        <v>0.718035511271781</v>
      </c>
      <c r="L67">
        <v>80.353062121212105</v>
      </c>
      <c r="M67" s="16">
        <f>+'[3]VAR expectations'!C91</f>
        <v>2.0075486250838721</v>
      </c>
      <c r="N67">
        <v>0.101321891194596</v>
      </c>
      <c r="O67">
        <v>0.13445341671153399</v>
      </c>
      <c r="P67">
        <v>312</v>
      </c>
      <c r="Q67">
        <v>80</v>
      </c>
      <c r="R67">
        <v>446</v>
      </c>
      <c r="S67">
        <v>118</v>
      </c>
      <c r="T67">
        <v>21</v>
      </c>
      <c r="U67">
        <v>23</v>
      </c>
      <c r="V67">
        <f t="shared" si="1"/>
        <v>162</v>
      </c>
    </row>
    <row r="68" spans="1:22" x14ac:dyDescent="0.25">
      <c r="A68" s="15">
        <v>40268</v>
      </c>
      <c r="B68">
        <v>88.431032272878838</v>
      </c>
      <c r="C68">
        <v>84.379845312412996</v>
      </c>
      <c r="D68">
        <v>97.46249220497026</v>
      </c>
      <c r="E68">
        <v>85.139204142394036</v>
      </c>
      <c r="F68">
        <v>89.453891235916998</v>
      </c>
      <c r="G68">
        <v>89.55948122598636</v>
      </c>
      <c r="H68">
        <v>66.656144582256971</v>
      </c>
      <c r="I68">
        <v>87.699409046380325</v>
      </c>
      <c r="J68">
        <v>88.514134771042393</v>
      </c>
      <c r="K68">
        <v>0.73762646098512996</v>
      </c>
      <c r="L68">
        <v>79.543812500000001</v>
      </c>
      <c r="M68" s="16">
        <f>+'[3]VAR expectations'!C92</f>
        <v>2.301390043398611</v>
      </c>
      <c r="N68">
        <v>0.50255924177984002</v>
      </c>
      <c r="O68">
        <v>0.18762675130171899</v>
      </c>
      <c r="P68">
        <v>313</v>
      </c>
      <c r="Q68">
        <v>88</v>
      </c>
      <c r="R68">
        <v>451</v>
      </c>
      <c r="S68">
        <v>108</v>
      </c>
      <c r="T68">
        <v>18</v>
      </c>
      <c r="U68">
        <v>22</v>
      </c>
      <c r="V68">
        <f t="shared" si="1"/>
        <v>148</v>
      </c>
    </row>
    <row r="69" spans="1:22" x14ac:dyDescent="0.25">
      <c r="A69" s="15">
        <v>40359</v>
      </c>
      <c r="B69">
        <v>89.149935009377074</v>
      </c>
      <c r="C69">
        <v>85.197668340993346</v>
      </c>
      <c r="D69">
        <v>97.794868419101633</v>
      </c>
      <c r="E69">
        <v>85.883704596755891</v>
      </c>
      <c r="F69">
        <v>90.264506993479202</v>
      </c>
      <c r="G69">
        <v>90.181221743676701</v>
      </c>
      <c r="H69">
        <v>67.322785272699434</v>
      </c>
      <c r="I69">
        <v>88.993371323519867</v>
      </c>
      <c r="J69">
        <v>89.209095175361497</v>
      </c>
      <c r="K69">
        <v>0.74845947139534197</v>
      </c>
      <c r="L69">
        <v>79.899689230769198</v>
      </c>
      <c r="M69" s="16">
        <f>+'[3]VAR expectations'!C93</f>
        <v>2.6505886564059562</v>
      </c>
      <c r="N69">
        <v>0.58031803605650401</v>
      </c>
      <c r="O69">
        <v>0.158164675972188</v>
      </c>
      <c r="P69">
        <v>313</v>
      </c>
      <c r="Q69">
        <v>88</v>
      </c>
      <c r="R69">
        <v>451</v>
      </c>
      <c r="S69">
        <v>108</v>
      </c>
      <c r="T69">
        <v>18</v>
      </c>
      <c r="U69">
        <v>22</v>
      </c>
      <c r="V69">
        <f t="shared" si="1"/>
        <v>148</v>
      </c>
    </row>
    <row r="70" spans="1:22" x14ac:dyDescent="0.25">
      <c r="A70" s="15">
        <v>40451</v>
      </c>
      <c r="B70">
        <v>89.638294686830889</v>
      </c>
      <c r="C70">
        <v>85.933661989550004</v>
      </c>
      <c r="D70">
        <v>97.975058796536885</v>
      </c>
      <c r="E70">
        <v>86.951847807603031</v>
      </c>
      <c r="F70">
        <v>91.446251491513593</v>
      </c>
      <c r="G70">
        <v>90.86338632288313</v>
      </c>
      <c r="H70">
        <v>68.001566778590345</v>
      </c>
      <c r="I70">
        <v>88.087504676968365</v>
      </c>
      <c r="J70">
        <v>89.597693247304207</v>
      </c>
      <c r="K70">
        <v>0.74234749464842498</v>
      </c>
      <c r="L70">
        <v>81.7654454545455</v>
      </c>
      <c r="M70" s="16">
        <f>+'[3]VAR expectations'!C94</f>
        <v>2.8352346264846378</v>
      </c>
      <c r="N70">
        <v>0.26076684740058198</v>
      </c>
      <c r="O70">
        <v>-0.12701395323713599</v>
      </c>
      <c r="P70">
        <v>313</v>
      </c>
      <c r="Q70">
        <v>88</v>
      </c>
      <c r="R70">
        <v>451</v>
      </c>
      <c r="S70">
        <v>108</v>
      </c>
      <c r="T70">
        <v>18</v>
      </c>
      <c r="U70">
        <v>22</v>
      </c>
      <c r="V70">
        <f t="shared" si="1"/>
        <v>148</v>
      </c>
    </row>
    <row r="71" spans="1:22" x14ac:dyDescent="0.25">
      <c r="A71" s="15">
        <v>40543</v>
      </c>
      <c r="B71">
        <v>90.489806177236133</v>
      </c>
      <c r="C71">
        <v>86.591552448257588</v>
      </c>
      <c r="D71">
        <v>98.369291646594647</v>
      </c>
      <c r="E71">
        <v>88.591673818649085</v>
      </c>
      <c r="F71">
        <v>93.13460881510359</v>
      </c>
      <c r="G71">
        <v>92.78220916680867</v>
      </c>
      <c r="H71">
        <v>69.334173598667135</v>
      </c>
      <c r="I71">
        <v>90.420116042050893</v>
      </c>
      <c r="J71">
        <v>90.4101607728266</v>
      </c>
      <c r="K71">
        <v>0.75542882863199101</v>
      </c>
      <c r="L71">
        <v>80.312759090909097</v>
      </c>
      <c r="M71" s="16">
        <f>+'[3]VAR expectations'!C95</f>
        <v>3.2715136112828467</v>
      </c>
      <c r="N71">
        <v>0.32099091782760703</v>
      </c>
      <c r="O71">
        <v>0.19462453007871</v>
      </c>
      <c r="P71">
        <v>313</v>
      </c>
      <c r="Q71">
        <v>88</v>
      </c>
      <c r="R71">
        <v>451</v>
      </c>
      <c r="S71">
        <v>108</v>
      </c>
      <c r="T71">
        <v>18</v>
      </c>
      <c r="U71">
        <v>22</v>
      </c>
      <c r="V71">
        <f t="shared" si="1"/>
        <v>148</v>
      </c>
    </row>
    <row r="72" spans="1:22" x14ac:dyDescent="0.25">
      <c r="A72" s="15">
        <v>40633</v>
      </c>
      <c r="B72">
        <v>92.028246006294424</v>
      </c>
      <c r="C72">
        <v>87.912967080105943</v>
      </c>
      <c r="D72">
        <v>99.170306398765774</v>
      </c>
      <c r="E72">
        <v>90.012389630124503</v>
      </c>
      <c r="F72">
        <v>94.438459915867682</v>
      </c>
      <c r="G72">
        <v>93.157862915665092</v>
      </c>
      <c r="H72">
        <v>71.802037138736935</v>
      </c>
      <c r="I72">
        <v>95.633425670901943</v>
      </c>
      <c r="J72">
        <v>92.119747796089499</v>
      </c>
      <c r="K72">
        <v>0.77480731613046805</v>
      </c>
      <c r="L72">
        <v>80.801396874999995</v>
      </c>
      <c r="M72" s="16">
        <f>+'[3]VAR expectations'!C96</f>
        <v>3.5419702495573993</v>
      </c>
      <c r="N72">
        <v>0.70267001409044105</v>
      </c>
      <c r="O72">
        <v>0.56007002109159698</v>
      </c>
      <c r="P72">
        <v>314</v>
      </c>
      <c r="Q72">
        <v>87</v>
      </c>
      <c r="R72">
        <v>439</v>
      </c>
      <c r="S72">
        <v>118</v>
      </c>
      <c r="T72">
        <v>19</v>
      </c>
      <c r="U72">
        <v>23</v>
      </c>
      <c r="V72">
        <f t="shared" si="1"/>
        <v>160</v>
      </c>
    </row>
    <row r="73" spans="1:22" x14ac:dyDescent="0.25">
      <c r="A73" s="15">
        <v>40724</v>
      </c>
      <c r="B73">
        <v>93.071536943024171</v>
      </c>
      <c r="C73">
        <v>89.053937918689897</v>
      </c>
      <c r="D73">
        <v>99.269248788610994</v>
      </c>
      <c r="E73">
        <v>91.677961394101132</v>
      </c>
      <c r="F73">
        <v>95.451423700043904</v>
      </c>
      <c r="G73">
        <v>96.631551388411069</v>
      </c>
      <c r="H73">
        <v>74.990931545672041</v>
      </c>
      <c r="I73">
        <v>98.19389255267329</v>
      </c>
      <c r="J73">
        <v>93.115155211009593</v>
      </c>
      <c r="K73">
        <v>0.79250308454060703</v>
      </c>
      <c r="L73">
        <v>79.449792307692306</v>
      </c>
      <c r="M73" s="16">
        <f>+'[3]VAR expectations'!C97</f>
        <v>3.375212504142874</v>
      </c>
      <c r="N73">
        <v>0.76852261598709404</v>
      </c>
      <c r="O73">
        <v>0.23219285039294399</v>
      </c>
      <c r="P73">
        <v>314</v>
      </c>
      <c r="Q73">
        <v>87</v>
      </c>
      <c r="R73">
        <v>439</v>
      </c>
      <c r="S73">
        <v>118</v>
      </c>
      <c r="T73">
        <v>19</v>
      </c>
      <c r="U73">
        <v>23</v>
      </c>
      <c r="V73">
        <f t="shared" si="1"/>
        <v>160</v>
      </c>
    </row>
    <row r="74" spans="1:22" x14ac:dyDescent="0.25">
      <c r="A74" s="15">
        <v>40816</v>
      </c>
      <c r="B74">
        <v>93.884444201758356</v>
      </c>
      <c r="C74">
        <v>89.712905874510099</v>
      </c>
      <c r="D74">
        <v>99.557418846227847</v>
      </c>
      <c r="E74">
        <v>93.237254463578665</v>
      </c>
      <c r="F74">
        <v>97.154981546404201</v>
      </c>
      <c r="G74">
        <v>97.117781804489667</v>
      </c>
      <c r="H74">
        <v>76.509668870506928</v>
      </c>
      <c r="I74">
        <v>100.16051669288386</v>
      </c>
      <c r="J74">
        <v>93.838228902574699</v>
      </c>
      <c r="K74">
        <v>0.80330078884896206</v>
      </c>
      <c r="L74">
        <v>79.238960606060601</v>
      </c>
      <c r="M74" s="16">
        <f>+'[3]VAR expectations'!C98</f>
        <v>3.4898805472145966</v>
      </c>
      <c r="N74">
        <v>1.05498669861284</v>
      </c>
      <c r="O74">
        <v>0.15487507420452101</v>
      </c>
      <c r="P74">
        <v>314</v>
      </c>
      <c r="Q74">
        <v>87</v>
      </c>
      <c r="R74">
        <v>439</v>
      </c>
      <c r="S74">
        <v>118</v>
      </c>
      <c r="T74">
        <v>19</v>
      </c>
      <c r="U74">
        <v>23</v>
      </c>
      <c r="V74">
        <f t="shared" si="1"/>
        <v>160</v>
      </c>
    </row>
    <row r="75" spans="1:22" x14ac:dyDescent="0.25">
      <c r="A75" s="15">
        <v>40908</v>
      </c>
      <c r="B75">
        <v>94.672700791711677</v>
      </c>
      <c r="C75">
        <v>90.273256422834663</v>
      </c>
      <c r="D75">
        <v>99.989179662138312</v>
      </c>
      <c r="E75">
        <v>93.532438518691151</v>
      </c>
      <c r="F75">
        <v>97.130995935006737</v>
      </c>
      <c r="G75">
        <v>97.517220688463397</v>
      </c>
      <c r="H75">
        <v>77.87668627081456</v>
      </c>
      <c r="I75">
        <v>104.67349034756099</v>
      </c>
      <c r="J75">
        <v>94.600470014285307</v>
      </c>
      <c r="K75">
        <v>0.79692550841968202</v>
      </c>
      <c r="L75">
        <v>80.333807692307701</v>
      </c>
      <c r="M75" s="16">
        <f>+'[3]VAR expectations'!C99</f>
        <v>3.2213697643305159</v>
      </c>
      <c r="N75">
        <v>1.24898176101869</v>
      </c>
      <c r="O75">
        <v>0.381362520234932</v>
      </c>
      <c r="P75">
        <v>314</v>
      </c>
      <c r="Q75">
        <v>87</v>
      </c>
      <c r="R75">
        <v>439</v>
      </c>
      <c r="S75">
        <v>118</v>
      </c>
      <c r="T75">
        <v>19</v>
      </c>
      <c r="U75">
        <v>23</v>
      </c>
      <c r="V75">
        <f t="shared" si="1"/>
        <v>160</v>
      </c>
    </row>
    <row r="76" spans="1:22" x14ac:dyDescent="0.25">
      <c r="A76" s="15">
        <v>40999</v>
      </c>
      <c r="B76">
        <v>95.220828533021802</v>
      </c>
      <c r="C76">
        <v>90.990465446417076</v>
      </c>
      <c r="D76">
        <v>100.26857414915668</v>
      </c>
      <c r="E76">
        <v>94.339792643349242</v>
      </c>
      <c r="F76">
        <v>98.059610435736786</v>
      </c>
      <c r="G76">
        <v>98.45528822952933</v>
      </c>
      <c r="H76">
        <v>78.297775842712142</v>
      </c>
      <c r="I76">
        <v>104.58844196118766</v>
      </c>
      <c r="J76">
        <v>95.296594834362097</v>
      </c>
      <c r="K76">
        <v>0.79036304883250197</v>
      </c>
      <c r="L76">
        <v>81.185307692307703</v>
      </c>
      <c r="M76" s="16">
        <f>+'[3]VAR expectations'!C100</f>
        <v>2.6732813585155433</v>
      </c>
      <c r="N76">
        <v>0.82772171266241201</v>
      </c>
      <c r="O76">
        <v>5.6173276616820499E-2</v>
      </c>
      <c r="P76">
        <v>299</v>
      </c>
      <c r="Q76">
        <v>102</v>
      </c>
      <c r="R76">
        <v>445</v>
      </c>
      <c r="S76">
        <v>112</v>
      </c>
      <c r="T76">
        <v>18</v>
      </c>
      <c r="U76">
        <v>24</v>
      </c>
      <c r="V76">
        <f t="shared" si="1"/>
        <v>154</v>
      </c>
    </row>
    <row r="77" spans="1:22" x14ac:dyDescent="0.25">
      <c r="A77" s="15">
        <v>41090</v>
      </c>
      <c r="B77">
        <v>95.661801589235736</v>
      </c>
      <c r="C77">
        <v>91.874666961234553</v>
      </c>
      <c r="D77">
        <v>99.992916527829777</v>
      </c>
      <c r="E77">
        <v>95.203023909993405</v>
      </c>
      <c r="F77">
        <v>98.600128903658003</v>
      </c>
      <c r="G77">
        <v>98.344902271854878</v>
      </c>
      <c r="H77">
        <v>80.928781127316668</v>
      </c>
      <c r="I77">
        <v>104.38451787906634</v>
      </c>
      <c r="J77">
        <v>95.693244690360004</v>
      </c>
      <c r="K77">
        <v>0.78233241965256906</v>
      </c>
      <c r="L77">
        <v>83.181383076923098</v>
      </c>
      <c r="M77" s="16">
        <f>+'[3]VAR expectations'!C101</f>
        <v>2.7328072825683152</v>
      </c>
      <c r="N77">
        <v>0.54554070595886694</v>
      </c>
      <c r="O77">
        <v>-4.3636593431138501E-2</v>
      </c>
      <c r="P77">
        <v>299</v>
      </c>
      <c r="Q77">
        <v>102</v>
      </c>
      <c r="R77">
        <v>445</v>
      </c>
      <c r="S77">
        <v>112</v>
      </c>
      <c r="T77">
        <v>18</v>
      </c>
      <c r="U77">
        <v>24</v>
      </c>
      <c r="V77">
        <f t="shared" si="1"/>
        <v>154</v>
      </c>
    </row>
    <row r="78" spans="1:22" x14ac:dyDescent="0.25">
      <c r="A78" s="15">
        <v>41182</v>
      </c>
      <c r="B78">
        <v>96.159757106247127</v>
      </c>
      <c r="C78">
        <v>92.663276461154041</v>
      </c>
      <c r="D78">
        <v>100.06941067775598</v>
      </c>
      <c r="E78">
        <v>96.120000892621292</v>
      </c>
      <c r="F78">
        <v>99.226062487439506</v>
      </c>
      <c r="G78">
        <v>98.889261550535934</v>
      </c>
      <c r="H78">
        <v>82.976582341582699</v>
      </c>
      <c r="I78">
        <v>103.68401053509801</v>
      </c>
      <c r="J78">
        <v>96.132770683416496</v>
      </c>
      <c r="K78">
        <v>0.77949894334766001</v>
      </c>
      <c r="L78">
        <v>84.087635384615396</v>
      </c>
      <c r="M78" s="16">
        <f>+'[3]VAR expectations'!C102</f>
        <v>2.6338769922366603</v>
      </c>
      <c r="N78">
        <v>0.31575128789910001</v>
      </c>
      <c r="O78">
        <v>-7.0602534907149003E-2</v>
      </c>
      <c r="P78">
        <v>299</v>
      </c>
      <c r="Q78">
        <v>102</v>
      </c>
      <c r="R78">
        <v>445</v>
      </c>
      <c r="S78">
        <v>112</v>
      </c>
      <c r="T78">
        <v>18</v>
      </c>
      <c r="U78">
        <v>24</v>
      </c>
      <c r="V78">
        <f t="shared" ref="V78:V141" si="2">+S78+T78+U78</f>
        <v>154</v>
      </c>
    </row>
    <row r="79" spans="1:22" x14ac:dyDescent="0.25">
      <c r="A79" s="15">
        <v>41274</v>
      </c>
      <c r="B79">
        <v>97.162654247917999</v>
      </c>
      <c r="C79">
        <v>93.826523338900373</v>
      </c>
      <c r="D79">
        <v>100.41599137190799</v>
      </c>
      <c r="E79">
        <v>97.577218272869018</v>
      </c>
      <c r="F79">
        <v>100.720386662997</v>
      </c>
      <c r="G79">
        <v>99.479593443291932</v>
      </c>
      <c r="H79">
        <v>84.635244859279169</v>
      </c>
      <c r="I79">
        <v>105.58557801242399</v>
      </c>
      <c r="J79">
        <v>97.110964269244803</v>
      </c>
      <c r="K79">
        <v>0.78154662829000898</v>
      </c>
      <c r="L79">
        <v>83.635050000000007</v>
      </c>
      <c r="M79" s="16">
        <f>+'[3]VAR expectations'!C103</f>
        <v>2.8395493192289751</v>
      </c>
      <c r="N79">
        <v>0.104563536497584</v>
      </c>
      <c r="O79">
        <v>0.17002043948124901</v>
      </c>
      <c r="P79">
        <v>299</v>
      </c>
      <c r="Q79">
        <v>102</v>
      </c>
      <c r="R79">
        <v>445</v>
      </c>
      <c r="S79">
        <v>112</v>
      </c>
      <c r="T79">
        <v>18</v>
      </c>
      <c r="U79">
        <v>24</v>
      </c>
      <c r="V79">
        <f t="shared" si="2"/>
        <v>154</v>
      </c>
    </row>
    <row r="80" spans="1:22" x14ac:dyDescent="0.25">
      <c r="A80" s="15">
        <v>41364</v>
      </c>
      <c r="B80">
        <v>97.878204369286664</v>
      </c>
      <c r="C80">
        <v>94.497713062964138</v>
      </c>
      <c r="D80">
        <v>100.25492351994366</v>
      </c>
      <c r="E80">
        <v>98.933189023488126</v>
      </c>
      <c r="F80">
        <v>101.831219987024</v>
      </c>
      <c r="G80">
        <v>101.77752488879499</v>
      </c>
      <c r="H80">
        <v>85.719780021004397</v>
      </c>
      <c r="I80">
        <v>108.31118169835234</v>
      </c>
      <c r="J80">
        <v>97.925488465259704</v>
      </c>
      <c r="K80">
        <v>0.79884478823621796</v>
      </c>
      <c r="L80">
        <v>80.442884375000006</v>
      </c>
      <c r="M80" s="16">
        <f>+'[3]VAR expectations'!C104</f>
        <v>2.7984394444998073</v>
      </c>
      <c r="N80">
        <v>0.324024369524822</v>
      </c>
      <c r="O80">
        <v>0.241460052475615</v>
      </c>
      <c r="P80">
        <v>296</v>
      </c>
      <c r="Q80">
        <v>88</v>
      </c>
      <c r="R80">
        <v>466</v>
      </c>
      <c r="S80">
        <v>106</v>
      </c>
      <c r="T80">
        <v>20</v>
      </c>
      <c r="U80">
        <v>24</v>
      </c>
      <c r="V80">
        <f t="shared" si="2"/>
        <v>150</v>
      </c>
    </row>
    <row r="81" spans="1:22" x14ac:dyDescent="0.25">
      <c r="A81" s="15">
        <v>41455</v>
      </c>
      <c r="B81">
        <v>98.251378473589838</v>
      </c>
      <c r="C81">
        <v>95.046476257027862</v>
      </c>
      <c r="D81">
        <v>100.27978237194566</v>
      </c>
      <c r="E81">
        <v>99.859685215060438</v>
      </c>
      <c r="F81">
        <v>102.75500391936266</v>
      </c>
      <c r="G81">
        <v>101.836289917104</v>
      </c>
      <c r="H81">
        <v>87.210873548229799</v>
      </c>
      <c r="I81">
        <v>107.83201654009734</v>
      </c>
      <c r="J81">
        <v>98.272753366828596</v>
      </c>
      <c r="K81">
        <v>0.79167951163778205</v>
      </c>
      <c r="L81">
        <v>80.515092307692299</v>
      </c>
      <c r="M81" s="16">
        <f>+'[3]VAR expectations'!C105</f>
        <v>2.5464188172083313</v>
      </c>
      <c r="N81">
        <v>0.31364041349556798</v>
      </c>
      <c r="O81">
        <v>-4.6266301499783898E-2</v>
      </c>
      <c r="P81">
        <v>296</v>
      </c>
      <c r="Q81">
        <v>88</v>
      </c>
      <c r="R81">
        <v>466</v>
      </c>
      <c r="S81">
        <v>106</v>
      </c>
      <c r="T81">
        <v>20</v>
      </c>
      <c r="U81">
        <v>24</v>
      </c>
      <c r="V81">
        <f t="shared" si="2"/>
        <v>150</v>
      </c>
    </row>
    <row r="82" spans="1:22" x14ac:dyDescent="0.25">
      <c r="A82" s="15">
        <v>41547</v>
      </c>
      <c r="B82">
        <v>98.752854591939908</v>
      </c>
      <c r="C82">
        <v>95.572863782293311</v>
      </c>
      <c r="D82">
        <v>100.44629317566866</v>
      </c>
      <c r="E82">
        <v>100.64149809400267</v>
      </c>
      <c r="F82">
        <v>103.29671967476033</v>
      </c>
      <c r="G82">
        <v>102.71419074656801</v>
      </c>
      <c r="H82">
        <v>88.583060290652668</v>
      </c>
      <c r="I82">
        <v>108.30898115607933</v>
      </c>
      <c r="J82">
        <v>98.742078767920106</v>
      </c>
      <c r="K82">
        <v>0.79239358474646304</v>
      </c>
      <c r="L82">
        <v>81.208398484848502</v>
      </c>
      <c r="M82" s="16">
        <f>+'[3]VAR expectations'!C106</f>
        <v>2.5748216030053293</v>
      </c>
      <c r="N82">
        <v>0.43632015937909602</v>
      </c>
      <c r="O82">
        <v>5.0228150077548703E-2</v>
      </c>
      <c r="P82">
        <v>296</v>
      </c>
      <c r="Q82">
        <v>88</v>
      </c>
      <c r="R82">
        <v>466</v>
      </c>
      <c r="S82">
        <v>106</v>
      </c>
      <c r="T82">
        <v>20</v>
      </c>
      <c r="U82">
        <v>24</v>
      </c>
      <c r="V82">
        <f t="shared" si="2"/>
        <v>150</v>
      </c>
    </row>
    <row r="83" spans="1:22" x14ac:dyDescent="0.25">
      <c r="A83" s="15">
        <v>41639</v>
      </c>
      <c r="B83">
        <v>99.16645698771913</v>
      </c>
      <c r="C83">
        <v>96.228078680329631</v>
      </c>
      <c r="D83">
        <v>100.78376977819967</v>
      </c>
      <c r="E83">
        <v>101.17449901115033</v>
      </c>
      <c r="F83">
        <v>103.58088696547502</v>
      </c>
      <c r="G83">
        <v>102.56867208326467</v>
      </c>
      <c r="H83">
        <v>90.447371162377706</v>
      </c>
      <c r="I83">
        <v>107.92752093511767</v>
      </c>
      <c r="J83">
        <v>99.137279807018302</v>
      </c>
      <c r="K83">
        <v>0.77685805948687903</v>
      </c>
      <c r="L83">
        <v>83.550871212121194</v>
      </c>
      <c r="M83" s="16">
        <f>+'[3]VAR expectations'!C107</f>
        <v>2.8319255146371365</v>
      </c>
      <c r="N83">
        <v>0.22219070211023301</v>
      </c>
      <c r="O83">
        <v>-3.9462920803342003E-2</v>
      </c>
      <c r="P83">
        <v>296</v>
      </c>
      <c r="Q83">
        <v>88</v>
      </c>
      <c r="R83">
        <v>466</v>
      </c>
      <c r="S83">
        <v>106</v>
      </c>
      <c r="T83">
        <v>20</v>
      </c>
      <c r="U83">
        <v>24</v>
      </c>
      <c r="V83">
        <f t="shared" si="2"/>
        <v>150</v>
      </c>
    </row>
    <row r="84" spans="1:22" x14ac:dyDescent="0.25">
      <c r="A84" s="15">
        <v>41729</v>
      </c>
      <c r="B84">
        <v>99.615965019554665</v>
      </c>
      <c r="C84">
        <v>96.761795187350572</v>
      </c>
      <c r="D84">
        <v>100.74134078545767</v>
      </c>
      <c r="E84">
        <v>101.51263395869665</v>
      </c>
      <c r="F84">
        <v>103.69940747537733</v>
      </c>
      <c r="G84">
        <v>102.60369891342134</v>
      </c>
      <c r="H84">
        <v>91.971291673900566</v>
      </c>
      <c r="I84">
        <v>109.70553215533168</v>
      </c>
      <c r="J84">
        <v>99.631583657680906</v>
      </c>
      <c r="K84">
        <v>0.77005639191864195</v>
      </c>
      <c r="L84">
        <v>85.572229687499998</v>
      </c>
      <c r="M84" s="16">
        <f>+'[3]VAR expectations'!C108</f>
        <v>2.2293252935517471</v>
      </c>
      <c r="N84">
        <v>9.8094031068240703E-2</v>
      </c>
      <c r="O84">
        <v>0.118953558534671</v>
      </c>
      <c r="P84">
        <v>303</v>
      </c>
      <c r="Q84">
        <v>80</v>
      </c>
      <c r="R84">
        <v>460</v>
      </c>
      <c r="S84">
        <v>112</v>
      </c>
      <c r="T84">
        <v>20</v>
      </c>
      <c r="U84">
        <v>25</v>
      </c>
      <c r="V84">
        <f t="shared" si="2"/>
        <v>157</v>
      </c>
    </row>
    <row r="85" spans="1:22" x14ac:dyDescent="0.25">
      <c r="A85" s="15">
        <v>41820</v>
      </c>
      <c r="B85">
        <v>99.965838125717156</v>
      </c>
      <c r="C85">
        <v>97.447287714361963</v>
      </c>
      <c r="D85">
        <v>101.19548548535266</v>
      </c>
      <c r="E85">
        <v>101.10270726469498</v>
      </c>
      <c r="F85">
        <v>102.71213136249001</v>
      </c>
      <c r="G85">
        <v>102.60684242225399</v>
      </c>
      <c r="H85">
        <v>93.613842075338894</v>
      </c>
      <c r="I85">
        <v>108.99814611378167</v>
      </c>
      <c r="J85">
        <v>99.977142779752299</v>
      </c>
      <c r="K85">
        <v>0.76186138184852603</v>
      </c>
      <c r="L85">
        <v>86.910458461538497</v>
      </c>
      <c r="M85" s="16">
        <f>+'[3]VAR expectations'!C109</f>
        <v>2.056924231171823</v>
      </c>
      <c r="N85">
        <v>0.10587156808661601</v>
      </c>
      <c r="O85">
        <v>-3.9039395433083303E-2</v>
      </c>
      <c r="P85">
        <v>303</v>
      </c>
      <c r="Q85">
        <v>80</v>
      </c>
      <c r="R85">
        <v>460</v>
      </c>
      <c r="S85">
        <v>112</v>
      </c>
      <c r="T85">
        <v>20</v>
      </c>
      <c r="U85">
        <v>25</v>
      </c>
      <c r="V85">
        <f t="shared" si="2"/>
        <v>157</v>
      </c>
    </row>
    <row r="86" spans="1:22" x14ac:dyDescent="0.25">
      <c r="A86" s="15">
        <v>41912</v>
      </c>
      <c r="B86">
        <v>100.15677739650266</v>
      </c>
      <c r="C86">
        <v>97.959458747727567</v>
      </c>
      <c r="D86">
        <v>101.00929650617768</v>
      </c>
      <c r="E86">
        <v>101.19990884372199</v>
      </c>
      <c r="F86">
        <v>102.32972761473133</v>
      </c>
      <c r="G86">
        <v>102.08085754246467</v>
      </c>
      <c r="H86">
        <v>95.727338342374765</v>
      </c>
      <c r="I86">
        <v>108.44621183848399</v>
      </c>
      <c r="J86">
        <v>100.162977213931</v>
      </c>
      <c r="K86">
        <v>0.75226035278899805</v>
      </c>
      <c r="L86">
        <v>88.037404545454507</v>
      </c>
      <c r="M86" s="16">
        <f>+'[3]VAR expectations'!C110</f>
        <v>2.1248729237613553</v>
      </c>
      <c r="N86">
        <v>3.7153210251410003E-2</v>
      </c>
      <c r="O86">
        <v>-1.7614852146566599E-2</v>
      </c>
      <c r="P86">
        <v>303</v>
      </c>
      <c r="Q86">
        <v>80</v>
      </c>
      <c r="R86">
        <v>460</v>
      </c>
      <c r="S86">
        <v>112</v>
      </c>
      <c r="T86">
        <v>20</v>
      </c>
      <c r="U86">
        <v>25</v>
      </c>
      <c r="V86">
        <f t="shared" si="2"/>
        <v>157</v>
      </c>
    </row>
    <row r="87" spans="1:22" x14ac:dyDescent="0.25">
      <c r="A87" s="15">
        <v>42004</v>
      </c>
      <c r="B87">
        <v>100.07191441089135</v>
      </c>
      <c r="C87">
        <v>98.543422853539013</v>
      </c>
      <c r="D87">
        <v>100.49867292423799</v>
      </c>
      <c r="E87">
        <v>101.34937351147433</v>
      </c>
      <c r="F87">
        <v>101.90270688934201</v>
      </c>
      <c r="G87">
        <v>102.878615332145</v>
      </c>
      <c r="H87">
        <v>97.585296483620894</v>
      </c>
      <c r="I87">
        <v>105.70751267500732</v>
      </c>
      <c r="J87">
        <v>100.062422966814</v>
      </c>
      <c r="K87">
        <v>0.74632537520411302</v>
      </c>
      <c r="L87">
        <v>87.311537878787902</v>
      </c>
      <c r="M87" s="16">
        <f>+'[3]VAR expectations'!C111</f>
        <v>1.7035599242558022</v>
      </c>
      <c r="N87">
        <v>-0.13202299430424599</v>
      </c>
      <c r="O87">
        <v>-0.210741219358592</v>
      </c>
      <c r="P87">
        <v>303</v>
      </c>
      <c r="Q87">
        <v>80</v>
      </c>
      <c r="R87">
        <v>460</v>
      </c>
      <c r="S87">
        <v>112</v>
      </c>
      <c r="T87">
        <v>20</v>
      </c>
      <c r="U87">
        <v>25</v>
      </c>
      <c r="V87">
        <f t="shared" si="2"/>
        <v>157</v>
      </c>
    </row>
    <row r="88" spans="1:22" x14ac:dyDescent="0.25">
      <c r="A88" s="15">
        <v>42094</v>
      </c>
      <c r="B88">
        <v>99.755632787090562</v>
      </c>
      <c r="C88">
        <v>99.111039798440231</v>
      </c>
      <c r="D88">
        <v>100.21652259142411</v>
      </c>
      <c r="E88">
        <v>100.36849154654267</v>
      </c>
      <c r="F88">
        <v>100.68630581811134</v>
      </c>
      <c r="G88">
        <v>100.86594542534101</v>
      </c>
      <c r="H88">
        <v>98.714854790735032</v>
      </c>
      <c r="I88">
        <v>100.82974492430633</v>
      </c>
      <c r="J88">
        <v>99.740973780307399</v>
      </c>
      <c r="K88">
        <v>0.72680000070606599</v>
      </c>
      <c r="L88">
        <v>89.392121875000001</v>
      </c>
      <c r="M88" s="16">
        <f>+'[3]VAR expectations'!C112</f>
        <v>1.1817637648378063</v>
      </c>
      <c r="N88">
        <v>-0.67043039392008297</v>
      </c>
      <c r="O88">
        <v>-0.39290195513478698</v>
      </c>
      <c r="P88">
        <v>303</v>
      </c>
      <c r="Q88">
        <v>76</v>
      </c>
      <c r="R88">
        <v>468</v>
      </c>
      <c r="S88">
        <v>110</v>
      </c>
      <c r="T88">
        <v>19</v>
      </c>
      <c r="U88">
        <v>24</v>
      </c>
      <c r="V88">
        <f t="shared" si="2"/>
        <v>153</v>
      </c>
    </row>
    <row r="89" spans="1:22" x14ac:dyDescent="0.25">
      <c r="A89" s="15">
        <v>42185</v>
      </c>
      <c r="B89">
        <v>99.962623598589502</v>
      </c>
      <c r="C89">
        <v>99.576148438704664</v>
      </c>
      <c r="D89">
        <v>100.00497941655489</v>
      </c>
      <c r="E89">
        <v>100.17230383339533</v>
      </c>
      <c r="F89">
        <v>100.35619812088034</v>
      </c>
      <c r="G89">
        <v>100.54274488878302</v>
      </c>
      <c r="H89">
        <v>99.287739181330423</v>
      </c>
      <c r="I89">
        <v>101.88314359924034</v>
      </c>
      <c r="J89">
        <v>99.9740506397914</v>
      </c>
      <c r="K89">
        <v>0.72070090592318703</v>
      </c>
      <c r="L89">
        <v>91.205161538461496</v>
      </c>
      <c r="M89" s="16">
        <f>+'[3]VAR expectations'!C113</f>
        <v>1.1947961687177484</v>
      </c>
      <c r="N89">
        <v>-0.50994347456409705</v>
      </c>
      <c r="O89">
        <v>0.11255125087073201</v>
      </c>
      <c r="P89">
        <v>303</v>
      </c>
      <c r="Q89">
        <v>76</v>
      </c>
      <c r="R89">
        <v>468</v>
      </c>
      <c r="S89">
        <v>110</v>
      </c>
      <c r="T89">
        <v>19</v>
      </c>
      <c r="U89">
        <v>24</v>
      </c>
      <c r="V89">
        <f t="shared" si="2"/>
        <v>153</v>
      </c>
    </row>
    <row r="90" spans="1:22" x14ac:dyDescent="0.25">
      <c r="A90" s="15">
        <v>42277</v>
      </c>
      <c r="B90">
        <v>100.13001772567468</v>
      </c>
      <c r="C90">
        <v>100.26240995605899</v>
      </c>
      <c r="D90">
        <v>100.00264360420393</v>
      </c>
      <c r="E90">
        <v>99.895477823443045</v>
      </c>
      <c r="F90">
        <v>99.79550176561402</v>
      </c>
      <c r="G90">
        <v>99.805491883149145</v>
      </c>
      <c r="H90">
        <v>100.32517757628733</v>
      </c>
      <c r="I90">
        <v>99.959338478605204</v>
      </c>
      <c r="J90">
        <v>100.14053571658999</v>
      </c>
      <c r="K90">
        <v>0.71483241580357104</v>
      </c>
      <c r="L90">
        <v>92.868804545454594</v>
      </c>
      <c r="M90" s="16">
        <f>+'[3]VAR expectations'!C114</f>
        <v>1.4668407504949574</v>
      </c>
      <c r="N90">
        <v>-0.60863214371339502</v>
      </c>
      <c r="O90">
        <v>-0.116694425304383</v>
      </c>
      <c r="P90">
        <v>303</v>
      </c>
      <c r="Q90">
        <v>76</v>
      </c>
      <c r="R90">
        <v>468</v>
      </c>
      <c r="S90">
        <v>110</v>
      </c>
      <c r="T90">
        <v>19</v>
      </c>
      <c r="U90">
        <v>24</v>
      </c>
      <c r="V90">
        <f t="shared" si="2"/>
        <v>153</v>
      </c>
    </row>
    <row r="91" spans="1:22" x14ac:dyDescent="0.25">
      <c r="A91" s="15">
        <v>42369</v>
      </c>
      <c r="B91">
        <v>100.13180041585167</v>
      </c>
      <c r="C91">
        <v>101.03828066760633</v>
      </c>
      <c r="D91">
        <v>99.774836953145766</v>
      </c>
      <c r="E91">
        <v>99.558799446286272</v>
      </c>
      <c r="F91">
        <v>99.150770780724528</v>
      </c>
      <c r="G91">
        <v>98.665856625776954</v>
      </c>
      <c r="H91">
        <v>101.75459475617431</v>
      </c>
      <c r="I91">
        <v>97.165613855363333</v>
      </c>
      <c r="J91">
        <v>100.14443986331101</v>
      </c>
      <c r="K91">
        <v>0.70507772014187198</v>
      </c>
      <c r="L91">
        <v>92.134557575757597</v>
      </c>
      <c r="M91" s="16">
        <f>+'[3]VAR expectations'!C115</f>
        <v>1.2905237090286479</v>
      </c>
      <c r="N91">
        <v>-0.61794357561025104</v>
      </c>
      <c r="O91">
        <v>-0.218829887052228</v>
      </c>
      <c r="P91">
        <v>303</v>
      </c>
      <c r="Q91">
        <v>76</v>
      </c>
      <c r="R91">
        <v>468</v>
      </c>
      <c r="S91">
        <v>110</v>
      </c>
      <c r="T91">
        <v>19</v>
      </c>
      <c r="U91">
        <v>24</v>
      </c>
      <c r="V91">
        <f t="shared" si="2"/>
        <v>153</v>
      </c>
    </row>
    <row r="92" spans="1:22" x14ac:dyDescent="0.25">
      <c r="A92" s="15">
        <v>42460</v>
      </c>
      <c r="B92">
        <v>100.133489818812</v>
      </c>
      <c r="C92">
        <v>101.63112738985866</v>
      </c>
      <c r="D92">
        <v>99.608929671352641</v>
      </c>
      <c r="E92">
        <v>98.872707165271251</v>
      </c>
      <c r="F92">
        <v>98.164825487484862</v>
      </c>
      <c r="G92">
        <v>97.542297449576765</v>
      </c>
      <c r="H92">
        <v>102.86857682741932</v>
      </c>
      <c r="I92">
        <v>95.365136992549097</v>
      </c>
      <c r="J92">
        <v>100.093931219314</v>
      </c>
      <c r="K92">
        <v>0.72125814315421499</v>
      </c>
      <c r="L92">
        <v>86.998107692307698</v>
      </c>
      <c r="M92" s="16">
        <f>+'[3]VAR expectations'!C116</f>
        <v>1.4081096049117914</v>
      </c>
      <c r="N92">
        <v>-0.425228377492884</v>
      </c>
      <c r="O92">
        <v>-0.196273681624174</v>
      </c>
      <c r="P92">
        <v>305</v>
      </c>
      <c r="Q92">
        <v>67</v>
      </c>
      <c r="R92">
        <v>483</v>
      </c>
      <c r="S92">
        <v>103</v>
      </c>
      <c r="T92">
        <v>19</v>
      </c>
      <c r="U92">
        <v>23</v>
      </c>
      <c r="V92">
        <f t="shared" si="2"/>
        <v>145</v>
      </c>
    </row>
    <row r="93" spans="1:22" x14ac:dyDescent="0.25">
      <c r="A93" s="15">
        <v>42551</v>
      </c>
      <c r="B93">
        <v>100.31947375560632</v>
      </c>
      <c r="C93">
        <v>102.171692471244</v>
      </c>
      <c r="D93">
        <v>99.2159855091666</v>
      </c>
      <c r="E93">
        <v>98.48501779648133</v>
      </c>
      <c r="F93">
        <v>97.580678786642167</v>
      </c>
      <c r="G93">
        <v>96.31966917445807</v>
      </c>
      <c r="H93">
        <v>104.016084212427</v>
      </c>
      <c r="I93">
        <v>96.8491934681375</v>
      </c>
      <c r="J93">
        <v>100.33085845991801</v>
      </c>
      <c r="K93">
        <v>0.73626310989779298</v>
      </c>
      <c r="L93">
        <v>85.581083076923093</v>
      </c>
      <c r="M93" s="16">
        <f>+'[3]VAR expectations'!C117</f>
        <v>1.5354544995855299</v>
      </c>
      <c r="N93">
        <v>-0.37357259263352899</v>
      </c>
      <c r="O93">
        <v>0.16448627630259699</v>
      </c>
      <c r="P93">
        <v>305</v>
      </c>
      <c r="Q93">
        <v>67</v>
      </c>
      <c r="R93">
        <v>483</v>
      </c>
      <c r="S93">
        <v>103</v>
      </c>
      <c r="T93">
        <v>19</v>
      </c>
      <c r="U93">
        <v>23</v>
      </c>
      <c r="V93">
        <f t="shared" si="2"/>
        <v>145</v>
      </c>
    </row>
    <row r="94" spans="1:22" x14ac:dyDescent="0.25">
      <c r="A94" s="15">
        <v>42643</v>
      </c>
      <c r="B94">
        <v>100.82481509832233</v>
      </c>
      <c r="C94">
        <v>102.97930867263966</v>
      </c>
      <c r="D94">
        <v>99.172353616571925</v>
      </c>
      <c r="E94">
        <v>98.706664288254828</v>
      </c>
      <c r="F94">
        <v>97.440009421386776</v>
      </c>
      <c r="G94">
        <v>96.302258368281045</v>
      </c>
      <c r="H94">
        <v>105.933670642178</v>
      </c>
      <c r="I94">
        <v>97.784261523339822</v>
      </c>
      <c r="J94">
        <v>100.84211070442799</v>
      </c>
      <c r="K94">
        <v>0.766086099222828</v>
      </c>
      <c r="L94">
        <v>78.850371212121203</v>
      </c>
      <c r="M94" s="16">
        <f>+'[3]VAR expectations'!C118</f>
        <v>1.7661002699234809</v>
      </c>
      <c r="N94">
        <v>-0.16392502505228099</v>
      </c>
      <c r="O94">
        <v>9.3194942011814802E-2</v>
      </c>
      <c r="P94">
        <v>305</v>
      </c>
      <c r="Q94">
        <v>67</v>
      </c>
      <c r="R94">
        <v>483</v>
      </c>
      <c r="S94">
        <v>103</v>
      </c>
      <c r="T94">
        <v>19</v>
      </c>
      <c r="U94">
        <v>23</v>
      </c>
      <c r="V94">
        <f t="shared" si="2"/>
        <v>145</v>
      </c>
    </row>
    <row r="95" spans="1:22" x14ac:dyDescent="0.25">
      <c r="A95" s="15">
        <v>42735</v>
      </c>
      <c r="B95">
        <v>101.35186664603434</v>
      </c>
      <c r="C95">
        <v>103.43266050427299</v>
      </c>
      <c r="D95">
        <v>99.731752332473789</v>
      </c>
      <c r="E95">
        <v>98.872277310440268</v>
      </c>
      <c r="F95">
        <v>97.339348637610328</v>
      </c>
      <c r="G95">
        <v>97.007124293648772</v>
      </c>
      <c r="H95">
        <v>106.76438524670732</v>
      </c>
      <c r="I95">
        <v>100.00842211959575</v>
      </c>
      <c r="J95">
        <v>101.37727529972901</v>
      </c>
      <c r="K95">
        <v>0.78559038900338896</v>
      </c>
      <c r="L95">
        <v>76.623536923076898</v>
      </c>
      <c r="M95" s="16">
        <f>+'[3]VAR expectations'!C119</f>
        <v>2.4293341619440096</v>
      </c>
      <c r="N95">
        <v>0.19889993586245699</v>
      </c>
      <c r="O95">
        <v>0.144100722711589</v>
      </c>
      <c r="P95">
        <v>305</v>
      </c>
      <c r="Q95">
        <v>67</v>
      </c>
      <c r="R95">
        <v>483</v>
      </c>
      <c r="S95">
        <v>103</v>
      </c>
      <c r="T95">
        <v>19</v>
      </c>
      <c r="U95">
        <v>23</v>
      </c>
      <c r="V95">
        <f t="shared" si="2"/>
        <v>145</v>
      </c>
    </row>
    <row r="96" spans="1:22" x14ac:dyDescent="0.25">
      <c r="A96" s="15">
        <v>42825</v>
      </c>
      <c r="B96">
        <v>102.29072148417767</v>
      </c>
      <c r="C96">
        <v>104.16574844695931</v>
      </c>
      <c r="D96">
        <v>100.32431772350587</v>
      </c>
      <c r="E96">
        <v>100.01716640617356</v>
      </c>
      <c r="F96">
        <v>98.469796587441408</v>
      </c>
      <c r="G96">
        <v>97.889312835343688</v>
      </c>
      <c r="H96">
        <v>108.38779638595433</v>
      </c>
      <c r="I96">
        <v>103.5530457314</v>
      </c>
      <c r="J96">
        <v>102.233675240322</v>
      </c>
      <c r="K96">
        <v>0.79643989370686996</v>
      </c>
      <c r="L96">
        <v>77.053801538461499</v>
      </c>
      <c r="M96" s="16">
        <f>+'[3]VAR expectations'!C120</f>
        <v>2.5776958521780435</v>
      </c>
      <c r="N96">
        <v>0.55056420967961694</v>
      </c>
      <c r="O96">
        <v>0.148333381346754</v>
      </c>
      <c r="P96">
        <v>313.33333333333331</v>
      </c>
      <c r="Q96">
        <v>66.333333333333329</v>
      </c>
      <c r="R96">
        <v>475.33333333333331</v>
      </c>
      <c r="S96">
        <v>102.66666666666667</v>
      </c>
      <c r="T96">
        <v>19.666666666666668</v>
      </c>
      <c r="U96">
        <v>22.666666666666668</v>
      </c>
      <c r="V96">
        <f t="shared" si="2"/>
        <v>145</v>
      </c>
    </row>
    <row r="97" spans="1:22" x14ac:dyDescent="0.25">
      <c r="A97" s="15">
        <v>42916</v>
      </c>
      <c r="B97">
        <v>103.078107156494</v>
      </c>
      <c r="C97">
        <v>105.061771391146</v>
      </c>
      <c r="D97">
        <v>101.16649714443766</v>
      </c>
      <c r="E97">
        <v>101.23327770850166</v>
      </c>
      <c r="F97">
        <v>99.492434787397642</v>
      </c>
      <c r="G97">
        <v>99.075892579948189</v>
      </c>
      <c r="H97">
        <v>110.413144859841</v>
      </c>
      <c r="I97">
        <v>102.40742771068601</v>
      </c>
      <c r="J97">
        <v>103.090096344523</v>
      </c>
      <c r="K97">
        <v>0.79618408814021602</v>
      </c>
      <c r="L97">
        <v>77.968176923076896</v>
      </c>
      <c r="M97" s="16">
        <f>+'[3]VAR expectations'!C121</f>
        <v>2.5814129404766706</v>
      </c>
      <c r="N97">
        <v>0.38598699929055602</v>
      </c>
      <c r="O97">
        <v>3.52988700838464E-3</v>
      </c>
      <c r="P97">
        <v>312</v>
      </c>
      <c r="Q97">
        <v>67</v>
      </c>
      <c r="R97">
        <v>475</v>
      </c>
      <c r="S97">
        <v>103</v>
      </c>
      <c r="T97">
        <v>20</v>
      </c>
      <c r="U97">
        <v>23</v>
      </c>
      <c r="V97">
        <f t="shared" si="2"/>
        <v>146</v>
      </c>
    </row>
    <row r="98" spans="1:22" x14ac:dyDescent="0.25">
      <c r="A98" s="15">
        <v>43008</v>
      </c>
      <c r="B98">
        <v>103.64314014108032</v>
      </c>
      <c r="C98">
        <v>105.71176823488101</v>
      </c>
      <c r="D98">
        <v>101.61593641104533</v>
      </c>
      <c r="E98">
        <v>101.81678087546034</v>
      </c>
      <c r="F98">
        <v>99.909845665063088</v>
      </c>
      <c r="G98">
        <v>99.60222576777214</v>
      </c>
      <c r="H98">
        <v>111.81790391896266</v>
      </c>
      <c r="I98">
        <v>102.44660614568433</v>
      </c>
      <c r="J98">
        <v>103.66947598665099</v>
      </c>
      <c r="K98">
        <v>0.79936167572472205</v>
      </c>
      <c r="L98">
        <v>76.548027692307699</v>
      </c>
      <c r="M98" s="16">
        <f>+'[3]VAR expectations'!C122</f>
        <v>2.5453003999512136</v>
      </c>
      <c r="N98">
        <v>0.33037874466038097</v>
      </c>
      <c r="O98">
        <v>3.7966343152193403E-2</v>
      </c>
      <c r="P98">
        <v>312</v>
      </c>
      <c r="Q98">
        <v>67</v>
      </c>
      <c r="R98">
        <v>475</v>
      </c>
      <c r="S98">
        <v>103</v>
      </c>
      <c r="T98">
        <v>20</v>
      </c>
      <c r="U98">
        <v>23</v>
      </c>
      <c r="V98">
        <f t="shared" si="2"/>
        <v>146</v>
      </c>
    </row>
    <row r="99" spans="1:22" x14ac:dyDescent="0.25">
      <c r="A99" s="15">
        <v>43100</v>
      </c>
      <c r="B99">
        <v>104.42514916507599</v>
      </c>
      <c r="C99">
        <v>106.23712720059832</v>
      </c>
      <c r="D99">
        <v>102.24479571733666</v>
      </c>
      <c r="E99">
        <v>103.07894664460666</v>
      </c>
      <c r="F99">
        <v>101.25666960001233</v>
      </c>
      <c r="G99">
        <v>99.75402409166152</v>
      </c>
      <c r="H99">
        <v>113.51340915161866</v>
      </c>
      <c r="I99">
        <v>105.162171100789</v>
      </c>
      <c r="J99">
        <v>104.455453723315</v>
      </c>
      <c r="K99">
        <v>0.80579439262368302</v>
      </c>
      <c r="L99">
        <v>77.708216923076904</v>
      </c>
      <c r="M99" s="16">
        <f>+'[3]VAR expectations'!C123</f>
        <v>2.7170212072523583</v>
      </c>
      <c r="N99">
        <v>0.33802634456306002</v>
      </c>
      <c r="O99">
        <v>0.14910290843450899</v>
      </c>
      <c r="P99">
        <v>312</v>
      </c>
      <c r="Q99">
        <v>67</v>
      </c>
      <c r="R99">
        <v>475</v>
      </c>
      <c r="S99">
        <v>103</v>
      </c>
      <c r="T99">
        <v>20</v>
      </c>
      <c r="U99">
        <v>23</v>
      </c>
      <c r="V99">
        <f t="shared" si="2"/>
        <v>146</v>
      </c>
    </row>
    <row r="100" spans="1:22" x14ac:dyDescent="0.25">
      <c r="A100" s="15">
        <v>43190</v>
      </c>
      <c r="B100">
        <v>105.07830633175031</v>
      </c>
      <c r="C100">
        <v>106.84352480592867</v>
      </c>
      <c r="D100">
        <v>102.60423698833932</v>
      </c>
      <c r="E100">
        <v>103.73972690662868</v>
      </c>
      <c r="F100">
        <v>101.67692960922902</v>
      </c>
      <c r="G100">
        <v>99.91807672034507</v>
      </c>
      <c r="H100">
        <v>116.01780429054334</v>
      </c>
      <c r="I100">
        <v>107.57945237941033</v>
      </c>
      <c r="J100">
        <v>104.998311713889</v>
      </c>
      <c r="K100">
        <v>0.81529753488664503</v>
      </c>
      <c r="L100">
        <v>79.033741538461499</v>
      </c>
      <c r="M100" s="16">
        <f>+'[3]VAR expectations'!C124</f>
        <v>2.4396786818528224</v>
      </c>
      <c r="N100">
        <v>0.24733463127710101</v>
      </c>
      <c r="O100">
        <v>5.4503903268826599E-2</v>
      </c>
      <c r="P100">
        <v>311.66666666666669</v>
      </c>
      <c r="Q100">
        <v>64.666666666666671</v>
      </c>
      <c r="R100">
        <v>481</v>
      </c>
      <c r="S100">
        <v>101</v>
      </c>
      <c r="T100">
        <v>19.666666666666668</v>
      </c>
      <c r="U100">
        <v>22</v>
      </c>
      <c r="V100">
        <f t="shared" si="2"/>
        <v>142.66666666666669</v>
      </c>
    </row>
    <row r="101" spans="1:22" x14ac:dyDescent="0.25">
      <c r="A101" s="15">
        <v>43281</v>
      </c>
      <c r="B101">
        <v>105.56474582955633</v>
      </c>
      <c r="C101">
        <v>107.41384559290634</v>
      </c>
      <c r="D101">
        <v>102.91320704023001</v>
      </c>
      <c r="E101">
        <v>104.06474181882066</v>
      </c>
      <c r="F101">
        <v>101.77099681092902</v>
      </c>
      <c r="G101">
        <v>99.720037234909057</v>
      </c>
      <c r="H101">
        <v>118.05846295492934</v>
      </c>
      <c r="I101">
        <v>108.69293740124967</v>
      </c>
      <c r="J101">
        <v>105.59874310155099</v>
      </c>
      <c r="K101">
        <v>0.81863826660980799</v>
      </c>
      <c r="L101">
        <v>79.101027692307696</v>
      </c>
      <c r="M101" s="16">
        <f>+'[3]VAR expectations'!C125</f>
        <v>2.4860103785103598</v>
      </c>
      <c r="N101">
        <v>0.40714614504868402</v>
      </c>
      <c r="O101">
        <v>0.16437025473436201</v>
      </c>
      <c r="P101">
        <v>311</v>
      </c>
      <c r="Q101">
        <v>65</v>
      </c>
      <c r="R101">
        <v>481</v>
      </c>
      <c r="S101">
        <v>101</v>
      </c>
      <c r="T101">
        <v>20</v>
      </c>
      <c r="U101">
        <v>22</v>
      </c>
      <c r="V101">
        <f t="shared" si="2"/>
        <v>143</v>
      </c>
    </row>
    <row r="102" spans="1:22" x14ac:dyDescent="0.25">
      <c r="A102" s="15">
        <v>43373</v>
      </c>
      <c r="B102">
        <v>106.24111830317599</v>
      </c>
      <c r="C102">
        <v>108.25622904895333</v>
      </c>
      <c r="D102">
        <v>102.849024366881</v>
      </c>
      <c r="E102">
        <v>104.47243524284534</v>
      </c>
      <c r="F102">
        <v>101.96865580305767</v>
      </c>
      <c r="G102">
        <v>99.976991198166061</v>
      </c>
      <c r="H102">
        <v>119.75310510822634</v>
      </c>
      <c r="I102">
        <v>111.74228545577701</v>
      </c>
      <c r="J102">
        <v>106.264776934575</v>
      </c>
      <c r="K102">
        <v>0.827664917308371</v>
      </c>
      <c r="L102">
        <v>77.813970769230806</v>
      </c>
      <c r="M102" s="16">
        <f>+'[3]VAR expectations'!C126</f>
        <v>2.6759360893479318</v>
      </c>
      <c r="N102">
        <v>0.59026787322204399</v>
      </c>
      <c r="O102">
        <v>0.21968415645398701</v>
      </c>
      <c r="P102">
        <v>311</v>
      </c>
      <c r="Q102">
        <v>65</v>
      </c>
      <c r="R102">
        <v>481</v>
      </c>
      <c r="S102">
        <v>101</v>
      </c>
      <c r="T102">
        <v>20</v>
      </c>
      <c r="U102">
        <v>22</v>
      </c>
      <c r="V102">
        <f t="shared" si="2"/>
        <v>143</v>
      </c>
    </row>
    <row r="103" spans="1:22" x14ac:dyDescent="0.25">
      <c r="A103" s="15">
        <v>43465</v>
      </c>
      <c r="B103">
        <v>106.79819467718634</v>
      </c>
      <c r="C103">
        <v>108.863811690649</v>
      </c>
      <c r="D103">
        <v>103.19250248918267</v>
      </c>
      <c r="E103">
        <v>104.96451236826</v>
      </c>
      <c r="F103">
        <v>101.96227264327433</v>
      </c>
      <c r="G103">
        <v>100.266200933883</v>
      </c>
      <c r="H103">
        <v>122.71904686377233</v>
      </c>
      <c r="I103">
        <v>113.99764934990235</v>
      </c>
      <c r="J103">
        <v>106.82547362140301</v>
      </c>
      <c r="K103">
        <v>0.82610064085679102</v>
      </c>
      <c r="L103">
        <v>77.843365151515201</v>
      </c>
      <c r="M103" s="16">
        <f>+'[3]VAR expectations'!C127</f>
        <v>2.7140589507350836</v>
      </c>
      <c r="N103">
        <v>0.53549829449636599</v>
      </c>
      <c r="O103">
        <v>9.5964640682364502E-2</v>
      </c>
      <c r="P103">
        <v>311</v>
      </c>
      <c r="Q103">
        <v>65</v>
      </c>
      <c r="R103">
        <v>481</v>
      </c>
      <c r="S103">
        <v>101</v>
      </c>
      <c r="T103">
        <v>20</v>
      </c>
      <c r="U103">
        <v>22</v>
      </c>
      <c r="V103">
        <f t="shared" si="2"/>
        <v>143</v>
      </c>
    </row>
    <row r="104" spans="1:22" x14ac:dyDescent="0.25">
      <c r="A104" s="15">
        <v>43555</v>
      </c>
      <c r="B104">
        <v>107.07065987406367</v>
      </c>
      <c r="C104">
        <v>109.50362203026934</v>
      </c>
      <c r="D104">
        <v>103.54776466208834</v>
      </c>
      <c r="E104">
        <v>105.88237163900699</v>
      </c>
      <c r="F104">
        <v>102.66410131178965</v>
      </c>
      <c r="G104">
        <v>100.896818387238</v>
      </c>
      <c r="H104">
        <v>125.21584018877734</v>
      </c>
      <c r="I104">
        <v>109.33760901339868</v>
      </c>
      <c r="J104">
        <v>106.96537965736999</v>
      </c>
      <c r="K104">
        <v>0.82186357580014402</v>
      </c>
      <c r="L104">
        <v>78.730029687499993</v>
      </c>
      <c r="M104" s="16">
        <f>+'[3]VAR expectations'!C128</f>
        <v>2.7331364493732195</v>
      </c>
      <c r="N104">
        <v>0.111501420298973</v>
      </c>
      <c r="O104">
        <v>-0.324727992496813</v>
      </c>
      <c r="P104">
        <v>318.33333333333331</v>
      </c>
      <c r="Q104">
        <v>61.666666666666664</v>
      </c>
      <c r="R104">
        <v>480</v>
      </c>
      <c r="S104">
        <v>100</v>
      </c>
      <c r="T104">
        <v>19</v>
      </c>
      <c r="U104">
        <v>21</v>
      </c>
      <c r="V104">
        <f t="shared" si="2"/>
        <v>140</v>
      </c>
    </row>
    <row r="105" spans="1:22" x14ac:dyDescent="0.25">
      <c r="A105" s="15">
        <v>43646</v>
      </c>
      <c r="B105">
        <v>107.70041211587333</v>
      </c>
      <c r="C105">
        <v>110.25025651536366</v>
      </c>
      <c r="D105">
        <v>103.31881835658901</v>
      </c>
      <c r="E105">
        <v>105.96247233678935</v>
      </c>
      <c r="F105">
        <v>102.90181489149199</v>
      </c>
      <c r="G105">
        <v>100.39083237761901</v>
      </c>
      <c r="H105">
        <v>125.29006150804834</v>
      </c>
      <c r="I105">
        <v>115.30591783247799</v>
      </c>
      <c r="J105">
        <v>107.77555903789001</v>
      </c>
      <c r="K105">
        <v>0.82949036029431999</v>
      </c>
      <c r="L105">
        <v>78.457547692307699</v>
      </c>
      <c r="M105" s="16">
        <f>+'[3]VAR expectations'!C129</f>
        <v>2.6212425518623172</v>
      </c>
      <c r="N105">
        <v>0.40244228624181999</v>
      </c>
      <c r="O105">
        <v>0.450193982701309</v>
      </c>
      <c r="P105">
        <v>318</v>
      </c>
      <c r="Q105">
        <v>61</v>
      </c>
      <c r="R105">
        <v>481</v>
      </c>
      <c r="S105">
        <v>100</v>
      </c>
      <c r="T105">
        <v>19</v>
      </c>
      <c r="U105">
        <v>21</v>
      </c>
      <c r="V105">
        <f t="shared" si="2"/>
        <v>140</v>
      </c>
    </row>
    <row r="106" spans="1:22" x14ac:dyDescent="0.25">
      <c r="A106" s="15">
        <v>43738</v>
      </c>
      <c r="B106">
        <v>108.19067065768434</v>
      </c>
      <c r="C106">
        <v>110.88186438031533</v>
      </c>
      <c r="D106">
        <v>103.48744032378632</v>
      </c>
      <c r="E106">
        <v>106.69509169850033</v>
      </c>
      <c r="F106">
        <v>103.62425680879767</v>
      </c>
      <c r="G106">
        <v>100.92432301925366</v>
      </c>
      <c r="H106">
        <v>126.24912389103433</v>
      </c>
      <c r="I106">
        <v>114.875297330347</v>
      </c>
      <c r="J106">
        <v>108.20201446995</v>
      </c>
      <c r="K106">
        <v>0.84436390000637895</v>
      </c>
      <c r="L106">
        <v>75.795746969697007</v>
      </c>
      <c r="M106" s="16">
        <f>+'[3]VAR expectations'!C130</f>
        <v>2.9781745842670815</v>
      </c>
      <c r="N106">
        <v>0.17462163035891601</v>
      </c>
      <c r="O106">
        <v>-8.21163442679727E-3</v>
      </c>
      <c r="P106">
        <v>318</v>
      </c>
      <c r="Q106">
        <v>61</v>
      </c>
      <c r="R106">
        <v>481</v>
      </c>
      <c r="S106">
        <v>100</v>
      </c>
      <c r="T106">
        <v>19</v>
      </c>
      <c r="U106">
        <v>21</v>
      </c>
      <c r="V106">
        <f t="shared" si="2"/>
        <v>140</v>
      </c>
    </row>
    <row r="107" spans="1:22" x14ac:dyDescent="0.25">
      <c r="A107" s="15">
        <v>43830</v>
      </c>
      <c r="B107">
        <v>108.30435827001334</v>
      </c>
      <c r="C107">
        <v>111.43137794905333</v>
      </c>
      <c r="D107">
        <v>103.65087563153101</v>
      </c>
      <c r="E107">
        <v>106.92037383554499</v>
      </c>
      <c r="F107">
        <v>103.70219769545167</v>
      </c>
      <c r="G107">
        <v>101.56593504136465</v>
      </c>
      <c r="H107">
        <v>126.31113155636866</v>
      </c>
      <c r="I107">
        <v>112.10913678380966</v>
      </c>
      <c r="J107">
        <v>108.323574868143</v>
      </c>
      <c r="K107">
        <v>0.82504169474928601</v>
      </c>
      <c r="L107">
        <v>79.403969696969696</v>
      </c>
      <c r="M107" s="16">
        <f>+'[3]VAR expectations'!C131</f>
        <v>2.5033196655575458</v>
      </c>
      <c r="N107">
        <v>-0.11693353700046701</v>
      </c>
      <c r="O107">
        <v>-0.19324283466898201</v>
      </c>
      <c r="P107">
        <v>318</v>
      </c>
      <c r="Q107">
        <v>61</v>
      </c>
      <c r="R107">
        <v>481</v>
      </c>
      <c r="S107">
        <v>100</v>
      </c>
      <c r="T107">
        <v>19</v>
      </c>
      <c r="U107">
        <v>21</v>
      </c>
      <c r="V107">
        <f t="shared" si="2"/>
        <v>140</v>
      </c>
    </row>
    <row r="108" spans="1:22" x14ac:dyDescent="0.25">
      <c r="A108" s="15">
        <v>43921</v>
      </c>
      <c r="B108">
        <v>108.90634649909633</v>
      </c>
      <c r="C108">
        <v>112.20774949701099</v>
      </c>
      <c r="D108">
        <v>103.98833715920932</v>
      </c>
      <c r="E108">
        <v>107.27607337307568</v>
      </c>
      <c r="F108">
        <v>104.05376184878433</v>
      </c>
      <c r="G108">
        <v>101.86987851832366</v>
      </c>
      <c r="H108">
        <v>126.67811277124234</v>
      </c>
      <c r="I108">
        <v>112.88803408675399</v>
      </c>
      <c r="J108">
        <v>108.769487200033</v>
      </c>
      <c r="K108">
        <v>0.81896626934969596</v>
      </c>
      <c r="L108">
        <v>79.231538461538506</v>
      </c>
      <c r="M108" s="16">
        <f>+'[3]VAR expectations'!C132</f>
        <v>2.6753569594618285</v>
      </c>
      <c r="N108">
        <v>0.18927622328845001</v>
      </c>
      <c r="O108">
        <v>-5.2128643277585103E-2</v>
      </c>
      <c r="P108">
        <v>308.33333333333331</v>
      </c>
      <c r="Q108">
        <v>63.666666666666664</v>
      </c>
      <c r="R108">
        <v>489.33333333333331</v>
      </c>
      <c r="S108">
        <v>99</v>
      </c>
      <c r="T108">
        <v>19.666666666666668</v>
      </c>
      <c r="U108">
        <v>20</v>
      </c>
      <c r="V108">
        <f t="shared" si="2"/>
        <v>138.66666666666669</v>
      </c>
    </row>
    <row r="109" spans="1:22" x14ac:dyDescent="0.25">
      <c r="A109" s="15">
        <v>44012</v>
      </c>
      <c r="B109">
        <v>108.303362615308</v>
      </c>
      <c r="C109">
        <v>112.324651874241</v>
      </c>
      <c r="D109">
        <v>103.80857337539202</v>
      </c>
      <c r="E109">
        <v>107.74754140122501</v>
      </c>
      <c r="F109">
        <v>104.34346429090067</v>
      </c>
      <c r="G109">
        <v>102.44296494218133</v>
      </c>
      <c r="H109">
        <v>128.61565162153101</v>
      </c>
      <c r="I109">
        <v>102.54472067931165</v>
      </c>
      <c r="J109">
        <v>108.439368781261</v>
      </c>
      <c r="K109">
        <v>0.80862292439016603</v>
      </c>
      <c r="L109">
        <v>77.416984615384607</v>
      </c>
      <c r="M109" s="16">
        <f>+'[3]VAR expectations'!C133</f>
        <v>3.0786650622291059</v>
      </c>
      <c r="N109">
        <v>-0.70211571573449605</v>
      </c>
      <c r="O109">
        <v>-0.45655752598020999</v>
      </c>
      <c r="P109">
        <v>307</v>
      </c>
      <c r="Q109">
        <v>64</v>
      </c>
      <c r="R109">
        <v>490</v>
      </c>
      <c r="S109">
        <v>99</v>
      </c>
      <c r="T109">
        <v>20</v>
      </c>
      <c r="U109">
        <v>20</v>
      </c>
      <c r="V109">
        <f t="shared" si="2"/>
        <v>139</v>
      </c>
    </row>
    <row r="110" spans="1:22" x14ac:dyDescent="0.25">
      <c r="A110" s="15">
        <v>44104</v>
      </c>
      <c r="B110">
        <v>108.84607786104732</v>
      </c>
      <c r="C110">
        <v>112.44563472779366</v>
      </c>
      <c r="D110">
        <v>104.624947573298</v>
      </c>
      <c r="E110">
        <v>107.63909292525334</v>
      </c>
      <c r="F110">
        <v>103.96241815718167</v>
      </c>
      <c r="G110">
        <v>101.79012873180933</v>
      </c>
      <c r="H110">
        <v>130.62274333271469</v>
      </c>
      <c r="I110">
        <v>104.98447309946266</v>
      </c>
      <c r="J110">
        <v>108.829736313296</v>
      </c>
      <c r="K110">
        <v>0.810392277477061</v>
      </c>
      <c r="L110">
        <v>77.450487878787897</v>
      </c>
      <c r="M110" s="16">
        <f>+'[3]VAR expectations'!C134</f>
        <v>3.1319434989789481</v>
      </c>
      <c r="N110">
        <v>-0.57563884899936701</v>
      </c>
      <c r="O110">
        <v>0.118900887754049</v>
      </c>
      <c r="P110">
        <v>307</v>
      </c>
      <c r="Q110">
        <v>64</v>
      </c>
      <c r="R110">
        <v>490</v>
      </c>
      <c r="S110">
        <v>99</v>
      </c>
      <c r="T110">
        <v>20</v>
      </c>
      <c r="U110">
        <v>20</v>
      </c>
      <c r="V110">
        <f t="shared" si="2"/>
        <v>139</v>
      </c>
    </row>
    <row r="111" spans="1:22" x14ac:dyDescent="0.25">
      <c r="A111" s="15">
        <v>44196</v>
      </c>
      <c r="B111">
        <v>108.88690430044467</v>
      </c>
      <c r="C111">
        <v>113.02038140705299</v>
      </c>
      <c r="D111">
        <v>104.88812615868066</v>
      </c>
      <c r="E111">
        <v>107.30487809386567</v>
      </c>
      <c r="F111">
        <v>103.19449116217601</v>
      </c>
      <c r="G111">
        <v>101.93470330339267</v>
      </c>
      <c r="H111">
        <v>131.91327139222167</v>
      </c>
      <c r="I111">
        <v>102.07040266952434</v>
      </c>
      <c r="J111">
        <v>108.888599619003</v>
      </c>
      <c r="K111">
        <v>0.82076763633163197</v>
      </c>
      <c r="L111">
        <v>77.959993939393897</v>
      </c>
      <c r="M111" s="16">
        <f>+'[3]VAR expectations'!C135</f>
        <v>3.4145577808828897</v>
      </c>
      <c r="N111">
        <v>-0.57586475394540204</v>
      </c>
      <c r="O111">
        <v>-0.193774322000975</v>
      </c>
      <c r="P111">
        <v>307</v>
      </c>
      <c r="Q111">
        <v>64</v>
      </c>
      <c r="R111">
        <v>490</v>
      </c>
      <c r="S111">
        <v>99</v>
      </c>
      <c r="T111">
        <v>20</v>
      </c>
      <c r="U111">
        <v>20</v>
      </c>
      <c r="V111">
        <f t="shared" si="2"/>
        <v>139</v>
      </c>
    </row>
    <row r="112" spans="1:22" x14ac:dyDescent="0.25">
      <c r="A112" s="15">
        <v>44286</v>
      </c>
      <c r="B112">
        <v>109.62443116872799</v>
      </c>
      <c r="C112">
        <v>114.02558918908967</v>
      </c>
      <c r="D112">
        <v>104.74841692999367</v>
      </c>
      <c r="E112">
        <v>107.48109772562434</v>
      </c>
      <c r="F112">
        <v>103.17080170780234</v>
      </c>
      <c r="G112">
        <v>102.19877984144865</v>
      </c>
      <c r="H112">
        <v>133.15248097733135</v>
      </c>
      <c r="I112">
        <v>106.37111543444666</v>
      </c>
      <c r="J112">
        <v>109.501363734799</v>
      </c>
      <c r="K112">
        <v>0.81629886389552497</v>
      </c>
      <c r="L112">
        <v>80.480732812499994</v>
      </c>
      <c r="M112" s="16">
        <f>+'[3]VAR expectations'!C136</f>
        <v>2.9821807365306072</v>
      </c>
      <c r="N112">
        <v>-0.348601630197937</v>
      </c>
      <c r="O112">
        <v>0.17080172065947599</v>
      </c>
      <c r="P112">
        <v>348.33333333333331</v>
      </c>
      <c r="Q112">
        <v>59.666666666666664</v>
      </c>
      <c r="R112">
        <v>433.33333333333331</v>
      </c>
      <c r="S112">
        <v>114</v>
      </c>
      <c r="T112">
        <v>22.666666666666668</v>
      </c>
      <c r="U112">
        <v>22</v>
      </c>
      <c r="V112">
        <f t="shared" si="2"/>
        <v>158.66666666666666</v>
      </c>
    </row>
    <row r="113" spans="1:22" x14ac:dyDescent="0.25">
      <c r="A113" s="15">
        <v>44377</v>
      </c>
      <c r="B113">
        <v>110.44978593428367</v>
      </c>
      <c r="C113">
        <v>114.37272770811234</v>
      </c>
      <c r="D113">
        <v>105.85979112598267</v>
      </c>
      <c r="E113">
        <v>107.77476832443467</v>
      </c>
      <c r="F113">
        <v>103.53597468448567</v>
      </c>
      <c r="G113">
        <v>103.32417392394166</v>
      </c>
      <c r="H113">
        <v>132.45914330683036</v>
      </c>
      <c r="I113">
        <v>111.47824915505699</v>
      </c>
      <c r="J113">
        <v>110.613080184569</v>
      </c>
      <c r="K113">
        <v>0.82433035561079504</v>
      </c>
      <c r="L113">
        <v>81.787815384615399</v>
      </c>
      <c r="M113" s="16">
        <f>+'[3]VAR expectations'!C137</f>
        <v>2.7653976909254645</v>
      </c>
      <c r="N113">
        <v>0.54964160198908096</v>
      </c>
      <c r="O113">
        <v>0.45347528115059499</v>
      </c>
      <c r="P113">
        <v>347</v>
      </c>
      <c r="Q113">
        <v>60</v>
      </c>
      <c r="R113">
        <v>434</v>
      </c>
      <c r="S113">
        <v>114</v>
      </c>
      <c r="T113">
        <v>23</v>
      </c>
      <c r="U113">
        <v>22</v>
      </c>
      <c r="V113">
        <f t="shared" si="2"/>
        <v>159</v>
      </c>
    </row>
    <row r="114" spans="1:22" x14ac:dyDescent="0.25">
      <c r="A114" s="15">
        <v>44469</v>
      </c>
      <c r="B114">
        <v>111.87199334694968</v>
      </c>
      <c r="C114">
        <v>115.143371709628</v>
      </c>
      <c r="D114">
        <v>107.74891577984067</v>
      </c>
      <c r="E114">
        <v>108.42010374180366</v>
      </c>
      <c r="F114">
        <v>104.09365584180433</v>
      </c>
      <c r="G114">
        <v>103.39592544728633</v>
      </c>
      <c r="H114">
        <v>134.15344996532698</v>
      </c>
      <c r="I114">
        <v>115.32827381164232</v>
      </c>
      <c r="J114">
        <v>111.822515807565</v>
      </c>
      <c r="K114">
        <v>0.83992954942113196</v>
      </c>
      <c r="L114">
        <v>81.774842424242394</v>
      </c>
      <c r="M114" s="16">
        <f>+'[3]VAR expectations'!C138</f>
        <v>3.4330399377282408</v>
      </c>
      <c r="N114">
        <v>0.580538015574526</v>
      </c>
      <c r="O114">
        <v>0.14217114750364401</v>
      </c>
      <c r="P114">
        <v>347</v>
      </c>
      <c r="Q114">
        <v>60</v>
      </c>
      <c r="R114">
        <v>434</v>
      </c>
      <c r="S114">
        <v>114</v>
      </c>
      <c r="T114">
        <v>23</v>
      </c>
      <c r="U114">
        <v>22</v>
      </c>
      <c r="V114">
        <f t="shared" si="2"/>
        <v>159</v>
      </c>
    </row>
    <row r="115" spans="1:22" x14ac:dyDescent="0.25">
      <c r="A115" s="15">
        <v>44561</v>
      </c>
      <c r="B115">
        <v>114.25306744932533</v>
      </c>
      <c r="C115">
        <v>116.76302625711266</v>
      </c>
      <c r="D115">
        <v>109.67549652028868</v>
      </c>
      <c r="E115">
        <v>110.39334148594567</v>
      </c>
      <c r="F115">
        <v>105.91460997218799</v>
      </c>
      <c r="G115">
        <v>104.10666918788034</v>
      </c>
      <c r="H115">
        <v>138.27029888760299</v>
      </c>
      <c r="I115">
        <v>126.88976627866468</v>
      </c>
      <c r="J115">
        <v>114.237890257296</v>
      </c>
      <c r="K115">
        <v>0.89390208248498604</v>
      </c>
      <c r="L115">
        <v>81.611703030303005</v>
      </c>
      <c r="M115" s="16">
        <f>+'[3]VAR expectations'!C139</f>
        <v>5.1936780789271362</v>
      </c>
      <c r="N115">
        <v>1.4272711973059899</v>
      </c>
      <c r="O115">
        <v>0.63228111747361804</v>
      </c>
      <c r="P115">
        <v>347</v>
      </c>
      <c r="Q115">
        <v>60</v>
      </c>
      <c r="R115">
        <v>434</v>
      </c>
      <c r="S115">
        <v>114</v>
      </c>
      <c r="T115">
        <v>23</v>
      </c>
      <c r="U115">
        <v>22</v>
      </c>
      <c r="V115">
        <f t="shared" si="2"/>
        <v>159</v>
      </c>
    </row>
    <row r="116" spans="1:22" x14ac:dyDescent="0.25">
      <c r="A116" s="15">
        <v>44651</v>
      </c>
      <c r="B116">
        <v>116.49437909453967</v>
      </c>
      <c r="C116">
        <v>118.19773272860134</v>
      </c>
      <c r="D116">
        <v>112.12398274956865</v>
      </c>
      <c r="E116">
        <v>112.63036972856032</v>
      </c>
      <c r="F116">
        <v>108.48169373394467</v>
      </c>
      <c r="G116">
        <v>104.05011901519934</v>
      </c>
      <c r="H116">
        <v>141.15794942272467</v>
      </c>
      <c r="I116">
        <v>132.05596111427903</v>
      </c>
      <c r="J116">
        <v>116.398638086178</v>
      </c>
      <c r="K116">
        <v>0.92184313282267805</v>
      </c>
      <c r="L116">
        <v>82.334651562499999</v>
      </c>
      <c r="M116" s="16">
        <f>+'[3]VAR expectations'!C140</f>
        <v>6.6732619097853254</v>
      </c>
      <c r="N116">
        <v>1.47498838130139</v>
      </c>
      <c r="O116">
        <v>0.224820323383816</v>
      </c>
      <c r="P116">
        <v>331.33333333333331</v>
      </c>
      <c r="Q116">
        <v>67</v>
      </c>
      <c r="R116">
        <v>436.66666666666669</v>
      </c>
      <c r="S116">
        <v>115.66666666666667</v>
      </c>
      <c r="T116">
        <v>26.333333333333332</v>
      </c>
      <c r="U116">
        <v>23</v>
      </c>
      <c r="V116">
        <f t="shared" si="2"/>
        <v>165</v>
      </c>
    </row>
    <row r="117" spans="1:22" x14ac:dyDescent="0.25">
      <c r="A117" s="15">
        <v>44742</v>
      </c>
      <c r="B117">
        <v>120.48508528790366</v>
      </c>
      <c r="C117">
        <v>119.95711784402799</v>
      </c>
      <c r="D117">
        <v>113.43538883551601</v>
      </c>
      <c r="E117">
        <v>115.56914639817933</v>
      </c>
      <c r="F117">
        <v>112.15563187398099</v>
      </c>
      <c r="G117">
        <v>104.806103774509</v>
      </c>
      <c r="H117">
        <v>143.007143380673</v>
      </c>
      <c r="I117">
        <v>171.24752002418504</v>
      </c>
      <c r="J117">
        <v>120.676964265745</v>
      </c>
      <c r="K117">
        <v>0.98383656619553195</v>
      </c>
      <c r="L117">
        <v>80.184107692307705</v>
      </c>
      <c r="M117" s="16">
        <f>+'[3]VAR expectations'!C141</f>
        <v>8.7447876447877011</v>
      </c>
      <c r="N117">
        <v>3.3583088320854499</v>
      </c>
      <c r="O117">
        <v>2.2888186897604901</v>
      </c>
      <c r="P117">
        <v>330</v>
      </c>
      <c r="Q117">
        <v>67</v>
      </c>
      <c r="R117">
        <v>437</v>
      </c>
      <c r="S117">
        <v>116</v>
      </c>
      <c r="T117">
        <v>27</v>
      </c>
      <c r="U117">
        <v>23</v>
      </c>
      <c r="V117">
        <f t="shared" si="2"/>
        <v>166</v>
      </c>
    </row>
    <row r="118" spans="1:22" x14ac:dyDescent="0.25">
      <c r="A118" s="15">
        <v>44834</v>
      </c>
      <c r="B118">
        <v>123.092655676498</v>
      </c>
      <c r="C118">
        <v>121.93038479780267</v>
      </c>
      <c r="D118">
        <v>114.97338346875132</v>
      </c>
      <c r="E118">
        <v>120.35673521909234</v>
      </c>
      <c r="F118">
        <v>118.01815436538732</v>
      </c>
      <c r="G118">
        <v>106.37793133113432</v>
      </c>
      <c r="H118">
        <v>145.19121688029801</v>
      </c>
      <c r="I118">
        <v>177.48507078919064</v>
      </c>
      <c r="J118">
        <v>122.995270577592</v>
      </c>
      <c r="K118">
        <v>1.0233011494340301</v>
      </c>
      <c r="L118">
        <v>78.172721212121203</v>
      </c>
      <c r="M118" s="16">
        <f>+'[3]VAR expectations'!C142</f>
        <v>8.9090090090090914</v>
      </c>
      <c r="N118">
        <v>3.3339333644410498</v>
      </c>
      <c r="O118">
        <v>0.13877735543773001</v>
      </c>
      <c r="P118">
        <v>330</v>
      </c>
      <c r="Q118">
        <v>67</v>
      </c>
      <c r="R118">
        <v>437</v>
      </c>
      <c r="S118">
        <v>116</v>
      </c>
      <c r="T118">
        <v>27</v>
      </c>
      <c r="U118">
        <v>23</v>
      </c>
      <c r="V118">
        <f t="shared" si="2"/>
        <v>166</v>
      </c>
    </row>
    <row r="119" spans="1:22" x14ac:dyDescent="0.25">
      <c r="A119" s="15">
        <v>44926</v>
      </c>
      <c r="B119">
        <v>126.57249077978565</v>
      </c>
      <c r="C119">
        <v>124.33443847729801</v>
      </c>
      <c r="D119">
        <v>116.605202296355</v>
      </c>
      <c r="E119">
        <v>124.62848092163368</v>
      </c>
      <c r="F119">
        <v>123.35004826728168</v>
      </c>
      <c r="G119">
        <v>107.95521631247334</v>
      </c>
      <c r="H119">
        <v>145.93076459690067</v>
      </c>
      <c r="I119">
        <v>197.85529267705101</v>
      </c>
      <c r="J119">
        <v>126.54644360022201</v>
      </c>
      <c r="K119">
        <v>1.01216531698448</v>
      </c>
      <c r="L119">
        <v>78.101493846153801</v>
      </c>
      <c r="M119" s="16">
        <f>+'[3]VAR expectations'!C143</f>
        <v>7.2128482156615119</v>
      </c>
      <c r="N119">
        <v>3.73152831160392</v>
      </c>
      <c r="O119">
        <v>1.02568077887582</v>
      </c>
      <c r="P119">
        <v>330</v>
      </c>
      <c r="Q119">
        <v>67</v>
      </c>
      <c r="R119">
        <v>437</v>
      </c>
      <c r="S119">
        <v>116</v>
      </c>
      <c r="T119">
        <v>27</v>
      </c>
      <c r="U119">
        <v>23</v>
      </c>
      <c r="V119">
        <f t="shared" si="2"/>
        <v>166</v>
      </c>
    </row>
    <row r="120" spans="1:22" x14ac:dyDescent="0.25">
      <c r="A120" s="15">
        <v>45016</v>
      </c>
      <c r="B120">
        <v>128.38716869753435</v>
      </c>
      <c r="C120">
        <v>125.86144301761266</v>
      </c>
      <c r="D120">
        <v>118.51394146473801</v>
      </c>
      <c r="E120">
        <v>128.62755721879668</v>
      </c>
      <c r="F120">
        <v>128.03620505103001</v>
      </c>
      <c r="G120">
        <v>110.11820535447266</v>
      </c>
      <c r="H120">
        <v>148.02952185889964</v>
      </c>
      <c r="I120">
        <v>193.04977581573766</v>
      </c>
      <c r="J120">
        <v>128.34142996117501</v>
      </c>
      <c r="K120">
        <v>1.0215437277533299</v>
      </c>
      <c r="L120">
        <v>78.168284615384593</v>
      </c>
      <c r="M120" s="16">
        <f>+'[3]VAR expectations'!C144</f>
        <v>5.4496808271530108</v>
      </c>
      <c r="N120">
        <v>3.21017686418904</v>
      </c>
      <c r="O120">
        <v>-0.17012066426360101</v>
      </c>
      <c r="P120">
        <v>294.66666666666669</v>
      </c>
      <c r="Q120">
        <v>80</v>
      </c>
      <c r="R120">
        <v>465</v>
      </c>
      <c r="S120">
        <v>118.33333333333333</v>
      </c>
      <c r="T120">
        <v>21</v>
      </c>
      <c r="U120">
        <v>21</v>
      </c>
      <c r="V120">
        <f t="shared" si="2"/>
        <v>160.33333333333331</v>
      </c>
    </row>
    <row r="121" spans="1:22" x14ac:dyDescent="0.25">
      <c r="A121" s="15">
        <v>45107</v>
      </c>
      <c r="B121">
        <v>130.56138712395398</v>
      </c>
      <c r="C121">
        <v>128.47449609462467</v>
      </c>
      <c r="D121">
        <v>120.85429497306298</v>
      </c>
      <c r="E121">
        <v>133.49217878399133</v>
      </c>
      <c r="F121">
        <v>132.56217876159201</v>
      </c>
      <c r="G121">
        <v>112.114838383828</v>
      </c>
      <c r="H121">
        <v>159.04024520112731</v>
      </c>
      <c r="I121">
        <v>183.75726900744965</v>
      </c>
      <c r="J121">
        <v>130.74946319922401</v>
      </c>
      <c r="K121">
        <v>1.00005844742037</v>
      </c>
      <c r="L121">
        <v>80.456900000000005</v>
      </c>
      <c r="M121" s="16">
        <f>+'[3]VAR expectations'!C145</f>
        <v>4.9659010810981856</v>
      </c>
      <c r="N121">
        <v>0.70170723997551099</v>
      </c>
      <c r="O121">
        <v>-0.231251350162267</v>
      </c>
      <c r="P121">
        <v>293</v>
      </c>
      <c r="Q121">
        <v>80</v>
      </c>
      <c r="R121">
        <v>466</v>
      </c>
      <c r="S121">
        <v>119</v>
      </c>
      <c r="T121">
        <v>21</v>
      </c>
      <c r="U121">
        <v>21</v>
      </c>
      <c r="V121">
        <f t="shared" si="2"/>
        <v>161</v>
      </c>
    </row>
    <row r="122" spans="1:22" x14ac:dyDescent="0.25">
      <c r="A122" s="15">
        <v>45199</v>
      </c>
      <c r="B122">
        <v>131.35178086867901</v>
      </c>
      <c r="C122">
        <v>130.48216816175366</v>
      </c>
      <c r="D122">
        <v>121.02668559150034</v>
      </c>
      <c r="E122">
        <v>135.43663586923799</v>
      </c>
      <c r="F122">
        <v>133.90766615943767</v>
      </c>
      <c r="G122">
        <v>115.79947132789233</v>
      </c>
      <c r="H122">
        <v>162.59407559120734</v>
      </c>
      <c r="I122">
        <v>171.49723514857797</v>
      </c>
      <c r="J122">
        <v>131.21387847850599</v>
      </c>
      <c r="K122">
        <v>0.98423499823385696</v>
      </c>
      <c r="L122">
        <v>82.197903076923097</v>
      </c>
      <c r="M122" s="16">
        <f>+'[3]VAR expectations'!C146</f>
        <v>4.3007323969777262</v>
      </c>
      <c r="N122">
        <v>-0.16340187781012599</v>
      </c>
      <c r="O122">
        <v>-0.673433352934243</v>
      </c>
      <c r="P122">
        <v>293</v>
      </c>
      <c r="Q122">
        <v>80</v>
      </c>
      <c r="R122">
        <v>466</v>
      </c>
      <c r="S122">
        <v>119</v>
      </c>
      <c r="T122">
        <v>21</v>
      </c>
      <c r="U122">
        <v>21</v>
      </c>
      <c r="V122">
        <f t="shared" si="2"/>
        <v>161</v>
      </c>
    </row>
    <row r="123" spans="1:22" x14ac:dyDescent="0.25">
      <c r="A123" s="15">
        <v>45291</v>
      </c>
      <c r="B123">
        <v>131.90742868082333</v>
      </c>
      <c r="C123">
        <v>132.33914338104398</v>
      </c>
      <c r="D123">
        <v>120.81283188458333</v>
      </c>
      <c r="E123">
        <v>136.65815991549266</v>
      </c>
      <c r="F123">
        <v>134.56146663509199</v>
      </c>
      <c r="G123">
        <v>118.01076709177534</v>
      </c>
      <c r="H123">
        <v>165.53417244105165</v>
      </c>
      <c r="I123">
        <v>164.99782673189367</v>
      </c>
      <c r="J123">
        <v>131.88052879150999</v>
      </c>
      <c r="K123">
        <v>0.99409752445047195</v>
      </c>
      <c r="L123">
        <v>81.178133846153798</v>
      </c>
      <c r="M123" s="16">
        <f>+'[3]VAR expectations'!C147</f>
        <v>3.8582721147576735</v>
      </c>
      <c r="N123">
        <v>-1.3678165112816401</v>
      </c>
      <c r="O123">
        <v>-0.21694556148073699</v>
      </c>
      <c r="P123">
        <v>293</v>
      </c>
      <c r="Q123">
        <v>80</v>
      </c>
      <c r="R123">
        <v>466</v>
      </c>
      <c r="S123">
        <v>119</v>
      </c>
      <c r="T123">
        <v>21</v>
      </c>
      <c r="U123">
        <v>21</v>
      </c>
      <c r="V123">
        <f t="shared" si="2"/>
        <v>161</v>
      </c>
    </row>
    <row r="124" spans="1:22" x14ac:dyDescent="0.25">
      <c r="A124" s="15">
        <v>45382</v>
      </c>
      <c r="B124">
        <v>132.94843116884735</v>
      </c>
      <c r="C124">
        <v>133.75886718003835</v>
      </c>
      <c r="D124">
        <v>120.91458822342501</v>
      </c>
      <c r="E124">
        <v>137.67280155287366</v>
      </c>
      <c r="F124">
        <v>134.87068887930101</v>
      </c>
      <c r="G124">
        <v>118.88041870657833</v>
      </c>
      <c r="H124">
        <v>171.54211892933236</v>
      </c>
      <c r="I124">
        <v>165.90492516430066</v>
      </c>
      <c r="J124">
        <v>132.95382336549201</v>
      </c>
      <c r="K124">
        <v>0.98573900024007299</v>
      </c>
      <c r="L124">
        <v>82.5681923076923</v>
      </c>
      <c r="M124" s="16">
        <f>+'[3]VAR expectations'!C148</f>
        <v>3.6255376960251078</v>
      </c>
      <c r="N124">
        <v>-1.0717785266822</v>
      </c>
      <c r="O124">
        <v>4.3541846025459997E-2</v>
      </c>
      <c r="P124">
        <v>286.49313333333339</v>
      </c>
      <c r="Q124">
        <v>71.188066666666657</v>
      </c>
      <c r="R124">
        <v>490.4566333333334</v>
      </c>
      <c r="S124">
        <v>113.06706666666666</v>
      </c>
      <c r="T124">
        <v>20.664833333333334</v>
      </c>
      <c r="U124">
        <v>18.130266666666667</v>
      </c>
      <c r="V124">
        <f t="shared" si="2"/>
        <v>151.86216666666667</v>
      </c>
    </row>
    <row r="125" spans="1:22" x14ac:dyDescent="0.25">
      <c r="A125" s="15">
        <v>45473</v>
      </c>
      <c r="B125">
        <v>133.24691582971434</v>
      </c>
      <c r="C125">
        <v>135.807487639561</v>
      </c>
      <c r="D125">
        <v>120.983232584186</v>
      </c>
      <c r="E125">
        <v>138.14194228561868</v>
      </c>
      <c r="F125">
        <v>135.26029032285135</v>
      </c>
      <c r="G125">
        <v>118.618104054439</v>
      </c>
      <c r="H125">
        <v>174.69183378053467</v>
      </c>
      <c r="I125">
        <v>154.08732720665034</v>
      </c>
      <c r="J125">
        <v>133.42686731999399</v>
      </c>
      <c r="K125">
        <v>0.99610252238445296</v>
      </c>
      <c r="L125">
        <v>82.944390769230793</v>
      </c>
      <c r="M125" s="16">
        <f>+'[3]VAR expectations'!C149</f>
        <v>2.979353541970323</v>
      </c>
      <c r="N125">
        <v>-1.2261098957021399</v>
      </c>
      <c r="O125">
        <v>-0.40443614577732501</v>
      </c>
      <c r="P125">
        <v>285.86950000000007</v>
      </c>
      <c r="Q125">
        <v>71.750699999999995</v>
      </c>
      <c r="R125">
        <v>490.08380000000005</v>
      </c>
      <c r="S125">
        <v>113.14640000000001</v>
      </c>
      <c r="T125">
        <v>20.931000000000001</v>
      </c>
      <c r="U125">
        <v>18.218599999999999</v>
      </c>
      <c r="V125">
        <f t="shared" si="2"/>
        <v>152.29600000000002</v>
      </c>
    </row>
    <row r="126" spans="1:22" x14ac:dyDescent="0.25">
      <c r="A126" s="15">
        <v>45565</v>
      </c>
      <c r="B126">
        <v>134.02113951227832</v>
      </c>
      <c r="C126">
        <v>137.24167755432401</v>
      </c>
      <c r="D126">
        <v>121.26116177752665</v>
      </c>
      <c r="E126">
        <v>139.04979349184765</v>
      </c>
      <c r="F126">
        <v>135.96104514689134</v>
      </c>
      <c r="G126">
        <v>118.89478155606633</v>
      </c>
      <c r="H126">
        <v>178.04940428229733</v>
      </c>
      <c r="I126">
        <v>148.602268953947</v>
      </c>
      <c r="J126">
        <v>133.86174972626199</v>
      </c>
      <c r="K126">
        <v>0.97405812511554302</v>
      </c>
      <c r="L126">
        <v>84.302587878787904</v>
      </c>
      <c r="M126" s="16">
        <f>+'[3]VAR expectations'!C150</f>
        <v>2.9717312535901965</v>
      </c>
      <c r="N126">
        <v>-0.96369939332577004</v>
      </c>
      <c r="O126">
        <v>-0.39830475465660198</v>
      </c>
      <c r="P126">
        <v>285.86950000000007</v>
      </c>
      <c r="Q126">
        <v>71.750699999999995</v>
      </c>
      <c r="R126">
        <v>490.08380000000005</v>
      </c>
      <c r="S126">
        <v>113.14640000000001</v>
      </c>
      <c r="T126">
        <v>20.931000000000001</v>
      </c>
      <c r="U126">
        <v>18.218599999999999</v>
      </c>
      <c r="V126">
        <f t="shared" si="2"/>
        <v>152.29600000000002</v>
      </c>
    </row>
    <row r="127" spans="1:22" x14ac:dyDescent="0.25">
      <c r="A127" s="15">
        <v>45657</v>
      </c>
      <c r="B127">
        <v>135.21692150454535</v>
      </c>
      <c r="C127">
        <v>138.73512918149299</v>
      </c>
      <c r="D127">
        <v>121.95064728995</v>
      </c>
      <c r="E127">
        <v>140.6494084587417</v>
      </c>
      <c r="F127">
        <v>137.18250796092101</v>
      </c>
      <c r="G127">
        <v>119.71565409241767</v>
      </c>
      <c r="H127">
        <v>182.63413734439936</v>
      </c>
      <c r="I127">
        <v>151.46663061603667</v>
      </c>
      <c r="J127">
        <v>135.17362578586099</v>
      </c>
      <c r="K127">
        <v>0.97624661192587803</v>
      </c>
      <c r="L127">
        <v>84.621425757575807</v>
      </c>
      <c r="M127" s="16">
        <f>+'[3]VAR expectations'!C151</f>
        <v>3.468785277541127</v>
      </c>
      <c r="N127">
        <v>-0.58156090930256898</v>
      </c>
      <c r="O127">
        <v>0.16500605812762401</v>
      </c>
      <c r="P127">
        <v>285.86950000000007</v>
      </c>
      <c r="Q127">
        <v>71.750699999999995</v>
      </c>
      <c r="R127">
        <v>490.08380000000005</v>
      </c>
      <c r="S127">
        <v>113.14640000000001</v>
      </c>
      <c r="T127">
        <v>20.931000000000001</v>
      </c>
      <c r="U127">
        <v>18.218599999999999</v>
      </c>
      <c r="V127">
        <f t="shared" si="2"/>
        <v>152.29600000000002</v>
      </c>
    </row>
    <row r="128" spans="1:22" x14ac:dyDescent="0.25">
      <c r="A128" s="15">
        <v>45747</v>
      </c>
      <c r="B128">
        <v>136.66636322417534</v>
      </c>
      <c r="C128">
        <v>140.36418737698366</v>
      </c>
      <c r="D128">
        <v>122.41564888421966</v>
      </c>
      <c r="E128">
        <v>142.83718215793434</v>
      </c>
      <c r="F128">
        <v>139.24581727100133</v>
      </c>
      <c r="G128">
        <v>121.28173307555301</v>
      </c>
      <c r="H128">
        <v>186.68218521967401</v>
      </c>
      <c r="I128">
        <v>153.63014026696965</v>
      </c>
      <c r="J128">
        <v>136.72048345699301</v>
      </c>
      <c r="K128">
        <v>0.99895086639782105</v>
      </c>
      <c r="L128">
        <v>84.062595312499994</v>
      </c>
      <c r="M128" s="16">
        <f>+'[3]VAR expectations'!C152</f>
        <v>3.8021957884789486</v>
      </c>
      <c r="N128">
        <v>-0.518303217993346</v>
      </c>
      <c r="O128">
        <v>0.107917584062745</v>
      </c>
      <c r="P128">
        <v>287.15600000000001</v>
      </c>
      <c r="Q128">
        <v>61.402300000000004</v>
      </c>
      <c r="R128">
        <v>500.89830000000001</v>
      </c>
      <c r="S128">
        <v>112.20923333333333</v>
      </c>
      <c r="T128">
        <v>19.879166666666666</v>
      </c>
      <c r="U128">
        <v>18.454999999999998</v>
      </c>
      <c r="V128">
        <f t="shared" si="2"/>
        <v>150.54340000000002</v>
      </c>
    </row>
    <row r="129" spans="1:22" x14ac:dyDescent="0.25">
      <c r="A129" s="15">
        <v>45838</v>
      </c>
      <c r="B129">
        <v>137.87719142171133</v>
      </c>
      <c r="C129">
        <v>142.46948558894698</v>
      </c>
      <c r="D129">
        <v>122.76407304939568</v>
      </c>
      <c r="E129">
        <v>144.468705122405</v>
      </c>
      <c r="F129">
        <v>140.85289772657967</v>
      </c>
      <c r="G129">
        <v>123.38669147618701</v>
      </c>
      <c r="H129">
        <v>188.655395162697</v>
      </c>
      <c r="I129">
        <v>152.76916417597667</v>
      </c>
      <c r="J129">
        <v>138.03988302570099</v>
      </c>
      <c r="K129">
        <v>0.99251729977824699</v>
      </c>
      <c r="L129">
        <v>85.4313261538462</v>
      </c>
      <c r="M129" s="16">
        <f>+'[3]VAR expectations'!C153</f>
        <v>4.011042611251681</v>
      </c>
      <c r="N129">
        <v>-8.0156162901135294E-2</v>
      </c>
      <c r="O129">
        <v>4.1047258462795402E-2</v>
      </c>
      <c r="P129">
        <v>286.36329999999998</v>
      </c>
      <c r="Q129">
        <v>61.652700000000003</v>
      </c>
      <c r="R129">
        <v>500.83539999999999</v>
      </c>
      <c r="S129">
        <v>112.5699</v>
      </c>
      <c r="T129">
        <v>20.052600000000002</v>
      </c>
      <c r="U129">
        <v>18.5261</v>
      </c>
      <c r="V129">
        <f t="shared" si="2"/>
        <v>151.14859999999999</v>
      </c>
    </row>
    <row r="130" spans="1:22" x14ac:dyDescent="0.25">
      <c r="A130" s="15">
        <v>45930</v>
      </c>
      <c r="B130">
        <v>139.09545717782768</v>
      </c>
      <c r="C130">
        <v>143.78240380057602</v>
      </c>
      <c r="D130">
        <v>123.18031748475732</v>
      </c>
      <c r="E130">
        <v>146.14273136936666</v>
      </c>
      <c r="F130">
        <v>142.54855925628667</v>
      </c>
      <c r="G130">
        <v>123.57445647162565</v>
      </c>
      <c r="H130">
        <v>192.27285372944732</v>
      </c>
      <c r="I130">
        <v>152.42786105279069</v>
      </c>
      <c r="J130">
        <v>138.929155953021</v>
      </c>
      <c r="K130">
        <v>0.98609274706816596</v>
      </c>
      <c r="L130">
        <v>85.000674242424196</v>
      </c>
      <c r="M130" s="16">
        <f>+'[3]VAR expectations'!C154</f>
        <v>3.9691108090385026</v>
      </c>
      <c r="N130">
        <v>0.17385582924148901</v>
      </c>
      <c r="O130">
        <v>-0.14024893238342001</v>
      </c>
      <c r="P130">
        <v>286.36329999999998</v>
      </c>
      <c r="Q130">
        <v>61.652700000000003</v>
      </c>
      <c r="R130">
        <v>500.83539999999999</v>
      </c>
      <c r="S130">
        <v>112.5699</v>
      </c>
      <c r="T130">
        <v>20.052600000000002</v>
      </c>
      <c r="U130">
        <v>18.5261</v>
      </c>
      <c r="V130">
        <f t="shared" si="2"/>
        <v>151.14859999999999</v>
      </c>
    </row>
    <row r="131" spans="1:22" x14ac:dyDescent="0.25">
      <c r="A131" s="15">
        <v>46022</v>
      </c>
      <c r="B131">
        <v>139.84769778751667</v>
      </c>
      <c r="C131">
        <v>144.98449505097366</v>
      </c>
      <c r="D131">
        <v>123.40676558081833</v>
      </c>
      <c r="E131">
        <v>147.21304703282601</v>
      </c>
      <c r="F131">
        <v>143.43158365664303</v>
      </c>
      <c r="G131">
        <v>124.406993625732</v>
      </c>
      <c r="H131">
        <v>193.70000748203401</v>
      </c>
      <c r="I131">
        <v>154.36457447399667</v>
      </c>
      <c r="J131">
        <v>139.784107563296</v>
      </c>
      <c r="K131">
        <v>1.0048143678035899</v>
      </c>
      <c r="L131">
        <v>84.160324242424196</v>
      </c>
      <c r="M131" s="16">
        <f>+'[3]VAR expectations'!C155</f>
        <v>3.8470567349792795</v>
      </c>
      <c r="N131">
        <v>0.1119962</v>
      </c>
      <c r="O131">
        <v>9.7460178220928104E-2</v>
      </c>
      <c r="P131">
        <v>286.36329999999998</v>
      </c>
      <c r="Q131">
        <v>61.652700000000003</v>
      </c>
      <c r="R131">
        <v>500.83539999999999</v>
      </c>
      <c r="S131">
        <v>112.5699</v>
      </c>
      <c r="T131">
        <v>20.052600000000002</v>
      </c>
      <c r="U131">
        <v>18.5261</v>
      </c>
      <c r="V131">
        <f t="shared" si="2"/>
        <v>151.14859999999999</v>
      </c>
    </row>
    <row r="132" spans="1:22" x14ac:dyDescent="0.25">
      <c r="A132" s="15">
        <v>46112</v>
      </c>
      <c r="B132">
        <v>140.89011318576533</v>
      </c>
      <c r="C132">
        <v>146.55774137733101</v>
      </c>
      <c r="D132">
        <v>123.576506834233</v>
      </c>
      <c r="E132">
        <v>147.97730557310334</v>
      </c>
      <c r="F132">
        <v>144.19076339892868</v>
      </c>
      <c r="G132">
        <v>123.052083490431</v>
      </c>
      <c r="H132">
        <v>198.54377838412969</v>
      </c>
      <c r="I132">
        <v>155.57223430815199</v>
      </c>
      <c r="J132">
        <v>140.96859532877701</v>
      </c>
      <c r="K132">
        <v>1.0026831227361801</v>
      </c>
      <c r="L132">
        <v>84.782439062500004</v>
      </c>
      <c r="M132" s="16">
        <f>+'[3]VAR expectations'!C156</f>
        <v>4.1639091291217634</v>
      </c>
      <c r="N132">
        <v>8.20304116706497E-2</v>
      </c>
      <c r="O132">
        <v>8.1472436362840003E-2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2"/>
        <v>146.40226666666666</v>
      </c>
    </row>
    <row r="133" spans="1:22" x14ac:dyDescent="0.25">
      <c r="A133" s="15">
        <v>46203</v>
      </c>
      <c r="B133">
        <v>142.17688398956633</v>
      </c>
      <c r="C133">
        <v>147.61775133787967</v>
      </c>
      <c r="D133">
        <v>123.96744171654666</v>
      </c>
      <c r="E133">
        <v>149.50397975256399</v>
      </c>
      <c r="F133">
        <v>145.93077251103333</v>
      </c>
      <c r="G133">
        <v>123.61603258953666</v>
      </c>
      <c r="H133">
        <v>201.25939295992498</v>
      </c>
      <c r="I133">
        <v>165.17818160477432</v>
      </c>
      <c r="J133">
        <v>142.34484745777499</v>
      </c>
      <c r="K133">
        <v>1.03470568254168</v>
      </c>
      <c r="L133">
        <v>83.852547542572495</v>
      </c>
      <c r="M133" s="16">
        <f>+'[3]VAR expectations'!C157</f>
        <v>5.4104651194166893</v>
      </c>
      <c r="N133">
        <v>0.46770181567943597</v>
      </c>
      <c r="O133">
        <v>0.41784976947829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2"/>
        <v>146.77090000000001</v>
      </c>
    </row>
    <row r="134" spans="1:22" x14ac:dyDescent="0.25">
      <c r="A134" s="15">
        <v>46295</v>
      </c>
      <c r="B134">
        <v>143.739508018078</v>
      </c>
      <c r="C134">
        <v>148.92058350320198</v>
      </c>
      <c r="D134">
        <v>124.47896005002734</v>
      </c>
      <c r="E134">
        <v>151.74457930821367</v>
      </c>
      <c r="F134">
        <v>148.39397242089967</v>
      </c>
      <c r="G134">
        <v>124.52848919332399</v>
      </c>
      <c r="H134">
        <v>203.06582905204769</v>
      </c>
      <c r="I134">
        <v>168.52415136763133</v>
      </c>
      <c r="J134">
        <v>143.576397728773</v>
      </c>
      <c r="K134">
        <v>1.03126921064787</v>
      </c>
      <c r="L134">
        <v>83.739870212059401</v>
      </c>
      <c r="M134" s="16">
        <f>+'[3]VAR expectations'!C158</f>
        <v>4.9139696600199789</v>
      </c>
      <c r="N134">
        <v>0.62946641974350404</v>
      </c>
      <c r="O134">
        <v>2.7533676138149901E-2</v>
      </c>
      <c r="P134">
        <v>276.51159999999993</v>
      </c>
      <c r="Q134">
        <v>58.350900000000003</v>
      </c>
      <c r="R134">
        <v>518.36659999999995</v>
      </c>
      <c r="S134">
        <v>109.60590000000001</v>
      </c>
      <c r="T134">
        <v>20.937899999999999</v>
      </c>
      <c r="U134">
        <v>16.2271</v>
      </c>
      <c r="V134">
        <f t="shared" si="2"/>
        <v>146.77090000000001</v>
      </c>
    </row>
    <row r="135" spans="1:22" x14ac:dyDescent="0.25">
      <c r="A135" s="15">
        <v>46387</v>
      </c>
      <c r="B135">
        <v>144.99550409639835</v>
      </c>
      <c r="C135">
        <v>150.69589000548399</v>
      </c>
      <c r="D135">
        <v>125.00435843674568</v>
      </c>
      <c r="E135">
        <v>155.70181660089335</v>
      </c>
      <c r="F135">
        <v>151.43452849278165</v>
      </c>
      <c r="G135">
        <v>124.92840642016832</v>
      </c>
      <c r="H135">
        <v>220.13614424077198</v>
      </c>
      <c r="I135">
        <v>166.03112379057998</v>
      </c>
      <c r="J135">
        <v>144.90812892177101</v>
      </c>
      <c r="K135">
        <v>1.02108565765283</v>
      </c>
      <c r="L135">
        <v>83.626772015095</v>
      </c>
      <c r="M135" s="16">
        <f>+'[3]VAR expectations'!C159</f>
        <v>4.0011512098701685</v>
      </c>
      <c r="N135">
        <v>0.43966995093679601</v>
      </c>
      <c r="O135">
        <v>-8.6012428087150206E-2</v>
      </c>
      <c r="P135">
        <v>276.51159999999993</v>
      </c>
      <c r="Q135">
        <v>58.350900000000003</v>
      </c>
      <c r="R135">
        <v>518.36659999999995</v>
      </c>
      <c r="S135">
        <v>109.60590000000001</v>
      </c>
      <c r="T135">
        <v>20.937899999999999</v>
      </c>
      <c r="U135">
        <v>16.2271</v>
      </c>
      <c r="V135">
        <f t="shared" si="2"/>
        <v>146.77090000000001</v>
      </c>
    </row>
    <row r="136" spans="1:22" x14ac:dyDescent="0.25">
      <c r="A136" s="15">
        <v>46477</v>
      </c>
      <c r="I136">
        <v>164.99159620008598</v>
      </c>
      <c r="J136">
        <v>145.85027265183999</v>
      </c>
      <c r="K136">
        <v>1.0159086217453499</v>
      </c>
      <c r="L136">
        <v>83.511782227374596</v>
      </c>
      <c r="M136" s="16">
        <f>+'[3]VAR expectations'!C160</f>
        <v>3.3715300668176842</v>
      </c>
      <c r="N136">
        <v>0.35352551299761398</v>
      </c>
      <c r="O136">
        <v>1.8190339041983299E-4</v>
      </c>
      <c r="P136">
        <v>277.11993333333328</v>
      </c>
      <c r="Q136">
        <v>58.344600000000007</v>
      </c>
      <c r="R136">
        <v>518.13319999999987</v>
      </c>
      <c r="S136">
        <v>109.45673333333333</v>
      </c>
      <c r="T136">
        <v>20.782733333333333</v>
      </c>
      <c r="U136">
        <v>16.162800000000001</v>
      </c>
      <c r="V136">
        <f t="shared" si="2"/>
        <v>146.40226666666666</v>
      </c>
    </row>
    <row r="137" spans="1:22" x14ac:dyDescent="0.25">
      <c r="A137" s="15">
        <v>46568</v>
      </c>
      <c r="I137">
        <v>162.6478364146233</v>
      </c>
      <c r="J137">
        <v>146.61458563050601</v>
      </c>
      <c r="K137">
        <v>1.0126519664022899</v>
      </c>
      <c r="L137">
        <v>83.394217743676407</v>
      </c>
      <c r="M137" s="16">
        <f>+'[3]VAR expectations'!C161</f>
        <v>2.9319715449134089</v>
      </c>
      <c r="N137">
        <v>-0.10110608693769101</v>
      </c>
      <c r="O137">
        <v>-3.4253926787450102E-2</v>
      </c>
      <c r="P137">
        <v>276.51159999999993</v>
      </c>
      <c r="Q137">
        <v>58.350900000000003</v>
      </c>
      <c r="R137">
        <v>518.36659999999995</v>
      </c>
      <c r="S137">
        <v>109.60590000000001</v>
      </c>
      <c r="T137">
        <v>20.937899999999999</v>
      </c>
      <c r="U137">
        <v>16.2271</v>
      </c>
      <c r="V137">
        <f t="shared" si="2"/>
        <v>146.77090000000001</v>
      </c>
    </row>
    <row r="138" spans="1:22" x14ac:dyDescent="0.25">
      <c r="A138" s="15">
        <v>46660</v>
      </c>
      <c r="I138">
        <v>161.60506776520634</v>
      </c>
      <c r="J138">
        <v>147.160073363885</v>
      </c>
      <c r="K138">
        <v>1.01034866830139</v>
      </c>
      <c r="L138">
        <v>83.272276764652105</v>
      </c>
      <c r="M138" s="16">
        <f>+'[3]VAR expectations'!C162</f>
        <v>2.624058833894372</v>
      </c>
      <c r="N138">
        <v>-0.23265208863300799</v>
      </c>
      <c r="O138">
        <v>-0.10587901821204999</v>
      </c>
      <c r="P138">
        <v>276.51159999999993</v>
      </c>
      <c r="Q138">
        <v>58.350900000000003</v>
      </c>
      <c r="R138">
        <v>518.36659999999995</v>
      </c>
      <c r="S138">
        <v>109.60590000000001</v>
      </c>
      <c r="T138">
        <v>20.937899999999999</v>
      </c>
      <c r="U138">
        <v>16.2271</v>
      </c>
      <c r="V138">
        <f t="shared" si="2"/>
        <v>146.77090000000001</v>
      </c>
    </row>
    <row r="139" spans="1:22" x14ac:dyDescent="0.25">
      <c r="A139" s="15">
        <v>46752</v>
      </c>
      <c r="I139">
        <v>159.57272865145001</v>
      </c>
      <c r="J139">
        <v>147.70275880738399</v>
      </c>
      <c r="K139">
        <v>1.00825272538385</v>
      </c>
      <c r="L139">
        <v>83.146696505323803</v>
      </c>
      <c r="M139" s="16">
        <f>+'[3]VAR expectations'!C163</f>
        <v>2.4687156565697737</v>
      </c>
      <c r="N139">
        <v>-0.22557547231543701</v>
      </c>
      <c r="O139">
        <v>-8.0643982069679904E-2</v>
      </c>
      <c r="P139">
        <v>276.51159999999993</v>
      </c>
      <c r="Q139">
        <v>58.350900000000003</v>
      </c>
      <c r="R139">
        <v>518.36659999999995</v>
      </c>
      <c r="S139">
        <v>109.60590000000001</v>
      </c>
      <c r="T139">
        <v>20.937899999999999</v>
      </c>
      <c r="U139">
        <v>16.2271</v>
      </c>
      <c r="V139">
        <f t="shared" si="2"/>
        <v>146.77090000000001</v>
      </c>
    </row>
    <row r="140" spans="1:22" x14ac:dyDescent="0.25">
      <c r="A140" s="15">
        <v>46843</v>
      </c>
      <c r="I140">
        <v>157.00167776002502</v>
      </c>
      <c r="J140">
        <v>148.23762334590799</v>
      </c>
      <c r="K140">
        <v>1.00659242366188</v>
      </c>
      <c r="L140">
        <v>83.019750750202704</v>
      </c>
      <c r="M140" s="16">
        <f>+'[3]VAR expectations'!C164</f>
        <v>2.4272584547421974</v>
      </c>
      <c r="N140">
        <v>-0.292579106135544</v>
      </c>
      <c r="O140">
        <v>-7.1473628390959901E-2</v>
      </c>
      <c r="P140">
        <v>277.11993333333328</v>
      </c>
      <c r="Q140">
        <v>58.344600000000007</v>
      </c>
      <c r="R140">
        <v>518.13319999999987</v>
      </c>
      <c r="S140">
        <v>109.45673333333333</v>
      </c>
      <c r="T140">
        <v>20.782733333333333</v>
      </c>
      <c r="U140">
        <v>16.162800000000001</v>
      </c>
      <c r="V140">
        <f t="shared" si="2"/>
        <v>146.40226666666666</v>
      </c>
    </row>
    <row r="141" spans="1:22" x14ac:dyDescent="0.25">
      <c r="A141" s="15">
        <v>46934</v>
      </c>
      <c r="I141">
        <v>154.98879882385665</v>
      </c>
      <c r="J141">
        <v>149.02794682730701</v>
      </c>
      <c r="K141">
        <v>1.00503851607327</v>
      </c>
      <c r="L141">
        <v>82.893671077881507</v>
      </c>
      <c r="M141" s="16">
        <f>+'[3]VAR expectations'!C165</f>
        <v>2.4505337246023733</v>
      </c>
      <c r="N141">
        <v>-0.27639477261600398</v>
      </c>
      <c r="O141">
        <v>-2.1510396662669899E-2</v>
      </c>
      <c r="P141">
        <v>276.51159999999993</v>
      </c>
      <c r="Q141">
        <v>58.350900000000003</v>
      </c>
      <c r="R141">
        <v>518.36659999999995</v>
      </c>
      <c r="S141">
        <v>109.60590000000001</v>
      </c>
      <c r="T141">
        <v>20.937899999999999</v>
      </c>
      <c r="U141">
        <v>16.2271</v>
      </c>
      <c r="V141">
        <f t="shared" si="2"/>
        <v>146.77090000000001</v>
      </c>
    </row>
    <row r="142" spans="1:22" x14ac:dyDescent="0.25">
      <c r="A142" s="15">
        <v>47026</v>
      </c>
      <c r="I142">
        <v>156.01777770224967</v>
      </c>
      <c r="J142">
        <v>149.62609821928601</v>
      </c>
      <c r="K142">
        <v>1.0036277909031399</v>
      </c>
      <c r="L142">
        <v>82.769687239930306</v>
      </c>
      <c r="M142" s="16">
        <f>+'[3]VAR expectations'!C166</f>
        <v>2.4399426350808717</v>
      </c>
      <c r="N142">
        <v>-0.18992010659112199</v>
      </c>
      <c r="O142">
        <v>-1.9383107023809999E-2</v>
      </c>
      <c r="P142">
        <v>276.51159999999993</v>
      </c>
      <c r="Q142">
        <v>58.350900000000003</v>
      </c>
      <c r="R142">
        <v>518.36659999999995</v>
      </c>
      <c r="S142">
        <v>109.60590000000001</v>
      </c>
      <c r="T142">
        <v>20.937899999999999</v>
      </c>
      <c r="U142">
        <v>16.2271</v>
      </c>
      <c r="V142">
        <f t="shared" ref="V142:V145" si="3">+S142+T142+U142</f>
        <v>146.77090000000001</v>
      </c>
    </row>
    <row r="143" spans="1:22" x14ac:dyDescent="0.25">
      <c r="A143" s="15">
        <v>47118</v>
      </c>
      <c r="I143">
        <v>156.41787406037233</v>
      </c>
      <c r="J143">
        <v>150.239139540514</v>
      </c>
      <c r="K143">
        <v>1.00235794119012</v>
      </c>
      <c r="L143">
        <v>82.648532501598893</v>
      </c>
      <c r="M143" s="16">
        <f>+'[3]VAR expectations'!C167</f>
        <v>2.4724757454078841</v>
      </c>
      <c r="N143">
        <v>-0.117011613692185</v>
      </c>
      <c r="O143">
        <v>-7.69414221715991E-3</v>
      </c>
      <c r="P143">
        <v>276.51159999999993</v>
      </c>
      <c r="Q143">
        <v>58.350900000000003</v>
      </c>
      <c r="R143">
        <v>518.36659999999995</v>
      </c>
      <c r="S143">
        <v>109.60590000000001</v>
      </c>
      <c r="T143">
        <v>20.937899999999999</v>
      </c>
      <c r="U143">
        <v>16.2271</v>
      </c>
      <c r="V143">
        <f t="shared" si="3"/>
        <v>146.77090000000001</v>
      </c>
    </row>
    <row r="144" spans="1:22" x14ac:dyDescent="0.25">
      <c r="A144" s="15">
        <v>47208</v>
      </c>
      <c r="I144">
        <v>155.56522251420802</v>
      </c>
      <c r="J144">
        <v>150.84127839502901</v>
      </c>
      <c r="K144">
        <v>1.00106999055868</v>
      </c>
      <c r="L144">
        <v>82.530537938462103</v>
      </c>
      <c r="M144" s="16">
        <f>+'[3]VAR expectations'!C168</f>
        <v>2.5381252562448622</v>
      </c>
      <c r="N144">
        <v>-5.67299892812883E-2</v>
      </c>
      <c r="O144">
        <v>-9.1409025819498592E-3</v>
      </c>
      <c r="P144">
        <v>277.11993333333328</v>
      </c>
      <c r="Q144">
        <v>58.344600000000007</v>
      </c>
      <c r="R144">
        <v>518.13319999999987</v>
      </c>
      <c r="S144">
        <v>109.45673333333333</v>
      </c>
      <c r="T144">
        <v>20.782733333333333</v>
      </c>
      <c r="U144">
        <v>16.162800000000001</v>
      </c>
      <c r="V144">
        <f t="shared" si="3"/>
        <v>146.40226666666666</v>
      </c>
    </row>
    <row r="145" spans="1:22" x14ac:dyDescent="0.25">
      <c r="A145" s="15">
        <v>47299</v>
      </c>
      <c r="I145" s="3">
        <v>155.56522251420802</v>
      </c>
      <c r="J145">
        <v>151.581874361823</v>
      </c>
      <c r="K145">
        <v>0.99979892453025199</v>
      </c>
      <c r="L145">
        <v>82.415651645429406</v>
      </c>
      <c r="M145" s="16">
        <f>+'[3]VAR expectations'!C169</f>
        <v>2.6576871518365146</v>
      </c>
      <c r="N145">
        <v>5.0718542367155998E-2</v>
      </c>
      <c r="O145">
        <v>9.1481009494210105E-2</v>
      </c>
      <c r="P145">
        <v>276.51159999999993</v>
      </c>
      <c r="Q145">
        <v>58.350900000000003</v>
      </c>
      <c r="R145">
        <v>518.36659999999995</v>
      </c>
      <c r="S145">
        <v>109.60590000000001</v>
      </c>
      <c r="T145">
        <v>20.937899999999999</v>
      </c>
      <c r="U145">
        <v>16.2271</v>
      </c>
      <c r="V145">
        <f t="shared" si="3"/>
        <v>146.77090000000001</v>
      </c>
    </row>
    <row r="146" spans="1:22" x14ac:dyDescent="0.25">
      <c r="A146" s="15"/>
      <c r="M146" s="16"/>
    </row>
    <row r="147" spans="1:22" x14ac:dyDescent="0.25">
      <c r="A147" s="15"/>
      <c r="M147" s="16"/>
    </row>
    <row r="148" spans="1:22" x14ac:dyDescent="0.25">
      <c r="A148" s="15"/>
      <c r="M148" s="16"/>
    </row>
    <row r="149" spans="1:22" x14ac:dyDescent="0.25">
      <c r="A149" s="15"/>
      <c r="M149" s="16"/>
    </row>
    <row r="150" spans="1:22" x14ac:dyDescent="0.25">
      <c r="A150" s="15"/>
      <c r="M150" s="16"/>
    </row>
    <row r="151" spans="1:22" x14ac:dyDescent="0.25">
      <c r="A151" s="15"/>
      <c r="M151" s="16"/>
    </row>
    <row r="152" spans="1:22" x14ac:dyDescent="0.25">
      <c r="A152" s="15"/>
      <c r="M152" s="16"/>
    </row>
    <row r="153" spans="1:22" x14ac:dyDescent="0.25">
      <c r="A153" s="15"/>
      <c r="M153" s="16"/>
    </row>
    <row r="154" spans="1:22" x14ac:dyDescent="0.25">
      <c r="A154" s="15"/>
      <c r="M154" s="16"/>
    </row>
    <row r="155" spans="1:22" x14ac:dyDescent="0.25">
      <c r="A155" s="15"/>
      <c r="M155" s="16"/>
    </row>
    <row r="156" spans="1:22" x14ac:dyDescent="0.25">
      <c r="A156" s="15"/>
      <c r="M156" s="16"/>
    </row>
    <row r="157" spans="1:22" x14ac:dyDescent="0.25">
      <c r="A157" s="15"/>
      <c r="M157" s="16"/>
    </row>
    <row r="158" spans="1:22" x14ac:dyDescent="0.25">
      <c r="A158" s="15"/>
      <c r="M158" s="16"/>
    </row>
    <row r="159" spans="1:22" x14ac:dyDescent="0.25">
      <c r="A159" s="15"/>
      <c r="M159" s="16"/>
    </row>
    <row r="160" spans="1:22" x14ac:dyDescent="0.25">
      <c r="A160" s="15"/>
      <c r="M160" s="16"/>
    </row>
    <row r="161" spans="1:13" x14ac:dyDescent="0.25">
      <c r="A161" s="15"/>
      <c r="M161" s="16"/>
    </row>
    <row r="162" spans="1:13" x14ac:dyDescent="0.25">
      <c r="A162" s="15"/>
      <c r="M162" s="16"/>
    </row>
    <row r="163" spans="1:13" x14ac:dyDescent="0.25">
      <c r="A163" s="15"/>
      <c r="M163" s="16"/>
    </row>
    <row r="164" spans="1:13" x14ac:dyDescent="0.25">
      <c r="A164" s="15"/>
      <c r="M164" s="16"/>
    </row>
    <row r="165" spans="1:13" x14ac:dyDescent="0.25">
      <c r="A165" s="15"/>
      <c r="M165" s="16"/>
    </row>
    <row r="166" spans="1:13" x14ac:dyDescent="0.25">
      <c r="A166" s="15"/>
      <c r="M166" s="16"/>
    </row>
    <row r="167" spans="1:13" x14ac:dyDescent="0.25">
      <c r="A167" s="15"/>
      <c r="M167" s="16"/>
    </row>
    <row r="168" spans="1:13" x14ac:dyDescent="0.25">
      <c r="A168" s="15"/>
      <c r="B168" s="17"/>
      <c r="M168" s="16"/>
    </row>
    <row r="169" spans="1:13" x14ac:dyDescent="0.25">
      <c r="B169" s="17"/>
      <c r="M169" s="16"/>
    </row>
    <row r="170" spans="1:13" x14ac:dyDescent="0.25">
      <c r="B170" s="17"/>
    </row>
    <row r="171" spans="1:13" x14ac:dyDescent="0.25">
      <c r="B171" s="17"/>
    </row>
    <row r="172" spans="1:13" x14ac:dyDescent="0.25">
      <c r="B172" s="17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8ADE-8779-4923-92C5-5E94FBD13B04}">
  <dimension ref="A1"/>
  <sheetViews>
    <sheetView workbookViewId="0">
      <selection activeCell="L9" sqref="L9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D2C9-0E82-4AA9-A10A-CF973ACBED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9C88-61C9-47DA-8D1E-859F595F8F58}">
  <dimension ref="A1:AR272"/>
  <sheetViews>
    <sheetView topLeftCell="H109" zoomScale="85" zoomScaleNormal="85" workbookViewId="0">
      <selection activeCell="AE99" sqref="AE99"/>
    </sheetView>
  </sheetViews>
  <sheetFormatPr defaultRowHeight="15" x14ac:dyDescent="0.25"/>
  <cols>
    <col min="1" max="1" width="10.7109375" bestFit="1" customWidth="1"/>
  </cols>
  <sheetData>
    <row r="1" spans="1:44" x14ac:dyDescent="0.25">
      <c r="A1" s="15">
        <v>35246</v>
      </c>
      <c r="B1">
        <v>68.723480942931303</v>
      </c>
      <c r="C1">
        <v>51.436217115422501</v>
      </c>
      <c r="D1">
        <v>120.55767761245134</v>
      </c>
      <c r="E1">
        <v>59.150835037210463</v>
      </c>
      <c r="F1">
        <v>66.150622751811724</v>
      </c>
      <c r="G1">
        <v>78.703574190501072</v>
      </c>
      <c r="H1">
        <v>30.476125774121101</v>
      </c>
      <c r="I1">
        <v>43.120581147797139</v>
      </c>
      <c r="J1">
        <v>68.646172139093594</v>
      </c>
      <c r="K1">
        <v>0.697170201453299</v>
      </c>
      <c r="L1">
        <v>81.882196923076904</v>
      </c>
      <c r="M1" s="16">
        <f>+'[3]VAR expectations'!C25</f>
        <v>3.1301783998157688</v>
      </c>
      <c r="N1">
        <v>0.3</v>
      </c>
      <c r="O1">
        <v>2.51123070484027E-4</v>
      </c>
      <c r="P1">
        <v>330</v>
      </c>
      <c r="Q1">
        <v>85</v>
      </c>
      <c r="R1">
        <v>359</v>
      </c>
      <c r="S1">
        <v>156</v>
      </c>
      <c r="T1">
        <v>35</v>
      </c>
      <c r="U1">
        <v>35</v>
      </c>
      <c r="V1">
        <f>+S1+T1+U1</f>
        <v>226</v>
      </c>
      <c r="X1">
        <f>B1-B139</f>
        <v>0.38723116129186508</v>
      </c>
      <c r="Y1">
        <f t="shared" ref="Y1:AR10" si="0">C1-C139</f>
        <v>0.46823753290433956</v>
      </c>
      <c r="Z1">
        <f t="shared" si="0"/>
        <v>0.34522195058933391</v>
      </c>
      <c r="AA1">
        <f t="shared" si="0"/>
        <v>0.59712794812509173</v>
      </c>
      <c r="AB1">
        <f t="shared" si="0"/>
        <v>0.57086475068858533</v>
      </c>
      <c r="AC1">
        <f t="shared" si="0"/>
        <v>0.86971155917677834</v>
      </c>
      <c r="AD1">
        <f t="shared" si="0"/>
        <v>0.42156456676403309</v>
      </c>
      <c r="AE1">
        <f t="shared" si="0"/>
        <v>-0.49047742962886076</v>
      </c>
      <c r="AF1">
        <f t="shared" si="0"/>
        <v>0.37138626962298815</v>
      </c>
      <c r="AG1">
        <f t="shared" si="0"/>
        <v>4.0742655225700641E-4</v>
      </c>
      <c r="AH1">
        <f t="shared" si="0"/>
        <v>0.98601538461539917</v>
      </c>
      <c r="AI1">
        <f t="shared" si="0"/>
        <v>0.31506097070246142</v>
      </c>
      <c r="AJ1">
        <f t="shared" si="0"/>
        <v>0</v>
      </c>
      <c r="AK1">
        <f t="shared" si="0"/>
        <v>-0.11805869513773397</v>
      </c>
      <c r="AL1">
        <f t="shared" si="0"/>
        <v>0</v>
      </c>
      <c r="AM1">
        <f t="shared" si="0"/>
        <v>0</v>
      </c>
      <c r="AN1">
        <f t="shared" si="0"/>
        <v>0</v>
      </c>
      <c r="AO1">
        <f t="shared" si="0"/>
        <v>0</v>
      </c>
      <c r="AP1">
        <f t="shared" si="0"/>
        <v>0</v>
      </c>
      <c r="AQ1">
        <f t="shared" si="0"/>
        <v>0</v>
      </c>
      <c r="AR1">
        <f t="shared" si="0"/>
        <v>0</v>
      </c>
    </row>
    <row r="2" spans="1:44" x14ac:dyDescent="0.25">
      <c r="A2" s="15">
        <v>35338</v>
      </c>
      <c r="B2">
        <v>68.949456546139999</v>
      </c>
      <c r="C2">
        <v>51.916931408985363</v>
      </c>
      <c r="D2">
        <v>120.616001958364</v>
      </c>
      <c r="E2">
        <v>59.12231197052197</v>
      </c>
      <c r="F2">
        <v>65.892031840330773</v>
      </c>
      <c r="G2">
        <v>78.989247520031967</v>
      </c>
      <c r="H2">
        <v>30.929830737469164</v>
      </c>
      <c r="I2">
        <v>43.346266616041838</v>
      </c>
      <c r="J2">
        <v>68.991322144235795</v>
      </c>
      <c r="K2">
        <v>0.68186344897864604</v>
      </c>
      <c r="L2">
        <v>82.869486363636398</v>
      </c>
      <c r="M2" s="16">
        <f>+'[3]VAR expectations'!C26</f>
        <v>3.0051764513932908</v>
      </c>
      <c r="N2">
        <v>0.3</v>
      </c>
      <c r="O2">
        <v>7.0742212235927596E-2</v>
      </c>
      <c r="P2">
        <v>330</v>
      </c>
      <c r="Q2">
        <v>85</v>
      </c>
      <c r="R2">
        <v>359</v>
      </c>
      <c r="S2">
        <v>156</v>
      </c>
      <c r="T2">
        <v>35</v>
      </c>
      <c r="U2">
        <v>35</v>
      </c>
      <c r="V2">
        <f t="shared" ref="V2:V65" si="1">+S2+T2+U2</f>
        <v>226</v>
      </c>
      <c r="X2">
        <f t="shared" ref="X2:X65" si="2">B2-B140</f>
        <v>0.22597560320869547</v>
      </c>
      <c r="Y2">
        <f t="shared" si="0"/>
        <v>0.48071429356286188</v>
      </c>
      <c r="Z2">
        <f t="shared" si="0"/>
        <v>5.832434591265212E-2</v>
      </c>
      <c r="AA2">
        <f t="shared" si="0"/>
        <v>-2.8523066688492804E-2</v>
      </c>
      <c r="AB2">
        <f t="shared" si="0"/>
        <v>-0.25859091148095104</v>
      </c>
      <c r="AC2">
        <f t="shared" si="0"/>
        <v>0.28567332953089419</v>
      </c>
      <c r="AD2">
        <f t="shared" si="0"/>
        <v>0.45370496334806276</v>
      </c>
      <c r="AE2">
        <f t="shared" si="0"/>
        <v>0.22568546824469848</v>
      </c>
      <c r="AF2">
        <f t="shared" si="0"/>
        <v>0.34515000514220162</v>
      </c>
      <c r="AG2">
        <f t="shared" si="0"/>
        <v>-1.5306752474652963E-2</v>
      </c>
      <c r="AH2">
        <f t="shared" si="0"/>
        <v>0.98728944055949341</v>
      </c>
      <c r="AI2">
        <f t="shared" si="0"/>
        <v>0.38968795656683097</v>
      </c>
      <c r="AJ2">
        <f t="shared" si="0"/>
        <v>0</v>
      </c>
      <c r="AK2">
        <f t="shared" si="0"/>
        <v>7.0491089165443568E-2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</row>
    <row r="3" spans="1:44" x14ac:dyDescent="0.25">
      <c r="A3" s="15">
        <v>35430</v>
      </c>
      <c r="B3">
        <v>69.259947297382666</v>
      </c>
      <c r="C3">
        <v>52.311071312771965</v>
      </c>
      <c r="D3">
        <v>120.63002394083701</v>
      </c>
      <c r="E3">
        <v>58.834792121222769</v>
      </c>
      <c r="F3">
        <v>65.084105610473628</v>
      </c>
      <c r="G3">
        <v>79.125642753287138</v>
      </c>
      <c r="H3">
        <v>31.483583173415866</v>
      </c>
      <c r="I3">
        <v>44.7267749910337</v>
      </c>
      <c r="J3">
        <v>69.3818999527915</v>
      </c>
      <c r="K3">
        <v>0.67273735054240202</v>
      </c>
      <c r="L3">
        <v>88.333556060606099</v>
      </c>
      <c r="M3" s="16">
        <f>+'[3]VAR expectations'!C27</f>
        <v>2.8702283679431879</v>
      </c>
      <c r="N3">
        <v>0.3</v>
      </c>
      <c r="O3">
        <v>0.23646385967731501</v>
      </c>
      <c r="P3">
        <v>330</v>
      </c>
      <c r="Q3">
        <v>85</v>
      </c>
      <c r="R3">
        <v>359</v>
      </c>
      <c r="S3">
        <v>156</v>
      </c>
      <c r="T3">
        <v>35</v>
      </c>
      <c r="U3">
        <v>35</v>
      </c>
      <c r="V3">
        <f t="shared" si="1"/>
        <v>226</v>
      </c>
      <c r="X3">
        <f t="shared" si="2"/>
        <v>0.31049075124266778</v>
      </c>
      <c r="Y3">
        <f t="shared" si="0"/>
        <v>0.39413990378660202</v>
      </c>
      <c r="Z3">
        <f t="shared" si="0"/>
        <v>1.4021982473011008E-2</v>
      </c>
      <c r="AA3">
        <f t="shared" si="0"/>
        <v>-0.28751984929920127</v>
      </c>
      <c r="AB3">
        <f t="shared" si="0"/>
        <v>-0.80792622985714502</v>
      </c>
      <c r="AC3">
        <f t="shared" si="0"/>
        <v>0.13639523325517189</v>
      </c>
      <c r="AD3">
        <f t="shared" si="0"/>
        <v>0.55375243594670209</v>
      </c>
      <c r="AE3">
        <f t="shared" si="0"/>
        <v>1.3805083749918623</v>
      </c>
      <c r="AF3">
        <f t="shared" si="0"/>
        <v>0.39057780855570456</v>
      </c>
      <c r="AG3">
        <f t="shared" si="0"/>
        <v>-9.1260984362440123E-3</v>
      </c>
      <c r="AH3">
        <f t="shared" si="0"/>
        <v>5.4640696969697018</v>
      </c>
      <c r="AI3">
        <f t="shared" si="0"/>
        <v>0.22737211934362334</v>
      </c>
      <c r="AJ3">
        <f t="shared" si="0"/>
        <v>0</v>
      </c>
      <c r="AK3">
        <f t="shared" si="0"/>
        <v>0.1657216474413874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</row>
    <row r="4" spans="1:44" x14ac:dyDescent="0.25">
      <c r="A4" s="15">
        <v>35520</v>
      </c>
      <c r="B4">
        <v>69.656172144574199</v>
      </c>
      <c r="C4">
        <v>52.833527081934562</v>
      </c>
      <c r="D4">
        <v>120.51831953602668</v>
      </c>
      <c r="E4">
        <v>59.076250344490298</v>
      </c>
      <c r="F4">
        <v>65.240899062162541</v>
      </c>
      <c r="G4">
        <v>78.957703138344769</v>
      </c>
      <c r="H4">
        <v>32.032941374691468</v>
      </c>
      <c r="I4">
        <v>45.328295668909</v>
      </c>
      <c r="J4">
        <v>69.587124046145405</v>
      </c>
      <c r="K4">
        <v>0.64938685118057304</v>
      </c>
      <c r="L4">
        <v>92.820320312500002</v>
      </c>
      <c r="M4" s="16">
        <f>+'[3]VAR expectations'!C28</f>
        <v>2.9134956808346839</v>
      </c>
      <c r="N4">
        <v>0.32542978632096897</v>
      </c>
      <c r="O4">
        <v>2.3357266560196901E-2</v>
      </c>
      <c r="P4">
        <v>330</v>
      </c>
      <c r="Q4">
        <v>87</v>
      </c>
      <c r="R4">
        <v>360</v>
      </c>
      <c r="S4">
        <v>152</v>
      </c>
      <c r="T4">
        <v>35</v>
      </c>
      <c r="U4">
        <v>36</v>
      </c>
      <c r="V4">
        <f t="shared" si="1"/>
        <v>223</v>
      </c>
      <c r="X4">
        <f t="shared" si="2"/>
        <v>0.39622484719153306</v>
      </c>
      <c r="Y4">
        <f t="shared" si="0"/>
        <v>0.52245576916259751</v>
      </c>
      <c r="Z4">
        <f t="shared" si="0"/>
        <v>-0.11170440481032529</v>
      </c>
      <c r="AA4">
        <f t="shared" si="0"/>
        <v>0.24145822326752864</v>
      </c>
      <c r="AB4">
        <f t="shared" si="0"/>
        <v>0.15679345168891246</v>
      </c>
      <c r="AC4">
        <f t="shared" si="0"/>
        <v>-0.16793961494236953</v>
      </c>
      <c r="AD4">
        <f t="shared" si="0"/>
        <v>0.5493582012756022</v>
      </c>
      <c r="AE4">
        <f t="shared" si="0"/>
        <v>0.60152067787529973</v>
      </c>
      <c r="AF4">
        <f t="shared" si="0"/>
        <v>0.20522409335390535</v>
      </c>
      <c r="AG4">
        <f t="shared" si="0"/>
        <v>-2.335049936182898E-2</v>
      </c>
      <c r="AH4">
        <f t="shared" si="0"/>
        <v>4.4867642518939022</v>
      </c>
      <c r="AI4">
        <f t="shared" si="0"/>
        <v>8.4202760146990574E-2</v>
      </c>
      <c r="AJ4">
        <f t="shared" si="0"/>
        <v>2.5429786320968983E-2</v>
      </c>
      <c r="AK4">
        <f t="shared" si="0"/>
        <v>-0.2131065931171181</v>
      </c>
      <c r="AL4">
        <f t="shared" si="0"/>
        <v>0</v>
      </c>
      <c r="AM4">
        <f t="shared" si="0"/>
        <v>2</v>
      </c>
      <c r="AN4">
        <f t="shared" si="0"/>
        <v>1</v>
      </c>
      <c r="AO4">
        <f t="shared" si="0"/>
        <v>-4</v>
      </c>
      <c r="AP4">
        <f t="shared" si="0"/>
        <v>0</v>
      </c>
      <c r="AQ4">
        <f t="shared" si="0"/>
        <v>1</v>
      </c>
      <c r="AR4">
        <f t="shared" si="0"/>
        <v>-3</v>
      </c>
    </row>
    <row r="5" spans="1:44" x14ac:dyDescent="0.25">
      <c r="A5" s="15">
        <v>35611</v>
      </c>
      <c r="B5">
        <v>69.818827320614488</v>
      </c>
      <c r="C5">
        <v>53.331404584016006</v>
      </c>
      <c r="D5">
        <v>120.310188362095</v>
      </c>
      <c r="E5">
        <v>59.375031266633805</v>
      </c>
      <c r="F5">
        <v>65.408499895120499</v>
      </c>
      <c r="G5">
        <v>79.267965073223266</v>
      </c>
      <c r="H5">
        <v>32.549626728659469</v>
      </c>
      <c r="I5">
        <v>44.445946493019299</v>
      </c>
      <c r="J5">
        <v>69.77956219056</v>
      </c>
      <c r="K5">
        <v>0.63898761329940501</v>
      </c>
      <c r="L5">
        <v>95.131486153846197</v>
      </c>
      <c r="M5" s="16">
        <f>+'[3]VAR expectations'!C29</f>
        <v>2.9508797810805625</v>
      </c>
      <c r="N5">
        <v>0.25613509932256301</v>
      </c>
      <c r="O5">
        <v>-6.6622115671634702E-2</v>
      </c>
      <c r="P5">
        <v>330</v>
      </c>
      <c r="Q5">
        <v>87</v>
      </c>
      <c r="R5">
        <v>360</v>
      </c>
      <c r="S5">
        <v>152</v>
      </c>
      <c r="T5">
        <v>35</v>
      </c>
      <c r="U5">
        <v>36</v>
      </c>
      <c r="V5">
        <f t="shared" si="1"/>
        <v>223</v>
      </c>
      <c r="X5">
        <f t="shared" si="2"/>
        <v>0.16265517604028901</v>
      </c>
      <c r="Y5">
        <f t="shared" si="0"/>
        <v>0.49787750208144388</v>
      </c>
      <c r="Z5">
        <f t="shared" si="0"/>
        <v>-0.20813117393167602</v>
      </c>
      <c r="AA5">
        <f t="shared" si="0"/>
        <v>0.29878092214350715</v>
      </c>
      <c r="AB5">
        <f t="shared" si="0"/>
        <v>0.1676008329579588</v>
      </c>
      <c r="AC5">
        <f t="shared" si="0"/>
        <v>0.31026193487849696</v>
      </c>
      <c r="AD5">
        <f t="shared" si="0"/>
        <v>0.51668535396800053</v>
      </c>
      <c r="AE5">
        <f t="shared" si="0"/>
        <v>-0.88234917588970063</v>
      </c>
      <c r="AF5">
        <f t="shared" si="0"/>
        <v>0.19243814441459506</v>
      </c>
      <c r="AG5">
        <f t="shared" si="0"/>
        <v>-1.0399237881168033E-2</v>
      </c>
      <c r="AH5">
        <f t="shared" si="0"/>
        <v>2.3111658413461953</v>
      </c>
      <c r="AI5">
        <f t="shared" si="0"/>
        <v>0.1680700702561615</v>
      </c>
      <c r="AJ5">
        <f t="shared" si="0"/>
        <v>-6.9294686998405963E-2</v>
      </c>
      <c r="AK5">
        <f t="shared" si="0"/>
        <v>-8.9979382231831606E-2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</row>
    <row r="6" spans="1:44" x14ac:dyDescent="0.25">
      <c r="A6" s="15">
        <v>35703</v>
      </c>
      <c r="B6">
        <v>70.281779806161396</v>
      </c>
      <c r="C6">
        <v>53.831610222106065</v>
      </c>
      <c r="D6">
        <v>120.33884823031001</v>
      </c>
      <c r="E6">
        <v>59.894854455189403</v>
      </c>
      <c r="F6">
        <v>65.91284178230616</v>
      </c>
      <c r="G6">
        <v>79.394793740428895</v>
      </c>
      <c r="H6">
        <v>33.304621200313029</v>
      </c>
      <c r="I6">
        <v>45.375545582595635</v>
      </c>
      <c r="J6">
        <v>70.337384241348005</v>
      </c>
      <c r="K6">
        <v>0.63319365618204004</v>
      </c>
      <c r="L6">
        <v>97.471460606060603</v>
      </c>
      <c r="M6" s="16">
        <f>+'[3]VAR expectations'!C30</f>
        <v>2.8381939548016515</v>
      </c>
      <c r="N6">
        <v>0.39400900071781603</v>
      </c>
      <c r="O6">
        <v>0.20520694553852101</v>
      </c>
      <c r="P6">
        <v>330</v>
      </c>
      <c r="Q6">
        <v>87</v>
      </c>
      <c r="R6">
        <v>360</v>
      </c>
      <c r="S6">
        <v>152</v>
      </c>
      <c r="T6">
        <v>35</v>
      </c>
      <c r="U6">
        <v>36</v>
      </c>
      <c r="V6">
        <f t="shared" si="1"/>
        <v>223</v>
      </c>
      <c r="X6">
        <f t="shared" si="2"/>
        <v>0.46295248554690716</v>
      </c>
      <c r="Y6">
        <f t="shared" si="0"/>
        <v>0.50020563809005836</v>
      </c>
      <c r="Z6">
        <f t="shared" si="0"/>
        <v>2.8659868215001438E-2</v>
      </c>
      <c r="AA6">
        <f t="shared" si="0"/>
        <v>0.51982318855559839</v>
      </c>
      <c r="AB6">
        <f t="shared" si="0"/>
        <v>0.5043418871856602</v>
      </c>
      <c r="AC6">
        <f t="shared" si="0"/>
        <v>0.12682866720562913</v>
      </c>
      <c r="AD6">
        <f t="shared" si="0"/>
        <v>0.75499447165356059</v>
      </c>
      <c r="AE6">
        <f t="shared" si="0"/>
        <v>0.9295990895763353</v>
      </c>
      <c r="AF6">
        <f t="shared" si="0"/>
        <v>0.55782205078800473</v>
      </c>
      <c r="AG6">
        <f t="shared" si="0"/>
        <v>-5.7939571173649673E-3</v>
      </c>
      <c r="AH6">
        <f t="shared" si="0"/>
        <v>2.3399744522144061</v>
      </c>
      <c r="AI6">
        <f t="shared" si="0"/>
        <v>-6.6817593229970829E-2</v>
      </c>
      <c r="AJ6">
        <f t="shared" si="0"/>
        <v>0.13787390139525302</v>
      </c>
      <c r="AK6">
        <f t="shared" si="0"/>
        <v>0.27182906121015571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</row>
    <row r="7" spans="1:44" x14ac:dyDescent="0.25">
      <c r="A7" s="15">
        <v>35795</v>
      </c>
      <c r="B7">
        <v>70.534190606333013</v>
      </c>
      <c r="C7">
        <v>54.3557598582004</v>
      </c>
      <c r="D7">
        <v>120.137475565896</v>
      </c>
      <c r="E7">
        <v>60.113280542367164</v>
      </c>
      <c r="F7">
        <v>65.8557702922663</v>
      </c>
      <c r="G7">
        <v>79.329518514698592</v>
      </c>
      <c r="H7">
        <v>34.107615541725302</v>
      </c>
      <c r="I7">
        <v>45.165943591837305</v>
      </c>
      <c r="J7">
        <v>70.608567754153796</v>
      </c>
      <c r="K7">
        <v>0.63128999906948902</v>
      </c>
      <c r="L7">
        <v>98.626171212121207</v>
      </c>
      <c r="M7" s="16">
        <f>+'[3]VAR expectations'!C31</f>
        <v>2.8297561485681602</v>
      </c>
      <c r="N7">
        <v>8.2296484534251493E-2</v>
      </c>
      <c r="O7">
        <v>-7.6698243618011502E-2</v>
      </c>
      <c r="P7">
        <v>330</v>
      </c>
      <c r="Q7">
        <v>87</v>
      </c>
      <c r="R7">
        <v>360</v>
      </c>
      <c r="S7">
        <v>152</v>
      </c>
      <c r="T7">
        <v>35</v>
      </c>
      <c r="U7">
        <v>36</v>
      </c>
      <c r="V7">
        <f t="shared" si="1"/>
        <v>223</v>
      </c>
      <c r="X7">
        <f t="shared" si="2"/>
        <v>0.25241080017161721</v>
      </c>
      <c r="Y7">
        <f t="shared" si="0"/>
        <v>0.52414963609433585</v>
      </c>
      <c r="Z7">
        <f t="shared" si="0"/>
        <v>-0.20137266441400925</v>
      </c>
      <c r="AA7">
        <f t="shared" si="0"/>
        <v>0.21842608717776102</v>
      </c>
      <c r="AB7">
        <f t="shared" si="0"/>
        <v>-5.7071490039859896E-2</v>
      </c>
      <c r="AC7">
        <f t="shared" si="0"/>
        <v>-6.5275225730303532E-2</v>
      </c>
      <c r="AD7">
        <f t="shared" si="0"/>
        <v>0.80299434141227266</v>
      </c>
      <c r="AE7">
        <f t="shared" si="0"/>
        <v>-0.20960199075832975</v>
      </c>
      <c r="AF7">
        <f t="shared" si="0"/>
        <v>0.27118351280579134</v>
      </c>
      <c r="AG7">
        <f t="shared" si="0"/>
        <v>-1.9036571125510271E-3</v>
      </c>
      <c r="AH7">
        <f t="shared" si="0"/>
        <v>1.1547106060606041</v>
      </c>
      <c r="AI7">
        <f t="shared" si="0"/>
        <v>-0.35002656118558972</v>
      </c>
      <c r="AJ7">
        <f t="shared" si="0"/>
        <v>-0.31171251618356455</v>
      </c>
      <c r="AK7">
        <f t="shared" si="0"/>
        <v>-0.28190518915653251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</row>
    <row r="8" spans="1:44" x14ac:dyDescent="0.25">
      <c r="A8" s="15">
        <v>35885</v>
      </c>
      <c r="B8">
        <v>70.7608317169408</v>
      </c>
      <c r="C8">
        <v>54.867317852625661</v>
      </c>
      <c r="D8">
        <v>119.84603007593834</v>
      </c>
      <c r="E8">
        <v>60.324796116075639</v>
      </c>
      <c r="F8">
        <v>65.556439010962166</v>
      </c>
      <c r="G8">
        <v>80.314829273702273</v>
      </c>
      <c r="H8">
        <v>35.043737560232664</v>
      </c>
      <c r="I8">
        <v>45.066788167537368</v>
      </c>
      <c r="J8">
        <v>70.691929419489099</v>
      </c>
      <c r="K8">
        <v>0.62538235592018598</v>
      </c>
      <c r="L8">
        <v>100.6106328125</v>
      </c>
      <c r="M8" s="16">
        <f>+'[3]VAR expectations'!C32</f>
        <v>2.9321854674737633</v>
      </c>
      <c r="N8">
        <v>-5.7532854062382399E-2</v>
      </c>
      <c r="O8">
        <v>-0.11486139148473699</v>
      </c>
      <c r="P8">
        <v>344</v>
      </c>
      <c r="Q8">
        <v>86</v>
      </c>
      <c r="R8">
        <v>358</v>
      </c>
      <c r="S8">
        <v>144</v>
      </c>
      <c r="T8">
        <v>32</v>
      </c>
      <c r="U8">
        <v>36</v>
      </c>
      <c r="V8">
        <f t="shared" si="1"/>
        <v>212</v>
      </c>
      <c r="X8">
        <f t="shared" si="2"/>
        <v>0.2266411106077868</v>
      </c>
      <c r="Y8">
        <f t="shared" si="0"/>
        <v>0.51155799442526018</v>
      </c>
      <c r="Z8">
        <f t="shared" si="0"/>
        <v>-0.29144548995765263</v>
      </c>
      <c r="AA8">
        <f t="shared" si="0"/>
        <v>0.21151557370847485</v>
      </c>
      <c r="AB8">
        <f t="shared" si="0"/>
        <v>-0.29933128130413422</v>
      </c>
      <c r="AC8">
        <f t="shared" si="0"/>
        <v>0.98531075900368137</v>
      </c>
      <c r="AD8">
        <f t="shared" si="0"/>
        <v>0.93612201850736199</v>
      </c>
      <c r="AE8">
        <f t="shared" si="0"/>
        <v>-9.9155424299937067E-2</v>
      </c>
      <c r="AF8">
        <f t="shared" si="0"/>
        <v>8.3361665335303314E-2</v>
      </c>
      <c r="AG8">
        <f t="shared" si="0"/>
        <v>-5.9076431493030324E-3</v>
      </c>
      <c r="AH8">
        <f t="shared" si="0"/>
        <v>1.9844616003787934</v>
      </c>
      <c r="AI8">
        <f t="shared" si="0"/>
        <v>-0.51225361655151191</v>
      </c>
      <c r="AJ8">
        <f t="shared" si="0"/>
        <v>-0.13982933859663388</v>
      </c>
      <c r="AK8">
        <f t="shared" si="0"/>
        <v>-3.8163147866725491E-2</v>
      </c>
      <c r="AL8">
        <f t="shared" si="0"/>
        <v>14</v>
      </c>
      <c r="AM8">
        <f t="shared" si="0"/>
        <v>-1</v>
      </c>
      <c r="AN8">
        <f t="shared" si="0"/>
        <v>-2</v>
      </c>
      <c r="AO8">
        <f t="shared" si="0"/>
        <v>-8</v>
      </c>
      <c r="AP8">
        <f t="shared" si="0"/>
        <v>-3</v>
      </c>
      <c r="AQ8">
        <f t="shared" si="0"/>
        <v>0</v>
      </c>
      <c r="AR8">
        <f t="shared" si="0"/>
        <v>-11</v>
      </c>
    </row>
    <row r="9" spans="1:44" x14ac:dyDescent="0.25">
      <c r="A9" s="15">
        <v>35976</v>
      </c>
      <c r="B9">
        <v>71.100692129748865</v>
      </c>
      <c r="C9">
        <v>55.376840634027332</v>
      </c>
      <c r="D9">
        <v>119.471764844226</v>
      </c>
      <c r="E9">
        <v>60.759837540213304</v>
      </c>
      <c r="F9">
        <v>65.968165559058164</v>
      </c>
      <c r="G9">
        <v>80.69741780577624</v>
      </c>
      <c r="H9">
        <v>35.534825019560401</v>
      </c>
      <c r="I9">
        <v>45.512400795735267</v>
      </c>
      <c r="J9">
        <v>71.092690716499405</v>
      </c>
      <c r="K9">
        <v>0.61574060369241101</v>
      </c>
      <c r="L9">
        <v>100.512433846154</v>
      </c>
      <c r="M9" s="16">
        <f>+'[3]VAR expectations'!C33</f>
        <v>2.851780044136321</v>
      </c>
      <c r="N9">
        <v>0.21318487209665199</v>
      </c>
      <c r="O9">
        <v>0.20608988404274001</v>
      </c>
      <c r="P9">
        <v>344</v>
      </c>
      <c r="Q9">
        <v>86</v>
      </c>
      <c r="R9">
        <v>358</v>
      </c>
      <c r="S9">
        <v>144</v>
      </c>
      <c r="T9">
        <v>32</v>
      </c>
      <c r="U9">
        <v>36</v>
      </c>
      <c r="V9">
        <f t="shared" si="1"/>
        <v>212</v>
      </c>
      <c r="X9">
        <f t="shared" si="2"/>
        <v>0.33986041280806489</v>
      </c>
      <c r="Y9">
        <f t="shared" si="0"/>
        <v>0.50952278140167095</v>
      </c>
      <c r="Z9">
        <f t="shared" si="0"/>
        <v>-0.37426523171234294</v>
      </c>
      <c r="AA9">
        <f t="shared" si="0"/>
        <v>0.43504142413766544</v>
      </c>
      <c r="AB9">
        <f t="shared" si="0"/>
        <v>0.41172654809599862</v>
      </c>
      <c r="AC9">
        <f t="shared" si="0"/>
        <v>0.38258853207396726</v>
      </c>
      <c r="AD9">
        <f t="shared" si="0"/>
        <v>0.49108745932773701</v>
      </c>
      <c r="AE9">
        <f t="shared" si="0"/>
        <v>0.4456126281978996</v>
      </c>
      <c r="AF9">
        <f t="shared" si="0"/>
        <v>0.40076129701030538</v>
      </c>
      <c r="AG9">
        <f t="shared" si="0"/>
        <v>-9.641752227774969E-3</v>
      </c>
      <c r="AH9">
        <f t="shared" si="0"/>
        <v>-9.8198966346004113E-2</v>
      </c>
      <c r="AI9">
        <f t="shared" si="0"/>
        <v>-0.38533391934339134</v>
      </c>
      <c r="AJ9">
        <f t="shared" si="0"/>
        <v>0.27071772615903439</v>
      </c>
      <c r="AK9">
        <f t="shared" si="0"/>
        <v>0.32095127552747699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</row>
    <row r="10" spans="1:44" x14ac:dyDescent="0.25">
      <c r="A10" s="15">
        <v>36068</v>
      </c>
      <c r="B10">
        <v>71.255609421750464</v>
      </c>
      <c r="C10">
        <v>55.834494062716864</v>
      </c>
      <c r="D10">
        <v>118.95366575846867</v>
      </c>
      <c r="E10">
        <v>61.32656451816981</v>
      </c>
      <c r="F10">
        <v>66.599884378909437</v>
      </c>
      <c r="G10">
        <v>81.111237273143601</v>
      </c>
      <c r="H10">
        <v>36.009377724459029</v>
      </c>
      <c r="I10">
        <v>45.240117527977468</v>
      </c>
      <c r="J10">
        <v>71.320297912354405</v>
      </c>
      <c r="K10">
        <v>0.61194660690414404</v>
      </c>
      <c r="L10">
        <v>100.14717121212099</v>
      </c>
      <c r="M10" s="16">
        <f>+'[3]VAR expectations'!C34</f>
        <v>2.6821380894467257</v>
      </c>
      <c r="N10">
        <v>-2.0958848262692498E-2</v>
      </c>
      <c r="O10">
        <v>-2.9661141335964199E-2</v>
      </c>
      <c r="P10">
        <v>344</v>
      </c>
      <c r="Q10">
        <v>86</v>
      </c>
      <c r="R10">
        <v>358</v>
      </c>
      <c r="S10">
        <v>144</v>
      </c>
      <c r="T10">
        <v>32</v>
      </c>
      <c r="U10">
        <v>36</v>
      </c>
      <c r="V10">
        <f t="shared" si="1"/>
        <v>212</v>
      </c>
      <c r="X10">
        <f t="shared" si="2"/>
        <v>0.15491729200159909</v>
      </c>
      <c r="Y10">
        <f t="shared" si="0"/>
        <v>0.4576534286895324</v>
      </c>
      <c r="Z10">
        <f t="shared" si="0"/>
        <v>-0.51809908575732777</v>
      </c>
      <c r="AA10">
        <f t="shared" si="0"/>
        <v>0.56672697795650606</v>
      </c>
      <c r="AB10">
        <f t="shared" ref="AB10:AB73" si="3">F10-F148</f>
        <v>0.63171881985127243</v>
      </c>
      <c r="AC10">
        <f t="shared" ref="AC10:AC73" si="4">G10-G148</f>
        <v>0.41381946736736097</v>
      </c>
      <c r="AD10">
        <f t="shared" ref="AD10:AD73" si="5">H10-H148</f>
        <v>0.47455270489862755</v>
      </c>
      <c r="AE10">
        <f t="shared" ref="AE10:AE73" si="6">I10-I148</f>
        <v>-0.27228326775779976</v>
      </c>
      <c r="AF10">
        <f t="shared" ref="AF10:AF73" si="7">J10-J148</f>
        <v>0.22760719585500055</v>
      </c>
      <c r="AG10">
        <f t="shared" ref="AG10:AG73" si="8">K10-K148</f>
        <v>-3.7939967882669734E-3</v>
      </c>
      <c r="AH10">
        <f t="shared" ref="AH10:AH73" si="9">L10-L148</f>
        <v>-0.36526263403300163</v>
      </c>
      <c r="AI10">
        <f t="shared" ref="AI10:AI73" si="10">M10-M148</f>
        <v>-0.66826357700541772</v>
      </c>
      <c r="AJ10">
        <f t="shared" ref="AJ10:AJ73" si="11">N10-N148</f>
        <v>-0.2341437203593445</v>
      </c>
      <c r="AK10">
        <f t="shared" ref="AK10:AK73" si="12">O10-O148</f>
        <v>-0.23575102537870421</v>
      </c>
      <c r="AL10">
        <f t="shared" ref="AL10:AL73" si="13">P10-P148</f>
        <v>0</v>
      </c>
      <c r="AM10">
        <f t="shared" ref="AM10:AM73" si="14">Q10-Q148</f>
        <v>0</v>
      </c>
      <c r="AN10">
        <f t="shared" ref="AN10:AN73" si="15">R10-R148</f>
        <v>0</v>
      </c>
      <c r="AO10">
        <f t="shared" ref="AO10:AO73" si="16">S10-S148</f>
        <v>0</v>
      </c>
      <c r="AP10">
        <f t="shared" ref="AP10:AP73" si="17">T10-T148</f>
        <v>0</v>
      </c>
      <c r="AQ10">
        <f t="shared" ref="AQ10:AQ73" si="18">U10-U148</f>
        <v>0</v>
      </c>
      <c r="AR10">
        <f t="shared" ref="AR10:AR73" si="19">V10-V148</f>
        <v>0</v>
      </c>
    </row>
    <row r="11" spans="1:44" x14ac:dyDescent="0.25">
      <c r="A11" s="15">
        <v>36160</v>
      </c>
      <c r="B11">
        <v>71.539883561847134</v>
      </c>
      <c r="C11">
        <v>56.342645165224134</v>
      </c>
      <c r="D11">
        <v>118.50979090512165</v>
      </c>
      <c r="E11">
        <v>61.798219499311834</v>
      </c>
      <c r="F11">
        <v>66.931585635713873</v>
      </c>
      <c r="G11">
        <v>81.345598400718799</v>
      </c>
      <c r="H11">
        <v>36.768433546815068</v>
      </c>
      <c r="I11">
        <v>45.182611283650935</v>
      </c>
      <c r="J11">
        <v>71.576719889480401</v>
      </c>
      <c r="K11">
        <v>0.615800780480114</v>
      </c>
      <c r="L11">
        <v>97.166321212121204</v>
      </c>
      <c r="M11" s="16">
        <f>+'[3]VAR expectations'!C35</f>
        <v>3.0527221681668375</v>
      </c>
      <c r="N11">
        <v>-3.8943111691064898E-3</v>
      </c>
      <c r="O11">
        <v>-5.8732811361551299E-2</v>
      </c>
      <c r="P11">
        <v>344</v>
      </c>
      <c r="Q11">
        <v>86</v>
      </c>
      <c r="R11">
        <v>358</v>
      </c>
      <c r="S11">
        <v>144</v>
      </c>
      <c r="T11">
        <v>32</v>
      </c>
      <c r="U11">
        <v>36</v>
      </c>
      <c r="V11">
        <f t="shared" si="1"/>
        <v>212</v>
      </c>
      <c r="X11">
        <f t="shared" si="2"/>
        <v>0.28427414009667018</v>
      </c>
      <c r="Y11">
        <f t="shared" ref="Y11:Y74" si="20">C11-C149</f>
        <v>0.50815110250727002</v>
      </c>
      <c r="Z11">
        <f t="shared" ref="Z11:Z74" si="21">D11-D149</f>
        <v>-0.44387485334702603</v>
      </c>
      <c r="AA11">
        <f t="shared" ref="AA11:AA74" si="22">E11-E149</f>
        <v>0.47165498114202364</v>
      </c>
      <c r="AB11">
        <f t="shared" si="3"/>
        <v>0.33170125680443618</v>
      </c>
      <c r="AC11">
        <f t="shared" si="4"/>
        <v>0.23436112757519822</v>
      </c>
      <c r="AD11">
        <f t="shared" si="5"/>
        <v>0.7590558223560393</v>
      </c>
      <c r="AE11">
        <f t="shared" si="6"/>
        <v>-5.7506244326532396E-2</v>
      </c>
      <c r="AF11">
        <f t="shared" si="7"/>
        <v>0.25642197712599568</v>
      </c>
      <c r="AG11">
        <f t="shared" si="8"/>
        <v>3.8541735759699547E-3</v>
      </c>
      <c r="AH11">
        <f t="shared" si="9"/>
        <v>-2.9808499999997906</v>
      </c>
      <c r="AI11">
        <f t="shared" si="10"/>
        <v>-0.38278712423145267</v>
      </c>
      <c r="AJ11">
        <f t="shared" si="11"/>
        <v>1.7064537093586008E-2</v>
      </c>
      <c r="AK11">
        <f t="shared" si="12"/>
        <v>-2.9071670025587099E-2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  <c r="AP11">
        <f t="shared" si="17"/>
        <v>0</v>
      </c>
      <c r="AQ11">
        <f t="shared" si="18"/>
        <v>0</v>
      </c>
      <c r="AR11">
        <f t="shared" si="19"/>
        <v>0</v>
      </c>
    </row>
    <row r="12" spans="1:44" x14ac:dyDescent="0.25">
      <c r="A12" s="15">
        <v>36250</v>
      </c>
      <c r="B12">
        <v>71.869448362919044</v>
      </c>
      <c r="C12">
        <v>56.820337302049928</v>
      </c>
      <c r="D12">
        <v>117.91126120930566</v>
      </c>
      <c r="E12">
        <v>62.464147948596434</v>
      </c>
      <c r="F12">
        <v>67.238659277963379</v>
      </c>
      <c r="G12">
        <v>81.576404148116524</v>
      </c>
      <c r="H12">
        <v>38.383741142268867</v>
      </c>
      <c r="I12">
        <v>45.605839036949533</v>
      </c>
      <c r="J12">
        <v>71.807723859994795</v>
      </c>
      <c r="K12">
        <v>0.61208261764455096</v>
      </c>
      <c r="L12">
        <v>97.283789062500006</v>
      </c>
      <c r="M12" s="16">
        <f>+'[3]VAR expectations'!C36</f>
        <v>2.8151174291133074</v>
      </c>
      <c r="N12">
        <v>9.5197607719880006E-2</v>
      </c>
      <c r="O12">
        <v>-1.5952862799167598E-2</v>
      </c>
      <c r="P12">
        <v>341</v>
      </c>
      <c r="Q12">
        <v>83</v>
      </c>
      <c r="R12">
        <v>372</v>
      </c>
      <c r="S12">
        <v>141</v>
      </c>
      <c r="T12">
        <v>30</v>
      </c>
      <c r="U12">
        <v>33</v>
      </c>
      <c r="V12">
        <f t="shared" si="1"/>
        <v>204</v>
      </c>
      <c r="X12">
        <f t="shared" si="2"/>
        <v>0.32956480107191055</v>
      </c>
      <c r="Y12">
        <f t="shared" si="20"/>
        <v>0.47769213682579448</v>
      </c>
      <c r="Z12">
        <f t="shared" si="21"/>
        <v>-0.59852969581598359</v>
      </c>
      <c r="AA12">
        <f t="shared" si="22"/>
        <v>0.66592844928459982</v>
      </c>
      <c r="AB12">
        <f t="shared" si="3"/>
        <v>0.30707364224950595</v>
      </c>
      <c r="AC12">
        <f t="shared" si="4"/>
        <v>0.2308057473977243</v>
      </c>
      <c r="AD12">
        <f t="shared" si="5"/>
        <v>1.6153075954537996</v>
      </c>
      <c r="AE12">
        <f t="shared" si="6"/>
        <v>0.42322775329859752</v>
      </c>
      <c r="AF12">
        <f t="shared" si="7"/>
        <v>0.23100397051439359</v>
      </c>
      <c r="AG12">
        <f t="shared" si="8"/>
        <v>-3.7181628355630325E-3</v>
      </c>
      <c r="AH12">
        <f t="shared" si="9"/>
        <v>0.11746785037880159</v>
      </c>
      <c r="AI12">
        <f t="shared" si="10"/>
        <v>-0.21672923158257396</v>
      </c>
      <c r="AJ12">
        <f t="shared" si="11"/>
        <v>9.9091918888986497E-2</v>
      </c>
      <c r="AK12">
        <f t="shared" si="12"/>
        <v>4.27799485623837E-2</v>
      </c>
      <c r="AL12">
        <f t="shared" si="13"/>
        <v>-3</v>
      </c>
      <c r="AM12">
        <f t="shared" si="14"/>
        <v>-3</v>
      </c>
      <c r="AN12">
        <f t="shared" si="15"/>
        <v>14</v>
      </c>
      <c r="AO12">
        <f t="shared" si="16"/>
        <v>-3</v>
      </c>
      <c r="AP12">
        <f t="shared" si="17"/>
        <v>-2</v>
      </c>
      <c r="AQ12">
        <f t="shared" si="18"/>
        <v>-3</v>
      </c>
      <c r="AR12">
        <f t="shared" si="19"/>
        <v>-8</v>
      </c>
    </row>
    <row r="13" spans="1:44" x14ac:dyDescent="0.25">
      <c r="A13" s="15">
        <v>36341</v>
      </c>
      <c r="B13">
        <v>72.089045435709679</v>
      </c>
      <c r="C13">
        <v>57.315645524914736</v>
      </c>
      <c r="D13">
        <v>117.102020370133</v>
      </c>
      <c r="E13">
        <v>62.327610240975297</v>
      </c>
      <c r="F13">
        <v>66.571844762680328</v>
      </c>
      <c r="G13">
        <v>81.622908379807555</v>
      </c>
      <c r="H13">
        <v>39.566559269054331</v>
      </c>
      <c r="I13">
        <v>46.924886016740267</v>
      </c>
      <c r="J13">
        <v>72.102603654941007</v>
      </c>
      <c r="K13">
        <v>0.60729455707630897</v>
      </c>
      <c r="L13">
        <v>99.140043076923106</v>
      </c>
      <c r="M13" s="16">
        <f>+'[3]VAR expectations'!C37</f>
        <v>2.6154884948264598</v>
      </c>
      <c r="N13">
        <v>0.27359049641299199</v>
      </c>
      <c r="O13">
        <v>0.380440324544907</v>
      </c>
      <c r="P13">
        <v>341</v>
      </c>
      <c r="Q13">
        <v>83</v>
      </c>
      <c r="R13">
        <v>372</v>
      </c>
      <c r="S13">
        <v>141</v>
      </c>
      <c r="T13">
        <v>30</v>
      </c>
      <c r="U13">
        <v>33</v>
      </c>
      <c r="V13">
        <f t="shared" si="1"/>
        <v>204</v>
      </c>
      <c r="X13">
        <f t="shared" si="2"/>
        <v>0.21959707279063423</v>
      </c>
      <c r="Y13">
        <f t="shared" si="20"/>
        <v>0.49530822286480714</v>
      </c>
      <c r="Z13">
        <f t="shared" si="21"/>
        <v>-0.80924083917265932</v>
      </c>
      <c r="AA13">
        <f t="shared" si="22"/>
        <v>-0.13653770762113737</v>
      </c>
      <c r="AB13">
        <f t="shared" si="3"/>
        <v>-0.66681451528305047</v>
      </c>
      <c r="AC13">
        <f t="shared" si="4"/>
        <v>4.650423169103135E-2</v>
      </c>
      <c r="AD13">
        <f t="shared" si="5"/>
        <v>1.1828181267854632</v>
      </c>
      <c r="AE13">
        <f t="shared" si="6"/>
        <v>1.319046979790734</v>
      </c>
      <c r="AF13">
        <f t="shared" si="7"/>
        <v>0.29487979494621186</v>
      </c>
      <c r="AG13">
        <f t="shared" si="8"/>
        <v>-4.7880605682419919E-3</v>
      </c>
      <c r="AH13">
        <f t="shared" si="9"/>
        <v>1.8562540144231008</v>
      </c>
      <c r="AI13">
        <f t="shared" si="10"/>
        <v>-0.29802398025061594</v>
      </c>
      <c r="AJ13">
        <f t="shared" si="11"/>
        <v>0.17839288869311198</v>
      </c>
      <c r="AK13">
        <f t="shared" si="12"/>
        <v>0.39639318734407458</v>
      </c>
      <c r="AL13">
        <f t="shared" si="13"/>
        <v>0</v>
      </c>
      <c r="AM13">
        <f t="shared" si="14"/>
        <v>0</v>
      </c>
      <c r="AN13">
        <f t="shared" si="15"/>
        <v>0</v>
      </c>
      <c r="AO13">
        <f t="shared" si="16"/>
        <v>0</v>
      </c>
      <c r="AP13">
        <f t="shared" si="17"/>
        <v>0</v>
      </c>
      <c r="AQ13">
        <f t="shared" si="18"/>
        <v>0</v>
      </c>
      <c r="AR13">
        <f t="shared" si="19"/>
        <v>0</v>
      </c>
    </row>
    <row r="14" spans="1:44" x14ac:dyDescent="0.25">
      <c r="A14" s="15">
        <v>36433</v>
      </c>
      <c r="B14">
        <v>72.125395078804502</v>
      </c>
      <c r="C14">
        <v>57.725891052138103</v>
      </c>
      <c r="D14">
        <v>116.21646773960333</v>
      </c>
      <c r="E14">
        <v>62.26600590101333</v>
      </c>
      <c r="F14">
        <v>65.966078638823205</v>
      </c>
      <c r="G14">
        <v>81.70027643685718</v>
      </c>
      <c r="H14">
        <v>40.694457856544737</v>
      </c>
      <c r="I14">
        <v>47.676146770894739</v>
      </c>
      <c r="J14">
        <v>72.187039044239896</v>
      </c>
      <c r="K14">
        <v>0.61019911719025599</v>
      </c>
      <c r="L14">
        <v>98.754672727272705</v>
      </c>
      <c r="M14" s="16">
        <f>+'[3]VAR expectations'!C38</f>
        <v>2.6428562485995646</v>
      </c>
      <c r="N14">
        <v>0.45287391151197798</v>
      </c>
      <c r="O14">
        <v>0.14683547616004899</v>
      </c>
      <c r="P14">
        <v>341</v>
      </c>
      <c r="Q14">
        <v>83</v>
      </c>
      <c r="R14">
        <v>372</v>
      </c>
      <c r="S14">
        <v>141</v>
      </c>
      <c r="T14">
        <v>30</v>
      </c>
      <c r="U14">
        <v>33</v>
      </c>
      <c r="V14">
        <f t="shared" si="1"/>
        <v>204</v>
      </c>
      <c r="X14">
        <f t="shared" si="2"/>
        <v>3.6349643094823136E-2</v>
      </c>
      <c r="Y14">
        <f t="shared" si="20"/>
        <v>0.41024552722336693</v>
      </c>
      <c r="Z14">
        <f t="shared" si="21"/>
        <v>-0.88555263052967348</v>
      </c>
      <c r="AA14">
        <f t="shared" si="22"/>
        <v>-6.1604339961967014E-2</v>
      </c>
      <c r="AB14">
        <f t="shared" si="3"/>
        <v>-0.60576612385712281</v>
      </c>
      <c r="AC14">
        <f t="shared" si="4"/>
        <v>7.7368057049625349E-2</v>
      </c>
      <c r="AD14">
        <f t="shared" si="5"/>
        <v>1.1278985874904066</v>
      </c>
      <c r="AE14">
        <f t="shared" si="6"/>
        <v>0.75126075415447247</v>
      </c>
      <c r="AF14">
        <f t="shared" si="7"/>
        <v>8.4435389298889163E-2</v>
      </c>
      <c r="AG14">
        <f t="shared" si="8"/>
        <v>2.904560113947019E-3</v>
      </c>
      <c r="AH14">
        <f t="shared" si="9"/>
        <v>-0.38537034965040107</v>
      </c>
      <c r="AI14">
        <f t="shared" si="10"/>
        <v>-0.14111612236867677</v>
      </c>
      <c r="AJ14">
        <f t="shared" si="11"/>
        <v>0.17928341509898599</v>
      </c>
      <c r="AK14">
        <f t="shared" si="12"/>
        <v>-0.23360484838485801</v>
      </c>
      <c r="AL14">
        <f t="shared" si="13"/>
        <v>0</v>
      </c>
      <c r="AM14">
        <f t="shared" si="14"/>
        <v>0</v>
      </c>
      <c r="AN14">
        <f t="shared" si="15"/>
        <v>0</v>
      </c>
      <c r="AO14">
        <f t="shared" si="16"/>
        <v>0</v>
      </c>
      <c r="AP14">
        <f t="shared" si="17"/>
        <v>0</v>
      </c>
      <c r="AQ14">
        <f t="shared" si="18"/>
        <v>0</v>
      </c>
      <c r="AR14">
        <f t="shared" si="19"/>
        <v>0</v>
      </c>
    </row>
    <row r="15" spans="1:44" x14ac:dyDescent="0.25">
      <c r="A15" s="15">
        <v>36525</v>
      </c>
      <c r="B15">
        <v>72.359803406135839</v>
      </c>
      <c r="C15">
        <v>58.260597172429392</v>
      </c>
      <c r="D15">
        <v>115.11724534960399</v>
      </c>
      <c r="E15">
        <v>62.425190149027202</v>
      </c>
      <c r="F15">
        <v>66.000462650335422</v>
      </c>
      <c r="G15">
        <v>81.899917498004768</v>
      </c>
      <c r="H15">
        <v>41.070297940002668</v>
      </c>
      <c r="I15">
        <v>48.744128850988496</v>
      </c>
      <c r="J15">
        <v>72.375605300756106</v>
      </c>
      <c r="K15">
        <v>0.61022681521550604</v>
      </c>
      <c r="L15">
        <v>100.634428787879</v>
      </c>
      <c r="M15" s="16">
        <f>+'[3]VAR expectations'!C39</f>
        <v>2.8292929206876933</v>
      </c>
      <c r="N15">
        <v>0.64683941023249503</v>
      </c>
      <c r="O15">
        <v>0.13658648729324299</v>
      </c>
      <c r="P15">
        <v>341</v>
      </c>
      <c r="Q15">
        <v>83</v>
      </c>
      <c r="R15">
        <v>372</v>
      </c>
      <c r="S15">
        <v>141</v>
      </c>
      <c r="T15">
        <v>30</v>
      </c>
      <c r="U15">
        <v>33</v>
      </c>
      <c r="V15">
        <f t="shared" si="1"/>
        <v>204</v>
      </c>
      <c r="X15">
        <f t="shared" si="2"/>
        <v>0.23440832733133732</v>
      </c>
      <c r="Y15">
        <f t="shared" si="20"/>
        <v>0.53470612029128972</v>
      </c>
      <c r="Z15">
        <f t="shared" si="21"/>
        <v>-1.0992223899993405</v>
      </c>
      <c r="AA15">
        <f t="shared" si="22"/>
        <v>0.15918424801387232</v>
      </c>
      <c r="AB15">
        <f t="shared" si="3"/>
        <v>3.4384011512216262E-2</v>
      </c>
      <c r="AC15">
        <f t="shared" si="4"/>
        <v>0.19964106114758806</v>
      </c>
      <c r="AD15">
        <f t="shared" si="5"/>
        <v>0.37584008345793052</v>
      </c>
      <c r="AE15">
        <f t="shared" si="6"/>
        <v>1.0679820800937563</v>
      </c>
      <c r="AF15">
        <f t="shared" si="7"/>
        <v>0.18856625651621073</v>
      </c>
      <c r="AG15">
        <f t="shared" si="8"/>
        <v>2.7698025250044722E-5</v>
      </c>
      <c r="AH15">
        <f t="shared" si="9"/>
        <v>1.8797560606062973</v>
      </c>
      <c r="AI15">
        <f t="shared" si="10"/>
        <v>0.25215842125812049</v>
      </c>
      <c r="AJ15">
        <f t="shared" si="11"/>
        <v>0.19396549872051705</v>
      </c>
      <c r="AK15">
        <f t="shared" si="12"/>
        <v>-1.0248988866806003E-2</v>
      </c>
      <c r="AL15">
        <f t="shared" si="13"/>
        <v>0</v>
      </c>
      <c r="AM15">
        <f t="shared" si="14"/>
        <v>0</v>
      </c>
      <c r="AN15">
        <f t="shared" si="15"/>
        <v>0</v>
      </c>
      <c r="AO15">
        <f t="shared" si="16"/>
        <v>0</v>
      </c>
      <c r="AP15">
        <f t="shared" si="17"/>
        <v>0</v>
      </c>
      <c r="AQ15">
        <f t="shared" si="18"/>
        <v>0</v>
      </c>
      <c r="AR15">
        <f t="shared" si="19"/>
        <v>0</v>
      </c>
    </row>
    <row r="16" spans="1:44" x14ac:dyDescent="0.25">
      <c r="A16" s="15">
        <v>36616</v>
      </c>
      <c r="B16">
        <v>72.440743283146261</v>
      </c>
      <c r="C16">
        <v>58.772737337573631</v>
      </c>
      <c r="D16">
        <v>113.71050289670067</v>
      </c>
      <c r="E16">
        <v>62.294225732533363</v>
      </c>
      <c r="F16">
        <v>65.738951218719208</v>
      </c>
      <c r="G16">
        <v>81.953847149944593</v>
      </c>
      <c r="H16">
        <v>41.192698366617265</v>
      </c>
      <c r="I16">
        <v>50.014345022097928</v>
      </c>
      <c r="J16">
        <v>72.393686583097505</v>
      </c>
      <c r="K16">
        <v>0.61741448216996297</v>
      </c>
      <c r="L16">
        <v>102.291083076923</v>
      </c>
      <c r="M16" s="16">
        <f>+'[3]VAR expectations'!C40</f>
        <v>2.782809710824401</v>
      </c>
      <c r="N16">
        <v>0.79634125067367401</v>
      </c>
      <c r="O16">
        <v>0.11457213759422299</v>
      </c>
      <c r="P16">
        <v>342</v>
      </c>
      <c r="Q16">
        <v>71</v>
      </c>
      <c r="R16">
        <v>409</v>
      </c>
      <c r="S16">
        <v>121</v>
      </c>
      <c r="T16">
        <v>26</v>
      </c>
      <c r="U16">
        <v>31</v>
      </c>
      <c r="V16">
        <f t="shared" si="1"/>
        <v>178</v>
      </c>
      <c r="X16">
        <f t="shared" si="2"/>
        <v>8.0939877010422379E-2</v>
      </c>
      <c r="Y16">
        <f t="shared" si="20"/>
        <v>0.51214016514423832</v>
      </c>
      <c r="Z16">
        <f t="shared" si="21"/>
        <v>-1.4067424529033161</v>
      </c>
      <c r="AA16">
        <f t="shared" si="22"/>
        <v>-0.13096441649383905</v>
      </c>
      <c r="AB16">
        <f t="shared" si="3"/>
        <v>-0.26151143161621349</v>
      </c>
      <c r="AC16">
        <f t="shared" si="4"/>
        <v>5.3929651939824907E-2</v>
      </c>
      <c r="AD16">
        <f t="shared" si="5"/>
        <v>0.12240042661459682</v>
      </c>
      <c r="AE16">
        <f t="shared" si="6"/>
        <v>1.270216171109432</v>
      </c>
      <c r="AF16">
        <f t="shared" si="7"/>
        <v>1.8081282341398719E-2</v>
      </c>
      <c r="AG16">
        <f t="shared" si="8"/>
        <v>7.1876669544569394E-3</v>
      </c>
      <c r="AH16">
        <f t="shared" si="9"/>
        <v>1.656654289043999</v>
      </c>
      <c r="AI16">
        <f t="shared" si="10"/>
        <v>0.14009451668800654</v>
      </c>
      <c r="AJ16">
        <f t="shared" si="11"/>
        <v>0.14950184044117898</v>
      </c>
      <c r="AK16">
        <f t="shared" si="12"/>
        <v>-2.2014349699019997E-2</v>
      </c>
      <c r="AL16">
        <f t="shared" si="13"/>
        <v>1</v>
      </c>
      <c r="AM16">
        <f t="shared" si="14"/>
        <v>-12</v>
      </c>
      <c r="AN16">
        <f t="shared" si="15"/>
        <v>37</v>
      </c>
      <c r="AO16">
        <f t="shared" si="16"/>
        <v>-20</v>
      </c>
      <c r="AP16">
        <f t="shared" si="17"/>
        <v>-4</v>
      </c>
      <c r="AQ16">
        <f t="shared" si="18"/>
        <v>-2</v>
      </c>
      <c r="AR16">
        <f t="shared" si="19"/>
        <v>-26</v>
      </c>
    </row>
    <row r="17" spans="1:44" x14ac:dyDescent="0.25">
      <c r="A17" s="15">
        <v>36707</v>
      </c>
      <c r="B17">
        <v>72.539182312841504</v>
      </c>
      <c r="C17">
        <v>59.022039679802134</v>
      </c>
      <c r="D17">
        <v>113.06246638512567</v>
      </c>
      <c r="E17">
        <v>62.695488488984267</v>
      </c>
      <c r="F17">
        <v>65.547576525313545</v>
      </c>
      <c r="G17">
        <v>81.549251880044139</v>
      </c>
      <c r="H17">
        <v>43.499742188366803</v>
      </c>
      <c r="I17">
        <v>50.294131092571668</v>
      </c>
      <c r="J17">
        <v>72.563313424527905</v>
      </c>
      <c r="K17">
        <v>0.61947343357984297</v>
      </c>
      <c r="L17">
        <v>101.013821538462</v>
      </c>
      <c r="M17" s="16">
        <f>+'[3]VAR expectations'!C41</f>
        <v>2.9050115480316223</v>
      </c>
      <c r="N17">
        <v>0.578228356186961</v>
      </c>
      <c r="O17">
        <v>0.16771019995212599</v>
      </c>
      <c r="P17">
        <v>342</v>
      </c>
      <c r="Q17">
        <v>71</v>
      </c>
      <c r="R17">
        <v>409</v>
      </c>
      <c r="S17">
        <v>121</v>
      </c>
      <c r="T17">
        <v>26</v>
      </c>
      <c r="U17">
        <v>31</v>
      </c>
      <c r="V17">
        <f t="shared" si="1"/>
        <v>178</v>
      </c>
      <c r="X17">
        <f t="shared" si="2"/>
        <v>9.8439029695242652E-2</v>
      </c>
      <c r="Y17">
        <f t="shared" si="20"/>
        <v>0.24930234222850345</v>
      </c>
      <c r="Z17">
        <f t="shared" si="21"/>
        <v>-0.64803651157500042</v>
      </c>
      <c r="AA17">
        <f t="shared" si="22"/>
        <v>0.40126275645090459</v>
      </c>
      <c r="AB17">
        <f t="shared" si="3"/>
        <v>-0.19137469340566327</v>
      </c>
      <c r="AC17">
        <f t="shared" si="4"/>
        <v>-0.40459526990045447</v>
      </c>
      <c r="AD17">
        <f t="shared" si="5"/>
        <v>2.3070438217495379</v>
      </c>
      <c r="AE17">
        <f t="shared" si="6"/>
        <v>0.27978607047374027</v>
      </c>
      <c r="AF17">
        <f t="shared" si="7"/>
        <v>0.16962684143040008</v>
      </c>
      <c r="AG17">
        <f t="shared" si="8"/>
        <v>2.0589514098799944E-3</v>
      </c>
      <c r="AH17">
        <f t="shared" si="9"/>
        <v>-1.2772615384610049</v>
      </c>
      <c r="AI17">
        <f t="shared" si="10"/>
        <v>0.3942607030225771</v>
      </c>
      <c r="AJ17">
        <f t="shared" si="11"/>
        <v>-0.218112894486713</v>
      </c>
      <c r="AK17">
        <f t="shared" si="12"/>
        <v>5.3138062357902999E-2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  <c r="AP17">
        <f t="shared" si="17"/>
        <v>0</v>
      </c>
      <c r="AQ17">
        <f t="shared" si="18"/>
        <v>0</v>
      </c>
      <c r="AR17">
        <f t="shared" si="19"/>
        <v>0</v>
      </c>
    </row>
    <row r="18" spans="1:44" x14ac:dyDescent="0.25">
      <c r="A18" s="15">
        <v>36799</v>
      </c>
      <c r="B18">
        <v>72.707840576543859</v>
      </c>
      <c r="C18">
        <v>59.618307460292534</v>
      </c>
      <c r="D18">
        <v>111.70485772051767</v>
      </c>
      <c r="E18">
        <v>63.480786414583037</v>
      </c>
      <c r="F18">
        <v>66.470733130124344</v>
      </c>
      <c r="G18">
        <v>81.400383542254033</v>
      </c>
      <c r="H18">
        <v>44.129516914186162</v>
      </c>
      <c r="I18">
        <v>50.848549060358373</v>
      </c>
      <c r="J18">
        <v>72.759782473887299</v>
      </c>
      <c r="K18">
        <v>0.63243205574934103</v>
      </c>
      <c r="L18">
        <v>99.456144615384602</v>
      </c>
      <c r="M18" s="16">
        <f>+'[3]VAR expectations'!C42</f>
        <v>3.1797827097537499</v>
      </c>
      <c r="N18">
        <v>0.50801792517880295</v>
      </c>
      <c r="O18">
        <v>7.53215327858925E-2</v>
      </c>
      <c r="P18">
        <v>342</v>
      </c>
      <c r="Q18">
        <v>71</v>
      </c>
      <c r="R18">
        <v>409</v>
      </c>
      <c r="S18">
        <v>121</v>
      </c>
      <c r="T18">
        <v>26</v>
      </c>
      <c r="U18">
        <v>31</v>
      </c>
      <c r="V18">
        <f t="shared" si="1"/>
        <v>178</v>
      </c>
      <c r="X18">
        <f t="shared" si="2"/>
        <v>0.16865826370235482</v>
      </c>
      <c r="Y18">
        <f t="shared" si="20"/>
        <v>0.59626778049040041</v>
      </c>
      <c r="Z18">
        <f t="shared" si="21"/>
        <v>-1.3576086646080086</v>
      </c>
      <c r="AA18">
        <f t="shared" si="22"/>
        <v>0.7852979255987691</v>
      </c>
      <c r="AB18">
        <f t="shared" si="3"/>
        <v>0.92315660481079931</v>
      </c>
      <c r="AC18">
        <f t="shared" si="4"/>
        <v>-0.14886833779010544</v>
      </c>
      <c r="AD18">
        <f t="shared" si="5"/>
        <v>0.62977472581935956</v>
      </c>
      <c r="AE18">
        <f t="shared" si="6"/>
        <v>0.55441796778670493</v>
      </c>
      <c r="AF18">
        <f t="shared" si="7"/>
        <v>0.19646904935939347</v>
      </c>
      <c r="AG18">
        <f t="shared" si="8"/>
        <v>1.2958622169498057E-2</v>
      </c>
      <c r="AH18">
        <f t="shared" si="9"/>
        <v>-1.5576769230773948</v>
      </c>
      <c r="AI18">
        <f t="shared" si="10"/>
        <v>0.69899219985137684</v>
      </c>
      <c r="AJ18">
        <f t="shared" si="11"/>
        <v>-7.0210431008158047E-2</v>
      </c>
      <c r="AK18">
        <f t="shared" si="12"/>
        <v>-9.2388667166233493E-2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  <c r="AP18">
        <f t="shared" si="17"/>
        <v>0</v>
      </c>
      <c r="AQ18">
        <f t="shared" si="18"/>
        <v>0</v>
      </c>
      <c r="AR18">
        <f t="shared" si="19"/>
        <v>0</v>
      </c>
    </row>
    <row r="19" spans="1:44" x14ac:dyDescent="0.25">
      <c r="A19" s="15">
        <v>36891</v>
      </c>
      <c r="B19">
        <v>73.058296991468595</v>
      </c>
      <c r="C19">
        <v>60.261873317660566</v>
      </c>
      <c r="D19">
        <v>111.14640687755167</v>
      </c>
      <c r="E19">
        <v>63.852768971110471</v>
      </c>
      <c r="F19">
        <v>66.715067260746267</v>
      </c>
      <c r="G19">
        <v>81.765643927476674</v>
      </c>
      <c r="H19">
        <v>44.729361748243598</v>
      </c>
      <c r="I19">
        <v>51.114811152054337</v>
      </c>
      <c r="J19">
        <v>73.063981516128905</v>
      </c>
      <c r="K19">
        <v>0.63168490396144295</v>
      </c>
      <c r="L19">
        <v>100.229946153846</v>
      </c>
      <c r="M19" s="16">
        <f>+'[3]VAR expectations'!C43</f>
        <v>3.4444390840252752</v>
      </c>
      <c r="N19">
        <v>0.35052454382543902</v>
      </c>
      <c r="O19">
        <v>-1.80886518210173E-2</v>
      </c>
      <c r="P19">
        <v>342</v>
      </c>
      <c r="Q19">
        <v>71</v>
      </c>
      <c r="R19">
        <v>409</v>
      </c>
      <c r="S19">
        <v>121</v>
      </c>
      <c r="T19">
        <v>26</v>
      </c>
      <c r="U19">
        <v>31</v>
      </c>
      <c r="V19">
        <f t="shared" si="1"/>
        <v>178</v>
      </c>
      <c r="X19">
        <f t="shared" si="2"/>
        <v>0.35045641492473578</v>
      </c>
      <c r="Y19">
        <f t="shared" si="20"/>
        <v>0.6435658573680314</v>
      </c>
      <c r="Z19">
        <f t="shared" si="21"/>
        <v>-0.55845084296599623</v>
      </c>
      <c r="AA19">
        <f t="shared" si="22"/>
        <v>0.37198255652743484</v>
      </c>
      <c r="AB19">
        <f t="shared" si="3"/>
        <v>0.24433413062192244</v>
      </c>
      <c r="AC19">
        <f t="shared" si="4"/>
        <v>0.36526038522264059</v>
      </c>
      <c r="AD19">
        <f t="shared" si="5"/>
        <v>0.59984483405743561</v>
      </c>
      <c r="AE19">
        <f t="shared" si="6"/>
        <v>0.26626209169596393</v>
      </c>
      <c r="AF19">
        <f t="shared" si="7"/>
        <v>0.30419904224160632</v>
      </c>
      <c r="AG19">
        <f t="shared" si="8"/>
        <v>-7.4715178789808157E-4</v>
      </c>
      <c r="AH19">
        <f t="shared" si="9"/>
        <v>0.77380153846139876</v>
      </c>
      <c r="AI19">
        <f t="shared" si="10"/>
        <v>0.98732657868504337</v>
      </c>
      <c r="AJ19">
        <f t="shared" si="11"/>
        <v>-0.15749338135336394</v>
      </c>
      <c r="AK19">
        <f t="shared" si="12"/>
        <v>-9.3410184606909807E-2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  <c r="AP19">
        <f t="shared" si="17"/>
        <v>0</v>
      </c>
      <c r="AQ19">
        <f t="shared" si="18"/>
        <v>0</v>
      </c>
      <c r="AR19">
        <f t="shared" si="19"/>
        <v>0</v>
      </c>
    </row>
    <row r="20" spans="1:44" x14ac:dyDescent="0.25">
      <c r="A20" s="15">
        <v>36981</v>
      </c>
      <c r="B20">
        <v>73.057199972199726</v>
      </c>
      <c r="C20">
        <v>60.743618510486499</v>
      </c>
      <c r="D20">
        <v>110.17048885713501</v>
      </c>
      <c r="E20">
        <v>64.304947564597896</v>
      </c>
      <c r="F20">
        <v>67.219576569640893</v>
      </c>
      <c r="G20">
        <v>81.956356251570668</v>
      </c>
      <c r="H20">
        <v>45.213764851116906</v>
      </c>
      <c r="I20">
        <v>49.776772698758201</v>
      </c>
      <c r="J20">
        <v>73.022578117809601</v>
      </c>
      <c r="K20">
        <v>0.63197458532471795</v>
      </c>
      <c r="L20">
        <v>98.163178461538493</v>
      </c>
      <c r="M20" s="16">
        <f>+'[3]VAR expectations'!C44</f>
        <v>3.2371139634797124</v>
      </c>
      <c r="N20">
        <v>-9.6508386047468499E-3</v>
      </c>
      <c r="O20">
        <v>-0.21965420246124301</v>
      </c>
      <c r="P20">
        <v>336</v>
      </c>
      <c r="Q20">
        <v>66</v>
      </c>
      <c r="R20">
        <v>436</v>
      </c>
      <c r="S20">
        <v>114</v>
      </c>
      <c r="T20">
        <v>20</v>
      </c>
      <c r="U20">
        <v>28</v>
      </c>
      <c r="V20">
        <f t="shared" si="1"/>
        <v>162</v>
      </c>
      <c r="X20">
        <f t="shared" si="2"/>
        <v>-1.0970192688688485E-3</v>
      </c>
      <c r="Y20">
        <f t="shared" si="20"/>
        <v>0.48174519282593309</v>
      </c>
      <c r="Z20">
        <f t="shared" si="21"/>
        <v>-0.97591802041665687</v>
      </c>
      <c r="AA20">
        <f t="shared" si="22"/>
        <v>0.45217859348742451</v>
      </c>
      <c r="AB20">
        <f t="shared" si="3"/>
        <v>0.50450930889462597</v>
      </c>
      <c r="AC20">
        <f t="shared" si="4"/>
        <v>0.19071232409399386</v>
      </c>
      <c r="AD20">
        <f t="shared" si="5"/>
        <v>0.48440310287330846</v>
      </c>
      <c r="AE20">
        <f t="shared" si="6"/>
        <v>-1.3380384532961358</v>
      </c>
      <c r="AF20">
        <f t="shared" si="7"/>
        <v>-4.1403398319303619E-2</v>
      </c>
      <c r="AG20">
        <f t="shared" si="8"/>
        <v>2.8968136327500726E-4</v>
      </c>
      <c r="AH20">
        <f t="shared" si="9"/>
        <v>-2.0667676923075078</v>
      </c>
      <c r="AI20">
        <f t="shared" si="10"/>
        <v>0.75777031020088348</v>
      </c>
      <c r="AJ20">
        <f t="shared" si="11"/>
        <v>-0.36017538243018588</v>
      </c>
      <c r="AK20">
        <f t="shared" si="12"/>
        <v>-0.20156555064022572</v>
      </c>
      <c r="AL20">
        <f t="shared" si="13"/>
        <v>-6</v>
      </c>
      <c r="AM20">
        <f t="shared" si="14"/>
        <v>-5</v>
      </c>
      <c r="AN20">
        <f t="shared" si="15"/>
        <v>27</v>
      </c>
      <c r="AO20">
        <f t="shared" si="16"/>
        <v>-7</v>
      </c>
      <c r="AP20">
        <f t="shared" si="17"/>
        <v>-6</v>
      </c>
      <c r="AQ20">
        <f t="shared" si="18"/>
        <v>-3</v>
      </c>
      <c r="AR20">
        <f t="shared" si="19"/>
        <v>-16</v>
      </c>
    </row>
    <row r="21" spans="1:44" x14ac:dyDescent="0.25">
      <c r="A21" s="15">
        <v>37072</v>
      </c>
      <c r="B21">
        <v>73.640782847443958</v>
      </c>
      <c r="C21">
        <v>61.544420219885332</v>
      </c>
      <c r="D21">
        <v>109.89504456781434</v>
      </c>
      <c r="E21">
        <v>65.671562289779899</v>
      </c>
      <c r="F21">
        <v>69.291698510684967</v>
      </c>
      <c r="G21">
        <v>81.894722914880603</v>
      </c>
      <c r="H21">
        <v>45.475672672189063</v>
      </c>
      <c r="I21">
        <v>49.554685240331963</v>
      </c>
      <c r="J21">
        <v>73.672453554203102</v>
      </c>
      <c r="K21">
        <v>0.62800409836081905</v>
      </c>
      <c r="L21">
        <v>99.237372307692297</v>
      </c>
      <c r="M21" s="16">
        <f>+'[3]VAR expectations'!C45</f>
        <v>3.3504016664521434</v>
      </c>
      <c r="N21">
        <v>-8.6513159775206599E-2</v>
      </c>
      <c r="O21">
        <v>8.7121553719043704E-2</v>
      </c>
      <c r="P21">
        <v>336</v>
      </c>
      <c r="Q21">
        <v>66</v>
      </c>
      <c r="R21">
        <v>436</v>
      </c>
      <c r="S21">
        <v>114</v>
      </c>
      <c r="T21">
        <v>20</v>
      </c>
      <c r="U21">
        <v>28</v>
      </c>
      <c r="V21">
        <f t="shared" si="1"/>
        <v>162</v>
      </c>
      <c r="X21">
        <f t="shared" si="2"/>
        <v>0.58358287524423247</v>
      </c>
      <c r="Y21">
        <f t="shared" si="20"/>
        <v>0.80080170939883288</v>
      </c>
      <c r="Z21">
        <f t="shared" si="21"/>
        <v>-0.27544428932067433</v>
      </c>
      <c r="AA21">
        <f t="shared" si="22"/>
        <v>1.3666147251820036</v>
      </c>
      <c r="AB21">
        <f t="shared" si="3"/>
        <v>2.0721219410440739</v>
      </c>
      <c r="AC21">
        <f t="shared" si="4"/>
        <v>-6.1633336690064766E-2</v>
      </c>
      <c r="AD21">
        <f t="shared" si="5"/>
        <v>0.26190782107215682</v>
      </c>
      <c r="AE21">
        <f t="shared" si="6"/>
        <v>-0.22208745842623756</v>
      </c>
      <c r="AF21">
        <f t="shared" si="7"/>
        <v>0.64987543639350065</v>
      </c>
      <c r="AG21">
        <f t="shared" si="8"/>
        <v>-3.9704869638989004E-3</v>
      </c>
      <c r="AH21">
        <f t="shared" si="9"/>
        <v>1.0741938461538041</v>
      </c>
      <c r="AI21">
        <f t="shared" si="10"/>
        <v>1.089739327797683</v>
      </c>
      <c r="AJ21">
        <f t="shared" si="11"/>
        <v>-7.6862321170459755E-2</v>
      </c>
      <c r="AK21">
        <f t="shared" si="12"/>
        <v>0.30677575618028674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  <c r="AP21">
        <f t="shared" si="17"/>
        <v>0</v>
      </c>
      <c r="AQ21">
        <f t="shared" si="18"/>
        <v>0</v>
      </c>
      <c r="AR21">
        <f t="shared" si="19"/>
        <v>0</v>
      </c>
    </row>
    <row r="22" spans="1:44" x14ac:dyDescent="0.25">
      <c r="A22" s="15">
        <v>37164</v>
      </c>
      <c r="B22">
        <v>73.825368346705162</v>
      </c>
      <c r="C22">
        <v>62.223963784280272</v>
      </c>
      <c r="D22">
        <v>109.34835279541367</v>
      </c>
      <c r="E22">
        <v>65.641448713927829</v>
      </c>
      <c r="F22">
        <v>68.979536133829399</v>
      </c>
      <c r="G22">
        <v>82.063297447175827</v>
      </c>
      <c r="H22">
        <v>45.842531038287937</v>
      </c>
      <c r="I22">
        <v>49.541042554852801</v>
      </c>
      <c r="J22">
        <v>73.864343092066804</v>
      </c>
      <c r="K22">
        <v>0.62070323942146299</v>
      </c>
      <c r="L22">
        <v>99.239315384615395</v>
      </c>
      <c r="M22" s="16">
        <f>+'[3]VAR expectations'!C46</f>
        <v>3.4355092923982902</v>
      </c>
      <c r="N22">
        <v>-0.18219844297104101</v>
      </c>
      <c r="O22">
        <v>-1.9923435524106001E-2</v>
      </c>
      <c r="P22">
        <v>336</v>
      </c>
      <c r="Q22">
        <v>66</v>
      </c>
      <c r="R22">
        <v>436</v>
      </c>
      <c r="S22">
        <v>114</v>
      </c>
      <c r="T22">
        <v>20</v>
      </c>
      <c r="U22">
        <v>28</v>
      </c>
      <c r="V22">
        <f t="shared" si="1"/>
        <v>162</v>
      </c>
      <c r="X22">
        <f t="shared" si="2"/>
        <v>0.18458549926120327</v>
      </c>
      <c r="Y22">
        <f t="shared" si="20"/>
        <v>0.67954356439494035</v>
      </c>
      <c r="Z22">
        <f t="shared" si="21"/>
        <v>-0.54669177240066347</v>
      </c>
      <c r="AA22">
        <f t="shared" si="22"/>
        <v>-3.0113575852070085E-2</v>
      </c>
      <c r="AB22">
        <f t="shared" si="3"/>
        <v>-0.31216237685556791</v>
      </c>
      <c r="AC22">
        <f t="shared" si="4"/>
        <v>0.16857453229522434</v>
      </c>
      <c r="AD22">
        <f t="shared" si="5"/>
        <v>0.36685836609887446</v>
      </c>
      <c r="AE22">
        <f t="shared" si="6"/>
        <v>-1.3642685479162253E-2</v>
      </c>
      <c r="AF22">
        <f t="shared" si="7"/>
        <v>0.19188953786370178</v>
      </c>
      <c r="AG22">
        <f t="shared" si="8"/>
        <v>-7.3008589393560586E-3</v>
      </c>
      <c r="AH22">
        <f t="shared" si="9"/>
        <v>1.9430769230979195E-3</v>
      </c>
      <c r="AI22">
        <f t="shared" si="10"/>
        <v>1.2135147939075819</v>
      </c>
      <c r="AJ22">
        <f t="shared" si="11"/>
        <v>-9.5685283195834414E-2</v>
      </c>
      <c r="AK22">
        <f t="shared" si="12"/>
        <v>-0.1070449892431497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  <c r="AP22">
        <f t="shared" si="17"/>
        <v>0</v>
      </c>
      <c r="AQ22">
        <f t="shared" si="18"/>
        <v>0</v>
      </c>
      <c r="AR22">
        <f t="shared" si="19"/>
        <v>0</v>
      </c>
    </row>
    <row r="23" spans="1:44" x14ac:dyDescent="0.25">
      <c r="A23" s="15">
        <v>37256</v>
      </c>
      <c r="B23">
        <v>73.809976698452303</v>
      </c>
      <c r="C23">
        <v>62.586922212635066</v>
      </c>
      <c r="D23">
        <v>108.73663622536766</v>
      </c>
      <c r="E23">
        <v>65.828698669319564</v>
      </c>
      <c r="F23">
        <v>68.970945389894339</v>
      </c>
      <c r="G23">
        <v>82.057820785625765</v>
      </c>
      <c r="H23">
        <v>46.482425595715902</v>
      </c>
      <c r="I23">
        <v>48.008808713627495</v>
      </c>
      <c r="J23">
        <v>73.816222366808006</v>
      </c>
      <c r="K23">
        <v>0.61399358747248201</v>
      </c>
      <c r="L23">
        <v>99.639537878787905</v>
      </c>
      <c r="M23" s="16">
        <f>+'[3]VAR expectations'!C47</f>
        <v>3.0318466606958814</v>
      </c>
      <c r="N23">
        <v>-0.41053249519444801</v>
      </c>
      <c r="O23">
        <v>-0.24701800942421001</v>
      </c>
      <c r="P23">
        <v>336</v>
      </c>
      <c r="Q23">
        <v>66</v>
      </c>
      <c r="R23">
        <v>436</v>
      </c>
      <c r="S23">
        <v>114</v>
      </c>
      <c r="T23">
        <v>20</v>
      </c>
      <c r="U23">
        <v>28</v>
      </c>
      <c r="V23">
        <f t="shared" si="1"/>
        <v>162</v>
      </c>
      <c r="X23">
        <f t="shared" si="2"/>
        <v>-1.5391648252858658E-2</v>
      </c>
      <c r="Y23">
        <f t="shared" si="20"/>
        <v>0.36295842835479419</v>
      </c>
      <c r="Z23">
        <f t="shared" si="21"/>
        <v>-0.61171657004601343</v>
      </c>
      <c r="AA23">
        <f t="shared" si="22"/>
        <v>0.18724995539173506</v>
      </c>
      <c r="AB23">
        <f t="shared" si="3"/>
        <v>-8.5907439350592085E-3</v>
      </c>
      <c r="AC23">
        <f t="shared" si="4"/>
        <v>-5.4766615500625448E-3</v>
      </c>
      <c r="AD23">
        <f t="shared" si="5"/>
        <v>0.63989455742796508</v>
      </c>
      <c r="AE23">
        <f t="shared" si="6"/>
        <v>-1.532233841225306</v>
      </c>
      <c r="AF23">
        <f t="shared" si="7"/>
        <v>-4.8120725258797847E-2</v>
      </c>
      <c r="AG23">
        <f t="shared" si="8"/>
        <v>-6.709651948980988E-3</v>
      </c>
      <c r="AH23">
        <f t="shared" si="9"/>
        <v>0.40022249417251032</v>
      </c>
      <c r="AI23">
        <f t="shared" si="10"/>
        <v>0.66971658766496223</v>
      </c>
      <c r="AJ23">
        <f t="shared" si="11"/>
        <v>-0.228334052223407</v>
      </c>
      <c r="AK23">
        <f t="shared" si="12"/>
        <v>-0.22709457390010401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  <c r="AP23">
        <f t="shared" si="17"/>
        <v>0</v>
      </c>
      <c r="AQ23">
        <f t="shared" si="18"/>
        <v>0</v>
      </c>
      <c r="AR23">
        <f t="shared" si="19"/>
        <v>0</v>
      </c>
    </row>
    <row r="24" spans="1:44" x14ac:dyDescent="0.25">
      <c r="A24" s="15">
        <v>37346</v>
      </c>
      <c r="B24">
        <v>74.172709547617714</v>
      </c>
      <c r="C24">
        <v>63.253448974794672</v>
      </c>
      <c r="D24">
        <v>108.253887812421</v>
      </c>
      <c r="E24">
        <v>66.271856797838623</v>
      </c>
      <c r="F24">
        <v>69.566869099543467</v>
      </c>
      <c r="G24">
        <v>82.184032839410861</v>
      </c>
      <c r="H24">
        <v>46.712875198812867</v>
      </c>
      <c r="I24">
        <v>48.300000597159077</v>
      </c>
      <c r="J24">
        <v>74.140200035856097</v>
      </c>
      <c r="K24">
        <v>0.61193038298108404</v>
      </c>
      <c r="L24">
        <v>100.22180625</v>
      </c>
      <c r="M24" s="16">
        <f>+'[3]VAR expectations'!C48</f>
        <v>2.9135124750770758</v>
      </c>
      <c r="N24">
        <v>-0.19866515250366801</v>
      </c>
      <c r="O24">
        <v>-7.7734054066240796E-3</v>
      </c>
      <c r="P24">
        <v>321</v>
      </c>
      <c r="Q24">
        <v>56</v>
      </c>
      <c r="R24">
        <v>457</v>
      </c>
      <c r="S24">
        <v>115</v>
      </c>
      <c r="T24">
        <v>20</v>
      </c>
      <c r="U24">
        <v>31</v>
      </c>
      <c r="V24">
        <f t="shared" si="1"/>
        <v>166</v>
      </c>
      <c r="X24">
        <f t="shared" si="2"/>
        <v>0.36273284916541115</v>
      </c>
      <c r="Y24">
        <f t="shared" si="20"/>
        <v>0.66652676215960582</v>
      </c>
      <c r="Z24">
        <f t="shared" si="21"/>
        <v>-0.4827484129466626</v>
      </c>
      <c r="AA24">
        <f t="shared" si="22"/>
        <v>0.44315812851905889</v>
      </c>
      <c r="AB24">
        <f t="shared" si="3"/>
        <v>0.59592370964912789</v>
      </c>
      <c r="AC24">
        <f t="shared" si="4"/>
        <v>0.12621205378509615</v>
      </c>
      <c r="AD24">
        <f t="shared" si="5"/>
        <v>0.23044960309696449</v>
      </c>
      <c r="AE24">
        <f t="shared" si="6"/>
        <v>0.29119188353158165</v>
      </c>
      <c r="AF24">
        <f t="shared" si="7"/>
        <v>0.32397766904809089</v>
      </c>
      <c r="AG24">
        <f t="shared" si="8"/>
        <v>-2.063204491397963E-3</v>
      </c>
      <c r="AH24">
        <f t="shared" si="9"/>
        <v>0.58226837121209485</v>
      </c>
      <c r="AI24">
        <f t="shared" si="10"/>
        <v>0.7416232517885204</v>
      </c>
      <c r="AJ24">
        <f t="shared" si="11"/>
        <v>0.21186734269078</v>
      </c>
      <c r="AK24">
        <f t="shared" si="12"/>
        <v>0.23924460401758593</v>
      </c>
      <c r="AL24">
        <f t="shared" si="13"/>
        <v>-15</v>
      </c>
      <c r="AM24">
        <f t="shared" si="14"/>
        <v>-10</v>
      </c>
      <c r="AN24">
        <f t="shared" si="15"/>
        <v>21</v>
      </c>
      <c r="AO24">
        <f t="shared" si="16"/>
        <v>1</v>
      </c>
      <c r="AP24">
        <f t="shared" si="17"/>
        <v>0</v>
      </c>
      <c r="AQ24">
        <f t="shared" si="18"/>
        <v>3</v>
      </c>
      <c r="AR24">
        <f t="shared" si="19"/>
        <v>4</v>
      </c>
    </row>
    <row r="25" spans="1:44" x14ac:dyDescent="0.25">
      <c r="A25" s="15">
        <v>37437</v>
      </c>
      <c r="B25">
        <v>74.341060971658422</v>
      </c>
      <c r="C25">
        <v>64.098357828458106</v>
      </c>
      <c r="D25">
        <v>107.15975382369832</v>
      </c>
      <c r="E25">
        <v>65.841453783592442</v>
      </c>
      <c r="F25">
        <v>69.072767804200325</v>
      </c>
      <c r="G25">
        <v>82.070455378131101</v>
      </c>
      <c r="H25">
        <v>46.699129956856133</v>
      </c>
      <c r="I25">
        <v>48.834968279363466</v>
      </c>
      <c r="J25">
        <v>74.380936880197396</v>
      </c>
      <c r="K25">
        <v>0.62732294639877295</v>
      </c>
      <c r="L25">
        <v>99.283556923076901</v>
      </c>
      <c r="M25" s="16">
        <f>+'[3]VAR expectations'!C49</f>
        <v>2.7839723709682413</v>
      </c>
      <c r="N25">
        <v>-0.121645386242651</v>
      </c>
      <c r="O25">
        <v>0.16057209670543701</v>
      </c>
      <c r="P25">
        <v>321</v>
      </c>
      <c r="Q25">
        <v>56</v>
      </c>
      <c r="R25">
        <v>457</v>
      </c>
      <c r="S25">
        <v>115</v>
      </c>
      <c r="T25">
        <v>20</v>
      </c>
      <c r="U25">
        <v>31</v>
      </c>
      <c r="V25">
        <f t="shared" si="1"/>
        <v>166</v>
      </c>
      <c r="X25">
        <f t="shared" si="2"/>
        <v>0.1683514240407078</v>
      </c>
      <c r="Y25">
        <f t="shared" si="20"/>
        <v>0.84490885366343349</v>
      </c>
      <c r="Z25">
        <f t="shared" si="21"/>
        <v>-1.0941339887226746</v>
      </c>
      <c r="AA25">
        <f t="shared" si="22"/>
        <v>-0.43040301424618121</v>
      </c>
      <c r="AB25">
        <f t="shared" si="3"/>
        <v>-0.49410129534314251</v>
      </c>
      <c r="AC25">
        <f t="shared" si="4"/>
        <v>-0.11357746127976043</v>
      </c>
      <c r="AD25">
        <f t="shared" si="5"/>
        <v>-1.3745241956733878E-2</v>
      </c>
      <c r="AE25">
        <f t="shared" si="6"/>
        <v>0.53496768220438895</v>
      </c>
      <c r="AF25">
        <f t="shared" si="7"/>
        <v>0.24073684434129916</v>
      </c>
      <c r="AG25">
        <f t="shared" si="8"/>
        <v>1.5392563417688909E-2</v>
      </c>
      <c r="AH25">
        <f t="shared" si="9"/>
        <v>-0.93824932692309915</v>
      </c>
      <c r="AI25">
        <f t="shared" si="10"/>
        <v>0.52033414192762617</v>
      </c>
      <c r="AJ25">
        <f t="shared" si="11"/>
        <v>7.7019766261017003E-2</v>
      </c>
      <c r="AK25">
        <f t="shared" si="12"/>
        <v>0.16834550211206109</v>
      </c>
      <c r="AL25">
        <f t="shared" si="13"/>
        <v>0</v>
      </c>
      <c r="AM25">
        <f t="shared" si="14"/>
        <v>0</v>
      </c>
      <c r="AN25">
        <f t="shared" si="15"/>
        <v>0</v>
      </c>
      <c r="AO25">
        <f t="shared" si="16"/>
        <v>0</v>
      </c>
      <c r="AP25">
        <f t="shared" si="17"/>
        <v>0</v>
      </c>
      <c r="AQ25">
        <f t="shared" si="18"/>
        <v>0</v>
      </c>
      <c r="AR25">
        <f t="shared" si="19"/>
        <v>0</v>
      </c>
    </row>
    <row r="26" spans="1:44" x14ac:dyDescent="0.25">
      <c r="A26" s="15">
        <v>37529</v>
      </c>
      <c r="B26">
        <v>74.586828837548069</v>
      </c>
      <c r="C26">
        <v>64.806065670026939</v>
      </c>
      <c r="D26">
        <v>106.44583489625866</v>
      </c>
      <c r="E26">
        <v>66.101100807903208</v>
      </c>
      <c r="F26">
        <v>69.016510777194938</v>
      </c>
      <c r="G26">
        <v>82.393205064322629</v>
      </c>
      <c r="H26">
        <v>47.312363041482463</v>
      </c>
      <c r="I26">
        <v>48.810172757408203</v>
      </c>
      <c r="J26">
        <v>74.621415022690897</v>
      </c>
      <c r="K26">
        <v>0.62666792181779396</v>
      </c>
      <c r="L26">
        <v>100.497328787879</v>
      </c>
      <c r="M26" s="16">
        <f>+'[3]VAR expectations'!C50</f>
        <v>2.5771344994295728</v>
      </c>
      <c r="N26">
        <v>-0.12779910297989</v>
      </c>
      <c r="O26">
        <v>-2.52052545547485E-2</v>
      </c>
      <c r="P26">
        <v>321</v>
      </c>
      <c r="Q26">
        <v>56</v>
      </c>
      <c r="R26">
        <v>457</v>
      </c>
      <c r="S26">
        <v>115</v>
      </c>
      <c r="T26">
        <v>20</v>
      </c>
      <c r="U26">
        <v>31</v>
      </c>
      <c r="V26">
        <f t="shared" si="1"/>
        <v>166</v>
      </c>
      <c r="X26">
        <f t="shared" si="2"/>
        <v>0.24576786588964694</v>
      </c>
      <c r="Y26">
        <f t="shared" si="20"/>
        <v>0.70770784156883337</v>
      </c>
      <c r="Z26">
        <f t="shared" si="21"/>
        <v>-0.71391892743966423</v>
      </c>
      <c r="AA26">
        <f t="shared" si="22"/>
        <v>0.25964702431076603</v>
      </c>
      <c r="AB26">
        <f t="shared" si="3"/>
        <v>-5.6257027005386817E-2</v>
      </c>
      <c r="AC26">
        <f t="shared" si="4"/>
        <v>0.32274968619152844</v>
      </c>
      <c r="AD26">
        <f t="shared" si="5"/>
        <v>0.61323308462633008</v>
      </c>
      <c r="AE26">
        <f t="shared" si="6"/>
        <v>-2.4795521955262245E-2</v>
      </c>
      <c r="AF26">
        <f t="shared" si="7"/>
        <v>0.24047814249350097</v>
      </c>
      <c r="AG26">
        <f t="shared" si="8"/>
        <v>-6.5502458097899119E-4</v>
      </c>
      <c r="AH26">
        <f t="shared" si="9"/>
        <v>1.2137718648020979</v>
      </c>
      <c r="AI26">
        <f t="shared" si="10"/>
        <v>0.15705614995002382</v>
      </c>
      <c r="AJ26">
        <f t="shared" si="11"/>
        <v>-6.1537167372389956E-3</v>
      </c>
      <c r="AK26">
        <f t="shared" si="12"/>
        <v>-0.18577735126018552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  <c r="AP26">
        <f t="shared" si="17"/>
        <v>0</v>
      </c>
      <c r="AQ26">
        <f t="shared" si="18"/>
        <v>0</v>
      </c>
      <c r="AR26">
        <f t="shared" si="19"/>
        <v>0</v>
      </c>
    </row>
    <row r="27" spans="1:44" x14ac:dyDescent="0.25">
      <c r="A27" s="15">
        <v>37621</v>
      </c>
      <c r="B27">
        <v>74.94152985171506</v>
      </c>
      <c r="C27">
        <v>65.527580796611758</v>
      </c>
      <c r="D27">
        <v>105.92448921583834</v>
      </c>
      <c r="E27">
        <v>66.196126733287258</v>
      </c>
      <c r="F27">
        <v>69.020712791603259</v>
      </c>
      <c r="G27">
        <v>81.795408938969828</v>
      </c>
      <c r="H27">
        <v>47.821927966217864</v>
      </c>
      <c r="I27">
        <v>49.301431799629</v>
      </c>
      <c r="J27">
        <v>74.939618250451403</v>
      </c>
      <c r="K27">
        <v>0.62607176712946</v>
      </c>
      <c r="L27">
        <v>101.02483030303</v>
      </c>
      <c r="M27" s="16">
        <f>+'[3]VAR expectations'!C51</f>
        <v>2.6427151941363944</v>
      </c>
      <c r="N27">
        <v>0.13999724552415899</v>
      </c>
      <c r="O27">
        <v>2.2260053083300601E-2</v>
      </c>
      <c r="P27">
        <v>321</v>
      </c>
      <c r="Q27">
        <v>56</v>
      </c>
      <c r="R27">
        <v>457</v>
      </c>
      <c r="S27">
        <v>115</v>
      </c>
      <c r="T27">
        <v>20</v>
      </c>
      <c r="U27">
        <v>31</v>
      </c>
      <c r="V27">
        <f t="shared" si="1"/>
        <v>166</v>
      </c>
      <c r="X27">
        <f t="shared" si="2"/>
        <v>0.35470101416699151</v>
      </c>
      <c r="Y27">
        <f t="shared" si="20"/>
        <v>0.7215151265848192</v>
      </c>
      <c r="Z27">
        <f t="shared" si="21"/>
        <v>-0.5213456804203247</v>
      </c>
      <c r="AA27">
        <f t="shared" si="22"/>
        <v>9.502592538404997E-2</v>
      </c>
      <c r="AB27">
        <f t="shared" si="3"/>
        <v>4.2020144083210198E-3</v>
      </c>
      <c r="AC27">
        <f t="shared" si="4"/>
        <v>-0.5977961253528008</v>
      </c>
      <c r="AD27">
        <f t="shared" si="5"/>
        <v>0.50956492473540038</v>
      </c>
      <c r="AE27">
        <f t="shared" si="6"/>
        <v>0.49125904222079697</v>
      </c>
      <c r="AF27">
        <f t="shared" si="7"/>
        <v>0.31820322776050602</v>
      </c>
      <c r="AG27">
        <f t="shared" si="8"/>
        <v>-5.9615468833396079E-4</v>
      </c>
      <c r="AH27">
        <f t="shared" si="9"/>
        <v>0.52750151515100185</v>
      </c>
      <c r="AI27">
        <f t="shared" si="10"/>
        <v>0.30786857008441615</v>
      </c>
      <c r="AJ27">
        <f t="shared" si="11"/>
        <v>0.26779634850404899</v>
      </c>
      <c r="AK27">
        <f t="shared" si="12"/>
        <v>4.7465307638049098E-2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  <c r="AP27">
        <f t="shared" si="17"/>
        <v>0</v>
      </c>
      <c r="AQ27">
        <f t="shared" si="18"/>
        <v>0</v>
      </c>
      <c r="AR27">
        <f t="shared" si="19"/>
        <v>0</v>
      </c>
    </row>
    <row r="28" spans="1:44" x14ac:dyDescent="0.25">
      <c r="A28" s="15">
        <v>37711</v>
      </c>
      <c r="B28">
        <v>75.254179637007539</v>
      </c>
      <c r="C28">
        <v>66.024472037778409</v>
      </c>
      <c r="D28">
        <v>105.57840811720899</v>
      </c>
      <c r="E28">
        <v>66.29593719601047</v>
      </c>
      <c r="F28">
        <v>69.109899366957407</v>
      </c>
      <c r="G28">
        <v>81.579240086886898</v>
      </c>
      <c r="H28">
        <v>48.150793169108333</v>
      </c>
      <c r="I28">
        <v>50.696241265513159</v>
      </c>
      <c r="J28">
        <v>75.220635695064601</v>
      </c>
      <c r="K28">
        <v>0.63651760997190399</v>
      </c>
      <c r="L28">
        <v>98.401371874999995</v>
      </c>
      <c r="M28" s="16">
        <f>+'[3]VAR expectations'!C52</f>
        <v>2.5107508450090452</v>
      </c>
      <c r="N28">
        <v>0.27544788472214499</v>
      </c>
      <c r="O28">
        <v>0.118628311933358</v>
      </c>
      <c r="P28">
        <v>324</v>
      </c>
      <c r="Q28">
        <v>55</v>
      </c>
      <c r="R28">
        <v>466</v>
      </c>
      <c r="S28">
        <v>108</v>
      </c>
      <c r="T28">
        <v>19</v>
      </c>
      <c r="U28">
        <v>28</v>
      </c>
      <c r="V28">
        <f t="shared" si="1"/>
        <v>155</v>
      </c>
      <c r="X28">
        <f t="shared" si="2"/>
        <v>0.31264978529247855</v>
      </c>
      <c r="Y28">
        <f t="shared" si="20"/>
        <v>0.49689124116665084</v>
      </c>
      <c r="Z28">
        <f t="shared" si="21"/>
        <v>-0.346081098629341</v>
      </c>
      <c r="AA28">
        <f t="shared" si="22"/>
        <v>9.9810462723212368E-2</v>
      </c>
      <c r="AB28">
        <f t="shared" si="3"/>
        <v>8.918657535414809E-2</v>
      </c>
      <c r="AC28">
        <f t="shared" si="4"/>
        <v>-0.21616885208293013</v>
      </c>
      <c r="AD28">
        <f t="shared" si="5"/>
        <v>0.32886520289046928</v>
      </c>
      <c r="AE28">
        <f t="shared" si="6"/>
        <v>1.3948094658841583</v>
      </c>
      <c r="AF28">
        <f t="shared" si="7"/>
        <v>0.28101744461319811</v>
      </c>
      <c r="AG28">
        <f t="shared" si="8"/>
        <v>1.0445842842443986E-2</v>
      </c>
      <c r="AH28">
        <f t="shared" si="9"/>
        <v>-2.6234584280300055</v>
      </c>
      <c r="AI28">
        <f t="shared" si="10"/>
        <v>0.18170422639182027</v>
      </c>
      <c r="AJ28">
        <f t="shared" si="11"/>
        <v>0.135450639197986</v>
      </c>
      <c r="AK28">
        <f t="shared" si="12"/>
        <v>9.6368258850057398E-2</v>
      </c>
      <c r="AL28">
        <f t="shared" si="13"/>
        <v>3</v>
      </c>
      <c r="AM28">
        <f t="shared" si="14"/>
        <v>-1</v>
      </c>
      <c r="AN28">
        <f t="shared" si="15"/>
        <v>9</v>
      </c>
      <c r="AO28">
        <f t="shared" si="16"/>
        <v>-7</v>
      </c>
      <c r="AP28">
        <f t="shared" si="17"/>
        <v>-1</v>
      </c>
      <c r="AQ28">
        <f t="shared" si="18"/>
        <v>-3</v>
      </c>
      <c r="AR28">
        <f t="shared" si="19"/>
        <v>-11</v>
      </c>
    </row>
    <row r="29" spans="1:44" x14ac:dyDescent="0.25">
      <c r="A29" s="15">
        <v>37802</v>
      </c>
      <c r="B29">
        <v>75.297738816456402</v>
      </c>
      <c r="C29">
        <v>66.477450028729891</v>
      </c>
      <c r="D29">
        <v>104.82493353971</v>
      </c>
      <c r="E29">
        <v>66.743553912164842</v>
      </c>
      <c r="F29">
        <v>69.746466956818594</v>
      </c>
      <c r="G29">
        <v>81.929888108927102</v>
      </c>
      <c r="H29">
        <v>48.45408482428504</v>
      </c>
      <c r="I29">
        <v>49.519114792624237</v>
      </c>
      <c r="J29">
        <v>75.346741392751298</v>
      </c>
      <c r="K29">
        <v>0.63320748380537994</v>
      </c>
      <c r="L29">
        <v>95.764499999999998</v>
      </c>
      <c r="M29" s="16">
        <f>+'[3]VAR expectations'!C53</f>
        <v>2.480790509902373</v>
      </c>
      <c r="N29">
        <v>8.0091340388783697E-2</v>
      </c>
      <c r="O29">
        <v>-3.3435978033822499E-2</v>
      </c>
      <c r="P29">
        <v>324</v>
      </c>
      <c r="Q29">
        <v>55</v>
      </c>
      <c r="R29">
        <v>466</v>
      </c>
      <c r="S29">
        <v>108</v>
      </c>
      <c r="T29">
        <v>19</v>
      </c>
      <c r="U29">
        <v>28</v>
      </c>
      <c r="V29">
        <f t="shared" si="1"/>
        <v>155</v>
      </c>
      <c r="X29">
        <f t="shared" si="2"/>
        <v>4.3559179448863006E-2</v>
      </c>
      <c r="Y29">
        <f t="shared" si="20"/>
        <v>0.4529779909514815</v>
      </c>
      <c r="Z29">
        <f t="shared" si="21"/>
        <v>-0.75347457749899149</v>
      </c>
      <c r="AA29">
        <f t="shared" si="22"/>
        <v>0.44761671615437137</v>
      </c>
      <c r="AB29">
        <f t="shared" si="3"/>
        <v>0.63656758986118689</v>
      </c>
      <c r="AC29">
        <f t="shared" si="4"/>
        <v>0.35064802204020395</v>
      </c>
      <c r="AD29">
        <f t="shared" si="5"/>
        <v>0.30329165517670731</v>
      </c>
      <c r="AE29">
        <f t="shared" si="6"/>
        <v>-1.1771264728889221</v>
      </c>
      <c r="AF29">
        <f t="shared" si="7"/>
        <v>0.12610569768669677</v>
      </c>
      <c r="AG29">
        <f t="shared" si="8"/>
        <v>-3.3101261665240411E-3</v>
      </c>
      <c r="AH29">
        <f t="shared" si="9"/>
        <v>-2.6368718749999971</v>
      </c>
      <c r="AI29">
        <f t="shared" si="10"/>
        <v>-6.1393022261505337E-2</v>
      </c>
      <c r="AJ29">
        <f t="shared" si="11"/>
        <v>-0.1953565443333613</v>
      </c>
      <c r="AK29">
        <f t="shared" si="12"/>
        <v>-0.15206428996718049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  <c r="AP29">
        <f t="shared" si="17"/>
        <v>0</v>
      </c>
      <c r="AQ29">
        <f t="shared" si="18"/>
        <v>0</v>
      </c>
      <c r="AR29">
        <f t="shared" si="19"/>
        <v>0</v>
      </c>
    </row>
    <row r="30" spans="1:44" x14ac:dyDescent="0.25">
      <c r="A30" s="15">
        <v>37894</v>
      </c>
      <c r="B30">
        <v>75.612766960048859</v>
      </c>
      <c r="C30">
        <v>66.969781979790568</v>
      </c>
      <c r="D30">
        <v>104.57345498303602</v>
      </c>
      <c r="E30">
        <v>67.31296933393827</v>
      </c>
      <c r="F30">
        <v>70.26415567744364</v>
      </c>
      <c r="G30">
        <v>81.29251558503266</v>
      </c>
      <c r="H30">
        <v>49.190874969117239</v>
      </c>
      <c r="I30">
        <v>49.812423085229902</v>
      </c>
      <c r="J30">
        <v>75.646460972491596</v>
      </c>
      <c r="K30">
        <v>0.63000871963946403</v>
      </c>
      <c r="L30">
        <v>95.544218181818195</v>
      </c>
      <c r="M30" s="16">
        <f>+'[3]VAR expectations'!C54</f>
        <v>2.4571125053402318</v>
      </c>
      <c r="N30">
        <v>0.109281701994484</v>
      </c>
      <c r="O30">
        <v>4.3959080115475602E-3</v>
      </c>
      <c r="P30">
        <v>324</v>
      </c>
      <c r="Q30">
        <v>55</v>
      </c>
      <c r="R30">
        <v>466</v>
      </c>
      <c r="S30">
        <v>108</v>
      </c>
      <c r="T30">
        <v>19</v>
      </c>
      <c r="U30">
        <v>28</v>
      </c>
      <c r="V30">
        <f t="shared" si="1"/>
        <v>155</v>
      </c>
      <c r="X30">
        <f t="shared" si="2"/>
        <v>0.3150281435924569</v>
      </c>
      <c r="Y30">
        <f t="shared" si="20"/>
        <v>0.4923319510606774</v>
      </c>
      <c r="Z30">
        <f t="shared" si="21"/>
        <v>-0.25147855667398744</v>
      </c>
      <c r="AA30">
        <f t="shared" si="22"/>
        <v>0.56941542177342797</v>
      </c>
      <c r="AB30">
        <f t="shared" si="3"/>
        <v>0.51768872062504556</v>
      </c>
      <c r="AC30">
        <f t="shared" si="4"/>
        <v>-0.63737252389444166</v>
      </c>
      <c r="AD30">
        <f t="shared" si="5"/>
        <v>0.73679014483219873</v>
      </c>
      <c r="AE30">
        <f t="shared" si="6"/>
        <v>0.2933082926056656</v>
      </c>
      <c r="AF30">
        <f t="shared" si="7"/>
        <v>0.29971957974029806</v>
      </c>
      <c r="AG30">
        <f t="shared" si="8"/>
        <v>-3.1987641659159127E-3</v>
      </c>
      <c r="AH30">
        <f t="shared" si="9"/>
        <v>-0.22028181818180315</v>
      </c>
      <c r="AI30">
        <f t="shared" si="10"/>
        <v>6.836633212309895E-2</v>
      </c>
      <c r="AJ30">
        <f t="shared" si="11"/>
        <v>2.9190361605700307E-2</v>
      </c>
      <c r="AK30">
        <f t="shared" si="12"/>
        <v>3.7831886045370057E-2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  <c r="AP30">
        <f t="shared" si="17"/>
        <v>0</v>
      </c>
      <c r="AQ30">
        <f t="shared" si="18"/>
        <v>0</v>
      </c>
      <c r="AR30">
        <f t="shared" si="19"/>
        <v>0</v>
      </c>
    </row>
    <row r="31" spans="1:44" x14ac:dyDescent="0.25">
      <c r="A31" s="15">
        <v>37986</v>
      </c>
      <c r="B31">
        <v>75.930389741807929</v>
      </c>
      <c r="C31">
        <v>67.546972720157029</v>
      </c>
      <c r="D31">
        <v>104.00485126915201</v>
      </c>
      <c r="E31">
        <v>67.719275637251357</v>
      </c>
      <c r="F31">
        <v>70.752523645876281</v>
      </c>
      <c r="G31">
        <v>81.390202718947663</v>
      </c>
      <c r="H31">
        <v>49.438759813309993</v>
      </c>
      <c r="I31">
        <v>50.456696042455739</v>
      </c>
      <c r="J31">
        <v>75.926725850656695</v>
      </c>
      <c r="K31">
        <v>0.62604665825440697</v>
      </c>
      <c r="L31">
        <v>97.264069696969699</v>
      </c>
      <c r="M31" s="16">
        <f>+'[3]VAR expectations'!C55</f>
        <v>2.4793436532788289</v>
      </c>
      <c r="N31">
        <v>0.12812529825024099</v>
      </c>
      <c r="O31">
        <v>4.1066675765942702E-2</v>
      </c>
      <c r="P31">
        <v>324</v>
      </c>
      <c r="Q31">
        <v>55</v>
      </c>
      <c r="R31">
        <v>466</v>
      </c>
      <c r="S31">
        <v>108</v>
      </c>
      <c r="T31">
        <v>19</v>
      </c>
      <c r="U31">
        <v>28</v>
      </c>
      <c r="V31">
        <f t="shared" si="1"/>
        <v>155</v>
      </c>
      <c r="X31">
        <f t="shared" si="2"/>
        <v>0.31762278175906999</v>
      </c>
      <c r="Y31">
        <f t="shared" si="20"/>
        <v>0.57719074036646134</v>
      </c>
      <c r="Z31">
        <f t="shared" si="21"/>
        <v>-0.5686037138840021</v>
      </c>
      <c r="AA31">
        <f t="shared" si="22"/>
        <v>0.40630630331308737</v>
      </c>
      <c r="AB31">
        <f t="shared" si="3"/>
        <v>0.48836796843264096</v>
      </c>
      <c r="AC31">
        <f t="shared" si="4"/>
        <v>9.7687133915002278E-2</v>
      </c>
      <c r="AD31">
        <f t="shared" si="5"/>
        <v>0.24788484419275392</v>
      </c>
      <c r="AE31">
        <f t="shared" si="6"/>
        <v>0.64427295722583722</v>
      </c>
      <c r="AF31">
        <f t="shared" si="7"/>
        <v>0.28026487816509871</v>
      </c>
      <c r="AG31">
        <f t="shared" si="8"/>
        <v>-3.9620613850570585E-3</v>
      </c>
      <c r="AH31">
        <f t="shared" si="9"/>
        <v>1.7198515151515039</v>
      </c>
      <c r="AI31">
        <f t="shared" si="10"/>
        <v>0.28176843346516289</v>
      </c>
      <c r="AJ31">
        <f t="shared" si="11"/>
        <v>1.8843596255756989E-2</v>
      </c>
      <c r="AK31">
        <f t="shared" si="12"/>
        <v>3.6670767754395144E-2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  <c r="AP31">
        <f t="shared" si="17"/>
        <v>0</v>
      </c>
      <c r="AQ31">
        <f t="shared" si="18"/>
        <v>0</v>
      </c>
      <c r="AR31">
        <f t="shared" si="19"/>
        <v>0</v>
      </c>
    </row>
    <row r="32" spans="1:44" x14ac:dyDescent="0.25">
      <c r="A32" s="15">
        <v>38077</v>
      </c>
      <c r="B32">
        <v>76.200272982905773</v>
      </c>
      <c r="C32">
        <v>68.10626529045453</v>
      </c>
      <c r="D32">
        <v>103.62955172533468</v>
      </c>
      <c r="E32">
        <v>67.701733001774699</v>
      </c>
      <c r="F32">
        <v>70.68062324019364</v>
      </c>
      <c r="G32">
        <v>81.372891223910457</v>
      </c>
      <c r="H32">
        <v>49.677802172771571</v>
      </c>
      <c r="I32">
        <v>51.504084271991964</v>
      </c>
      <c r="J32">
        <v>76.159680364508901</v>
      </c>
      <c r="K32">
        <v>0.61688244432997197</v>
      </c>
      <c r="L32">
        <v>101.570772307692</v>
      </c>
      <c r="M32" s="16">
        <f>+'[3]VAR expectations'!C56</f>
        <v>2.2606623386544604</v>
      </c>
      <c r="N32">
        <v>8.3923273491197103E-2</v>
      </c>
      <c r="O32">
        <v>7.0507431525519401E-2</v>
      </c>
      <c r="P32">
        <v>329</v>
      </c>
      <c r="Q32">
        <v>52</v>
      </c>
      <c r="R32">
        <v>467</v>
      </c>
      <c r="S32">
        <v>106</v>
      </c>
      <c r="T32">
        <v>19</v>
      </c>
      <c r="U32">
        <v>27</v>
      </c>
      <c r="V32">
        <f t="shared" si="1"/>
        <v>152</v>
      </c>
      <c r="X32">
        <f t="shared" si="2"/>
        <v>0.26988324109784401</v>
      </c>
      <c r="Y32">
        <f t="shared" si="20"/>
        <v>0.5592925702975009</v>
      </c>
      <c r="Z32">
        <f t="shared" si="21"/>
        <v>-0.37529954381733432</v>
      </c>
      <c r="AA32">
        <f t="shared" si="22"/>
        <v>-1.7542635476658575E-2</v>
      </c>
      <c r="AB32">
        <f t="shared" si="3"/>
        <v>-7.1900405682640667E-2</v>
      </c>
      <c r="AC32">
        <f t="shared" si="4"/>
        <v>-1.7311495037205304E-2</v>
      </c>
      <c r="AD32">
        <f t="shared" si="5"/>
        <v>0.23904235946157826</v>
      </c>
      <c r="AE32">
        <f t="shared" si="6"/>
        <v>1.0473882295362245</v>
      </c>
      <c r="AF32">
        <f t="shared" si="7"/>
        <v>0.23295451385220645</v>
      </c>
      <c r="AG32">
        <f t="shared" si="8"/>
        <v>-9.1642139244350052E-3</v>
      </c>
      <c r="AH32">
        <f t="shared" si="9"/>
        <v>4.3067026107222972</v>
      </c>
      <c r="AI32">
        <f t="shared" si="10"/>
        <v>-0.2465981641452446</v>
      </c>
      <c r="AJ32">
        <f t="shared" si="11"/>
        <v>-4.420202475904389E-2</v>
      </c>
      <c r="AK32">
        <f t="shared" si="12"/>
        <v>2.9440755759576699E-2</v>
      </c>
      <c r="AL32">
        <f t="shared" si="13"/>
        <v>5</v>
      </c>
      <c r="AM32">
        <f t="shared" si="14"/>
        <v>-3</v>
      </c>
      <c r="AN32">
        <f t="shared" si="15"/>
        <v>1</v>
      </c>
      <c r="AO32">
        <f t="shared" si="16"/>
        <v>-2</v>
      </c>
      <c r="AP32">
        <f t="shared" si="17"/>
        <v>0</v>
      </c>
      <c r="AQ32">
        <f t="shared" si="18"/>
        <v>-1</v>
      </c>
      <c r="AR32">
        <f t="shared" si="19"/>
        <v>-3</v>
      </c>
    </row>
    <row r="33" spans="1:44" x14ac:dyDescent="0.25">
      <c r="A33" s="15">
        <v>38168</v>
      </c>
      <c r="B33">
        <v>76.35914331720403</v>
      </c>
      <c r="C33">
        <v>68.631855809508735</v>
      </c>
      <c r="D33">
        <v>102.877321258834</v>
      </c>
      <c r="E33">
        <v>67.638280882704308</v>
      </c>
      <c r="F33">
        <v>70.476850084807339</v>
      </c>
      <c r="G33">
        <v>81.287191131295103</v>
      </c>
      <c r="H33">
        <v>50.250960584307229</v>
      </c>
      <c r="I33">
        <v>52.490029578442538</v>
      </c>
      <c r="J33">
        <v>76.418239016262504</v>
      </c>
      <c r="K33">
        <v>0.61216051574775598</v>
      </c>
      <c r="L33">
        <v>102.354193846154</v>
      </c>
      <c r="M33" s="16">
        <f>+'[3]VAR expectations'!C57</f>
        <v>2.2219944984907083</v>
      </c>
      <c r="N33">
        <v>0.31536003264232498</v>
      </c>
      <c r="O33">
        <v>0.198013254587315</v>
      </c>
      <c r="P33">
        <v>329</v>
      </c>
      <c r="Q33">
        <v>52</v>
      </c>
      <c r="R33">
        <v>467</v>
      </c>
      <c r="S33">
        <v>106</v>
      </c>
      <c r="T33">
        <v>19</v>
      </c>
      <c r="U33">
        <v>27</v>
      </c>
      <c r="V33">
        <f t="shared" si="1"/>
        <v>152</v>
      </c>
      <c r="X33">
        <f t="shared" si="2"/>
        <v>0.15887033429825692</v>
      </c>
      <c r="Y33">
        <f t="shared" si="20"/>
        <v>0.52559051905420517</v>
      </c>
      <c r="Z33">
        <f t="shared" si="21"/>
        <v>-0.75223046650067715</v>
      </c>
      <c r="AA33">
        <f t="shared" si="22"/>
        <v>-6.3452119070390722E-2</v>
      </c>
      <c r="AB33">
        <f t="shared" si="3"/>
        <v>-0.20377315538630114</v>
      </c>
      <c r="AC33">
        <f t="shared" si="4"/>
        <v>-8.5700092615354606E-2</v>
      </c>
      <c r="AD33">
        <f t="shared" si="5"/>
        <v>0.57315841153565827</v>
      </c>
      <c r="AE33">
        <f t="shared" si="6"/>
        <v>0.98594530645057432</v>
      </c>
      <c r="AF33">
        <f t="shared" si="7"/>
        <v>0.25855865175360293</v>
      </c>
      <c r="AG33">
        <f t="shared" si="8"/>
        <v>-4.721928582215984E-3</v>
      </c>
      <c r="AH33">
        <f t="shared" si="9"/>
        <v>0.78342153846200802</v>
      </c>
      <c r="AI33">
        <f t="shared" si="10"/>
        <v>-0.31510293761064156</v>
      </c>
      <c r="AJ33">
        <f t="shared" si="11"/>
        <v>0.23143675915112788</v>
      </c>
      <c r="AK33">
        <f t="shared" si="12"/>
        <v>0.12750582306179559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  <c r="AP33">
        <f t="shared" si="17"/>
        <v>0</v>
      </c>
      <c r="AQ33">
        <f t="shared" si="18"/>
        <v>0</v>
      </c>
      <c r="AR33">
        <f t="shared" si="19"/>
        <v>0</v>
      </c>
    </row>
    <row r="34" spans="1:44" x14ac:dyDescent="0.25">
      <c r="A34" s="15">
        <v>38260</v>
      </c>
      <c r="B34">
        <v>76.562231444892205</v>
      </c>
      <c r="C34">
        <v>69.203743095995534</v>
      </c>
      <c r="D34">
        <v>102.210003687398</v>
      </c>
      <c r="E34">
        <v>67.646192048084202</v>
      </c>
      <c r="F34">
        <v>70.117000340503537</v>
      </c>
      <c r="G34">
        <v>81.074507639907196</v>
      </c>
      <c r="H34">
        <v>50.981515782794624</v>
      </c>
      <c r="I34">
        <v>53.359156399593196</v>
      </c>
      <c r="J34">
        <v>76.596013420986793</v>
      </c>
      <c r="K34">
        <v>0.61479560780718101</v>
      </c>
      <c r="L34">
        <v>102.09841969697</v>
      </c>
      <c r="M34" s="16">
        <f>+'[3]VAR expectations'!C58</f>
        <v>2.3621300730309192</v>
      </c>
      <c r="N34">
        <v>0.36869653428947002</v>
      </c>
      <c r="O34">
        <v>5.6970751238223802E-2</v>
      </c>
      <c r="P34">
        <v>329</v>
      </c>
      <c r="Q34">
        <v>52</v>
      </c>
      <c r="R34">
        <v>467</v>
      </c>
      <c r="S34">
        <v>106</v>
      </c>
      <c r="T34">
        <v>19</v>
      </c>
      <c r="U34">
        <v>27</v>
      </c>
      <c r="V34">
        <f t="shared" si="1"/>
        <v>152</v>
      </c>
      <c r="X34">
        <f t="shared" si="2"/>
        <v>0.20308812768817575</v>
      </c>
      <c r="Y34">
        <f t="shared" si="20"/>
        <v>0.57188728648679898</v>
      </c>
      <c r="Z34">
        <f t="shared" si="21"/>
        <v>-0.66731757143600134</v>
      </c>
      <c r="AA34">
        <f t="shared" si="22"/>
        <v>7.9111653798946691E-3</v>
      </c>
      <c r="AB34">
        <f t="shared" si="3"/>
        <v>-0.35984974430380134</v>
      </c>
      <c r="AC34">
        <f t="shared" si="4"/>
        <v>-0.21268349138790654</v>
      </c>
      <c r="AD34">
        <f t="shared" si="5"/>
        <v>0.73055519848739436</v>
      </c>
      <c r="AE34">
        <f t="shared" si="6"/>
        <v>0.8691268211506582</v>
      </c>
      <c r="AF34">
        <f t="shared" si="7"/>
        <v>0.17777440472428907</v>
      </c>
      <c r="AG34">
        <f t="shared" si="8"/>
        <v>2.635092059425026E-3</v>
      </c>
      <c r="AH34">
        <f t="shared" si="9"/>
        <v>-0.25577414918400621</v>
      </c>
      <c r="AI34">
        <f t="shared" si="10"/>
        <v>-0.25632538856396536</v>
      </c>
      <c r="AJ34">
        <f t="shared" si="11"/>
        <v>5.333650164714504E-2</v>
      </c>
      <c r="AK34">
        <f t="shared" si="12"/>
        <v>-0.14104250334909119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  <c r="AP34">
        <f t="shared" si="17"/>
        <v>0</v>
      </c>
      <c r="AQ34">
        <f t="shared" si="18"/>
        <v>0</v>
      </c>
      <c r="AR34">
        <f t="shared" si="19"/>
        <v>0</v>
      </c>
    </row>
    <row r="35" spans="1:44" x14ac:dyDescent="0.25">
      <c r="A35" s="15">
        <v>38352</v>
      </c>
      <c r="B35">
        <v>77.024679842319401</v>
      </c>
      <c r="C35">
        <v>69.904808946467725</v>
      </c>
      <c r="D35">
        <v>101.65395874629166</v>
      </c>
      <c r="E35">
        <v>67.923169332980237</v>
      </c>
      <c r="F35">
        <v>70.398557799152996</v>
      </c>
      <c r="G35">
        <v>81.151471150211634</v>
      </c>
      <c r="H35">
        <v>51.389293344833</v>
      </c>
      <c r="I35">
        <v>55.645647717141969</v>
      </c>
      <c r="J35">
        <v>77.015340908716695</v>
      </c>
      <c r="K35">
        <v>0.62484171870294902</v>
      </c>
      <c r="L35">
        <v>100.312145454545</v>
      </c>
      <c r="M35" s="16">
        <f>+'[3]VAR expectations'!C59</f>
        <v>2.1718892232885554</v>
      </c>
      <c r="N35">
        <v>0.52821538705181603</v>
      </c>
      <c r="O35">
        <v>0.200185341433055</v>
      </c>
      <c r="P35">
        <v>329</v>
      </c>
      <c r="Q35">
        <v>52</v>
      </c>
      <c r="R35">
        <v>467</v>
      </c>
      <c r="S35">
        <v>106</v>
      </c>
      <c r="T35">
        <v>19</v>
      </c>
      <c r="U35">
        <v>27</v>
      </c>
      <c r="V35">
        <f t="shared" si="1"/>
        <v>152</v>
      </c>
      <c r="X35">
        <f t="shared" si="2"/>
        <v>0.46244839742719535</v>
      </c>
      <c r="Y35">
        <f t="shared" si="20"/>
        <v>0.70106585047219028</v>
      </c>
      <c r="Z35">
        <f t="shared" si="21"/>
        <v>-0.55604494110633595</v>
      </c>
      <c r="AA35">
        <f t="shared" si="22"/>
        <v>0.27697728489603435</v>
      </c>
      <c r="AB35">
        <f t="shared" si="3"/>
        <v>0.28155745864945914</v>
      </c>
      <c r="AC35">
        <f t="shared" si="4"/>
        <v>7.6963510304437932E-2</v>
      </c>
      <c r="AD35">
        <f t="shared" si="5"/>
        <v>0.40777756203837612</v>
      </c>
      <c r="AE35">
        <f t="shared" si="6"/>
        <v>2.2864913175487729</v>
      </c>
      <c r="AF35">
        <f t="shared" si="7"/>
        <v>0.4193274877299018</v>
      </c>
      <c r="AG35">
        <f t="shared" si="8"/>
        <v>1.0046110895768012E-2</v>
      </c>
      <c r="AH35">
        <f t="shared" si="9"/>
        <v>-1.7862742424249944</v>
      </c>
      <c r="AI35">
        <f t="shared" si="10"/>
        <v>-0.40495517102843692</v>
      </c>
      <c r="AJ35">
        <f t="shared" si="11"/>
        <v>0.15951885276234601</v>
      </c>
      <c r="AK35">
        <f t="shared" si="12"/>
        <v>0.14321459019483118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  <c r="AP35">
        <f t="shared" si="17"/>
        <v>0</v>
      </c>
      <c r="AQ35">
        <f t="shared" si="18"/>
        <v>0</v>
      </c>
      <c r="AR35">
        <f t="shared" si="19"/>
        <v>0</v>
      </c>
    </row>
    <row r="36" spans="1:44" x14ac:dyDescent="0.25">
      <c r="A36" s="15">
        <v>38442</v>
      </c>
      <c r="B36">
        <v>77.519231176107169</v>
      </c>
      <c r="C36">
        <v>70.711753851160836</v>
      </c>
      <c r="D36">
        <v>101.224550821802</v>
      </c>
      <c r="E36">
        <v>68.690840572994531</v>
      </c>
      <c r="F36">
        <v>71.390648871021142</v>
      </c>
      <c r="G36">
        <v>80.604662189294956</v>
      </c>
      <c r="H36">
        <v>52.1517551844384</v>
      </c>
      <c r="I36">
        <v>56.449023556288402</v>
      </c>
      <c r="J36">
        <v>77.473805083463901</v>
      </c>
      <c r="K36">
        <v>0.62789457821978201</v>
      </c>
      <c r="L36">
        <v>100.67795468750001</v>
      </c>
      <c r="M36" s="16">
        <f>+'[3]VAR expectations'!C60</f>
        <v>2.2636382290406152</v>
      </c>
      <c r="N36">
        <v>0.50065150605009701</v>
      </c>
      <c r="O36">
        <v>4.8524115231025303E-2</v>
      </c>
      <c r="P36">
        <v>329</v>
      </c>
      <c r="Q36">
        <v>55</v>
      </c>
      <c r="R36">
        <v>464</v>
      </c>
      <c r="S36">
        <v>106</v>
      </c>
      <c r="T36">
        <v>20</v>
      </c>
      <c r="U36">
        <v>26</v>
      </c>
      <c r="V36">
        <f t="shared" si="1"/>
        <v>152</v>
      </c>
      <c r="X36">
        <f t="shared" si="2"/>
        <v>0.4945513337877685</v>
      </c>
      <c r="Y36">
        <f t="shared" si="20"/>
        <v>0.8069449046931112</v>
      </c>
      <c r="Z36">
        <f t="shared" si="21"/>
        <v>-0.42940792448966647</v>
      </c>
      <c r="AA36">
        <f t="shared" si="22"/>
        <v>0.76767124001429465</v>
      </c>
      <c r="AB36">
        <f t="shared" si="3"/>
        <v>0.99209107186814549</v>
      </c>
      <c r="AC36">
        <f t="shared" si="4"/>
        <v>-0.54680896091667819</v>
      </c>
      <c r="AD36">
        <f t="shared" si="5"/>
        <v>0.76246183960540037</v>
      </c>
      <c r="AE36">
        <f t="shared" si="6"/>
        <v>0.80337583914643318</v>
      </c>
      <c r="AF36">
        <f t="shared" si="7"/>
        <v>0.45846417474720624</v>
      </c>
      <c r="AG36">
        <f t="shared" si="8"/>
        <v>3.0528595168329842E-3</v>
      </c>
      <c r="AH36">
        <f t="shared" si="9"/>
        <v>0.36580923295500156</v>
      </c>
      <c r="AI36">
        <f t="shared" si="10"/>
        <v>-0.1418566341259857</v>
      </c>
      <c r="AJ36">
        <f t="shared" si="11"/>
        <v>-2.7563881001719026E-2</v>
      </c>
      <c r="AK36">
        <f t="shared" si="12"/>
        <v>-0.15166122620202971</v>
      </c>
      <c r="AL36">
        <f t="shared" si="13"/>
        <v>0</v>
      </c>
      <c r="AM36">
        <f t="shared" si="14"/>
        <v>3</v>
      </c>
      <c r="AN36">
        <f t="shared" si="15"/>
        <v>-3</v>
      </c>
      <c r="AO36">
        <f t="shared" si="16"/>
        <v>0</v>
      </c>
      <c r="AP36">
        <f t="shared" si="17"/>
        <v>1</v>
      </c>
      <c r="AQ36">
        <f t="shared" si="18"/>
        <v>-1</v>
      </c>
      <c r="AR36">
        <f t="shared" si="19"/>
        <v>0</v>
      </c>
    </row>
    <row r="37" spans="1:44" x14ac:dyDescent="0.25">
      <c r="A37" s="15">
        <v>38533</v>
      </c>
      <c r="B37">
        <v>77.860319039965134</v>
      </c>
      <c r="C37">
        <v>71.482542510630239</v>
      </c>
      <c r="D37">
        <v>100.61472786661368</v>
      </c>
      <c r="E37">
        <v>68.823685139220927</v>
      </c>
      <c r="F37">
        <v>71.584679044364876</v>
      </c>
      <c r="G37">
        <v>80.155897015147175</v>
      </c>
      <c r="H37">
        <v>52.541890037276467</v>
      </c>
      <c r="I37">
        <v>57.440858337591798</v>
      </c>
      <c r="J37">
        <v>77.926612974031798</v>
      </c>
      <c r="K37">
        <v>0.62404102684160401</v>
      </c>
      <c r="L37">
        <v>101.57767076923101</v>
      </c>
      <c r="M37" s="16">
        <f>+'[3]VAR expectations'!C61</f>
        <v>2.420078349479549</v>
      </c>
      <c r="N37">
        <v>0.50804321100112604</v>
      </c>
      <c r="O37">
        <v>0.204065629477542</v>
      </c>
      <c r="P37">
        <v>329</v>
      </c>
      <c r="Q37">
        <v>55</v>
      </c>
      <c r="R37">
        <v>464</v>
      </c>
      <c r="S37">
        <v>106</v>
      </c>
      <c r="T37">
        <v>20</v>
      </c>
      <c r="U37">
        <v>26</v>
      </c>
      <c r="V37">
        <f t="shared" si="1"/>
        <v>152</v>
      </c>
      <c r="X37">
        <f t="shared" si="2"/>
        <v>0.34108786385796463</v>
      </c>
      <c r="Y37">
        <f t="shared" si="20"/>
        <v>0.77078865946940311</v>
      </c>
      <c r="Z37">
        <f t="shared" si="21"/>
        <v>-0.60982295518832075</v>
      </c>
      <c r="AA37">
        <f t="shared" si="22"/>
        <v>0.13284456622639595</v>
      </c>
      <c r="AB37">
        <f t="shared" si="3"/>
        <v>0.19403017334373374</v>
      </c>
      <c r="AC37">
        <f t="shared" si="4"/>
        <v>-0.4487651741477805</v>
      </c>
      <c r="AD37">
        <f t="shared" si="5"/>
        <v>0.39013485283806659</v>
      </c>
      <c r="AE37">
        <f t="shared" si="6"/>
        <v>0.99183478130339608</v>
      </c>
      <c r="AF37">
        <f t="shared" si="7"/>
        <v>0.45280789056789672</v>
      </c>
      <c r="AG37">
        <f t="shared" si="8"/>
        <v>-3.8535513781779995E-3</v>
      </c>
      <c r="AH37">
        <f t="shared" si="9"/>
        <v>0.89971608173100037</v>
      </c>
      <c r="AI37">
        <f t="shared" si="10"/>
        <v>2.9759784829155755E-2</v>
      </c>
      <c r="AJ37">
        <f t="shared" si="11"/>
        <v>7.3917049510290322E-3</v>
      </c>
      <c r="AK37">
        <f t="shared" si="12"/>
        <v>0.15554151424651669</v>
      </c>
      <c r="AL37">
        <f t="shared" si="13"/>
        <v>0</v>
      </c>
      <c r="AM37">
        <f t="shared" si="14"/>
        <v>0</v>
      </c>
      <c r="AN37">
        <f t="shared" si="15"/>
        <v>0</v>
      </c>
      <c r="AO37">
        <f t="shared" si="16"/>
        <v>0</v>
      </c>
      <c r="AP37">
        <f t="shared" si="17"/>
        <v>0</v>
      </c>
      <c r="AQ37">
        <f t="shared" si="18"/>
        <v>0</v>
      </c>
      <c r="AR37">
        <f t="shared" si="19"/>
        <v>0</v>
      </c>
    </row>
    <row r="38" spans="1:44" x14ac:dyDescent="0.25">
      <c r="A38" s="15">
        <v>38625</v>
      </c>
      <c r="B38">
        <v>78.392641647215498</v>
      </c>
      <c r="C38">
        <v>72.329300982486799</v>
      </c>
      <c r="D38">
        <v>100.07117850201189</v>
      </c>
      <c r="E38">
        <v>68.937238070698058</v>
      </c>
      <c r="F38">
        <v>71.487850246053981</v>
      </c>
      <c r="G38">
        <v>80.839757344550961</v>
      </c>
      <c r="H38">
        <v>52.691778596856601</v>
      </c>
      <c r="I38">
        <v>60.297134294160365</v>
      </c>
      <c r="J38">
        <v>78.429892117686506</v>
      </c>
      <c r="K38">
        <v>0.64005400942808899</v>
      </c>
      <c r="L38">
        <v>99.734880303030295</v>
      </c>
      <c r="M38" s="16">
        <f>+'[3]VAR expectations'!C62</f>
        <v>2.3348466240519783</v>
      </c>
      <c r="N38">
        <v>0.70017615103754105</v>
      </c>
      <c r="O38">
        <v>0.242344274322987</v>
      </c>
      <c r="P38">
        <v>329</v>
      </c>
      <c r="Q38">
        <v>55</v>
      </c>
      <c r="R38">
        <v>464</v>
      </c>
      <c r="S38">
        <v>106</v>
      </c>
      <c r="T38">
        <v>20</v>
      </c>
      <c r="U38">
        <v>26</v>
      </c>
      <c r="V38">
        <f t="shared" si="1"/>
        <v>152</v>
      </c>
      <c r="X38">
        <f t="shared" si="2"/>
        <v>0.5323226072503644</v>
      </c>
      <c r="Y38">
        <f t="shared" si="20"/>
        <v>0.84675847185656039</v>
      </c>
      <c r="Z38">
        <f t="shared" si="21"/>
        <v>-0.54354936460178749</v>
      </c>
      <c r="AA38">
        <f t="shared" si="22"/>
        <v>0.11355293147713041</v>
      </c>
      <c r="AB38">
        <f t="shared" si="3"/>
        <v>-9.6828798310895081E-2</v>
      </c>
      <c r="AC38">
        <f t="shared" si="4"/>
        <v>0.68386032940378527</v>
      </c>
      <c r="AD38">
        <f t="shared" si="5"/>
        <v>0.14988855958013403</v>
      </c>
      <c r="AE38">
        <f t="shared" si="6"/>
        <v>2.8562759565685667</v>
      </c>
      <c r="AF38">
        <f t="shared" si="7"/>
        <v>0.50327914365470861</v>
      </c>
      <c r="AG38">
        <f t="shared" si="8"/>
        <v>1.6012982586484981E-2</v>
      </c>
      <c r="AH38">
        <f t="shared" si="9"/>
        <v>-1.8427904662007109</v>
      </c>
      <c r="AI38">
        <f t="shared" si="10"/>
        <v>7.2653005697854933E-2</v>
      </c>
      <c r="AJ38">
        <f t="shared" si="11"/>
        <v>0.19213294003641501</v>
      </c>
      <c r="AK38">
        <f t="shared" si="12"/>
        <v>3.8278644845444992E-2</v>
      </c>
      <c r="AL38">
        <f t="shared" si="13"/>
        <v>0</v>
      </c>
      <c r="AM38">
        <f t="shared" si="14"/>
        <v>0</v>
      </c>
      <c r="AN38">
        <f t="shared" si="15"/>
        <v>0</v>
      </c>
      <c r="AO38">
        <f t="shared" si="16"/>
        <v>0</v>
      </c>
      <c r="AP38">
        <f t="shared" si="17"/>
        <v>0</v>
      </c>
      <c r="AQ38">
        <f t="shared" si="18"/>
        <v>0</v>
      </c>
      <c r="AR38">
        <f t="shared" si="19"/>
        <v>0</v>
      </c>
    </row>
    <row r="39" spans="1:44" x14ac:dyDescent="0.25">
      <c r="A39" s="15">
        <v>38717</v>
      </c>
      <c r="B39">
        <v>78.6650109310023</v>
      </c>
      <c r="C39">
        <v>72.76231699168676</v>
      </c>
      <c r="D39">
        <v>99.588196020431226</v>
      </c>
      <c r="E39">
        <v>69.148767012309762</v>
      </c>
      <c r="F39">
        <v>71.487766538913363</v>
      </c>
      <c r="G39">
        <v>80.757559259722939</v>
      </c>
      <c r="H39">
        <v>53.78196520630194</v>
      </c>
      <c r="I39">
        <v>62.2130789827755</v>
      </c>
      <c r="J39">
        <v>78.650455282462801</v>
      </c>
      <c r="K39">
        <v>0.64257239123518295</v>
      </c>
      <c r="L39">
        <v>99.510515384615402</v>
      </c>
      <c r="M39" s="16">
        <f>+'[3]VAR expectations'!C63</f>
        <v>2.329046618617225</v>
      </c>
      <c r="N39">
        <v>0.64873933629690095</v>
      </c>
      <c r="O39">
        <v>0.150036034492979</v>
      </c>
      <c r="P39">
        <v>329</v>
      </c>
      <c r="Q39">
        <v>55</v>
      </c>
      <c r="R39">
        <v>464</v>
      </c>
      <c r="S39">
        <v>106</v>
      </c>
      <c r="T39">
        <v>20</v>
      </c>
      <c r="U39">
        <v>26</v>
      </c>
      <c r="V39">
        <f t="shared" si="1"/>
        <v>152</v>
      </c>
      <c r="X39">
        <f t="shared" si="2"/>
        <v>0.27236928378680147</v>
      </c>
      <c r="Y39">
        <f t="shared" si="20"/>
        <v>0.43301600919996019</v>
      </c>
      <c r="Z39">
        <f t="shared" si="21"/>
        <v>-0.48298248158066315</v>
      </c>
      <c r="AA39">
        <f t="shared" si="22"/>
        <v>0.21152894161170366</v>
      </c>
      <c r="AB39">
        <f t="shared" si="3"/>
        <v>-8.3707140618116682E-5</v>
      </c>
      <c r="AC39">
        <f t="shared" si="4"/>
        <v>-8.2198084828021933E-2</v>
      </c>
      <c r="AD39">
        <f t="shared" si="5"/>
        <v>1.0901866094453396</v>
      </c>
      <c r="AE39">
        <f t="shared" si="6"/>
        <v>1.9159446886151343</v>
      </c>
      <c r="AF39">
        <f t="shared" si="7"/>
        <v>0.22056316477629423</v>
      </c>
      <c r="AG39">
        <f t="shared" si="8"/>
        <v>2.5183818070939612E-3</v>
      </c>
      <c r="AH39">
        <f t="shared" si="9"/>
        <v>-0.22436491841489214</v>
      </c>
      <c r="AI39">
        <f t="shared" si="10"/>
        <v>5.2893021621821745E-2</v>
      </c>
      <c r="AJ39">
        <f t="shared" si="11"/>
        <v>-5.1436814740640102E-2</v>
      </c>
      <c r="AK39">
        <f t="shared" si="12"/>
        <v>-9.2308239830007993E-2</v>
      </c>
      <c r="AL39">
        <f t="shared" si="13"/>
        <v>0</v>
      </c>
      <c r="AM39">
        <f t="shared" si="14"/>
        <v>0</v>
      </c>
      <c r="AN39">
        <f t="shared" si="15"/>
        <v>0</v>
      </c>
      <c r="AO39">
        <f t="shared" si="16"/>
        <v>0</v>
      </c>
      <c r="AP39">
        <f t="shared" si="17"/>
        <v>0</v>
      </c>
      <c r="AQ39">
        <f t="shared" si="18"/>
        <v>0</v>
      </c>
      <c r="AR39">
        <f t="shared" si="19"/>
        <v>0</v>
      </c>
    </row>
    <row r="40" spans="1:44" x14ac:dyDescent="0.25">
      <c r="A40" s="15">
        <v>38807</v>
      </c>
      <c r="B40">
        <v>79.028056405096038</v>
      </c>
      <c r="C40">
        <v>73.385241780506931</v>
      </c>
      <c r="D40">
        <v>99.218511677460256</v>
      </c>
      <c r="E40">
        <v>69.456235720820999</v>
      </c>
      <c r="F40">
        <v>71.887123990551444</v>
      </c>
      <c r="G40">
        <v>80.784701223545497</v>
      </c>
      <c r="H40">
        <v>54.031494090685165</v>
      </c>
      <c r="I40">
        <v>63.507502811969232</v>
      </c>
      <c r="J40">
        <v>78.979694161115503</v>
      </c>
      <c r="K40">
        <v>0.652090387217511</v>
      </c>
      <c r="L40">
        <v>98.760283076923102</v>
      </c>
      <c r="M40" s="16">
        <f>+'[3]VAR expectations'!C64</f>
        <v>2.5421835321638784</v>
      </c>
      <c r="N40">
        <v>0.71062376825367302</v>
      </c>
      <c r="O40">
        <v>9.3912785774244806E-2</v>
      </c>
      <c r="P40">
        <v>341</v>
      </c>
      <c r="Q40">
        <v>67</v>
      </c>
      <c r="R40">
        <v>446</v>
      </c>
      <c r="S40">
        <v>102</v>
      </c>
      <c r="T40">
        <v>18</v>
      </c>
      <c r="U40">
        <v>26</v>
      </c>
      <c r="V40">
        <f t="shared" si="1"/>
        <v>146</v>
      </c>
      <c r="X40">
        <f t="shared" si="2"/>
        <v>0.36304547409373811</v>
      </c>
      <c r="Y40">
        <f t="shared" si="20"/>
        <v>0.62292478882017122</v>
      </c>
      <c r="Z40">
        <f t="shared" si="21"/>
        <v>-0.36968434297097019</v>
      </c>
      <c r="AA40">
        <f t="shared" si="22"/>
        <v>0.30746870851123731</v>
      </c>
      <c r="AB40">
        <f t="shared" si="3"/>
        <v>0.39935745163808178</v>
      </c>
      <c r="AC40">
        <f t="shared" si="4"/>
        <v>2.7141963822558068E-2</v>
      </c>
      <c r="AD40">
        <f t="shared" si="5"/>
        <v>0.24952888438322418</v>
      </c>
      <c r="AE40">
        <f t="shared" si="6"/>
        <v>1.2944238291937324</v>
      </c>
      <c r="AF40">
        <f t="shared" si="7"/>
        <v>0.32923887865270274</v>
      </c>
      <c r="AG40">
        <f t="shared" si="8"/>
        <v>9.5179959823280536E-3</v>
      </c>
      <c r="AH40">
        <f t="shared" si="9"/>
        <v>-0.75023230769230054</v>
      </c>
      <c r="AI40">
        <f t="shared" si="10"/>
        <v>0.20380751844655576</v>
      </c>
      <c r="AJ40">
        <f t="shared" si="11"/>
        <v>6.1884431956772068E-2</v>
      </c>
      <c r="AK40">
        <f t="shared" si="12"/>
        <v>-5.6123248718734198E-2</v>
      </c>
      <c r="AL40">
        <f t="shared" si="13"/>
        <v>12</v>
      </c>
      <c r="AM40">
        <f t="shared" si="14"/>
        <v>12</v>
      </c>
      <c r="AN40">
        <f t="shared" si="15"/>
        <v>-18</v>
      </c>
      <c r="AO40">
        <f t="shared" si="16"/>
        <v>-4</v>
      </c>
      <c r="AP40">
        <f t="shared" si="17"/>
        <v>-2</v>
      </c>
      <c r="AQ40">
        <f t="shared" si="18"/>
        <v>0</v>
      </c>
      <c r="AR40">
        <f t="shared" si="19"/>
        <v>-6</v>
      </c>
    </row>
    <row r="41" spans="1:44" x14ac:dyDescent="0.25">
      <c r="A41" s="15">
        <v>38898</v>
      </c>
      <c r="B41">
        <v>79.616100225425328</v>
      </c>
      <c r="C41">
        <v>74.005587617268034</v>
      </c>
      <c r="D41">
        <v>98.648450712308275</v>
      </c>
      <c r="E41">
        <v>69.890091453383164</v>
      </c>
      <c r="F41">
        <v>72.381509189292998</v>
      </c>
      <c r="G41">
        <v>80.348361076617337</v>
      </c>
      <c r="H41">
        <v>54.731568788130495</v>
      </c>
      <c r="I41">
        <v>67.671668071312865</v>
      </c>
      <c r="J41">
        <v>79.688483811502905</v>
      </c>
      <c r="K41">
        <v>0.65617518075692405</v>
      </c>
      <c r="L41">
        <v>100.279141538462</v>
      </c>
      <c r="M41" s="16">
        <f>+'[3]VAR expectations'!C65</f>
        <v>2.3887461732171329</v>
      </c>
      <c r="N41">
        <v>1.0848462424740499</v>
      </c>
      <c r="O41">
        <v>0.58313714236387104</v>
      </c>
      <c r="P41">
        <v>341</v>
      </c>
      <c r="Q41">
        <v>67</v>
      </c>
      <c r="R41">
        <v>446</v>
      </c>
      <c r="S41">
        <v>102</v>
      </c>
      <c r="T41">
        <v>18</v>
      </c>
      <c r="U41">
        <v>26</v>
      </c>
      <c r="V41">
        <f t="shared" si="1"/>
        <v>146</v>
      </c>
      <c r="X41">
        <f t="shared" si="2"/>
        <v>0.5880438203292897</v>
      </c>
      <c r="Y41">
        <f t="shared" si="20"/>
        <v>0.62034583676110344</v>
      </c>
      <c r="Z41">
        <f t="shared" si="21"/>
        <v>-0.57006096515198124</v>
      </c>
      <c r="AA41">
        <f t="shared" si="22"/>
        <v>0.43385573256216503</v>
      </c>
      <c r="AB41">
        <f t="shared" si="3"/>
        <v>0.49438519874155418</v>
      </c>
      <c r="AC41">
        <f t="shared" si="4"/>
        <v>-0.43634014692815981</v>
      </c>
      <c r="AD41">
        <f t="shared" si="5"/>
        <v>0.70007469744533068</v>
      </c>
      <c r="AE41">
        <f t="shared" si="6"/>
        <v>4.1641652593436334</v>
      </c>
      <c r="AF41">
        <f t="shared" si="7"/>
        <v>0.70878965038740205</v>
      </c>
      <c r="AG41">
        <f t="shared" si="8"/>
        <v>4.0847935394130452E-3</v>
      </c>
      <c r="AH41">
        <f t="shared" si="9"/>
        <v>1.5188584615388976</v>
      </c>
      <c r="AI41">
        <f t="shared" si="10"/>
        <v>-7.7920493449514794E-2</v>
      </c>
      <c r="AJ41">
        <f t="shared" si="11"/>
        <v>0.37422247422037691</v>
      </c>
      <c r="AK41">
        <f t="shared" si="12"/>
        <v>0.48922435658962626</v>
      </c>
      <c r="AL41">
        <f t="shared" si="13"/>
        <v>0</v>
      </c>
      <c r="AM41">
        <f t="shared" si="14"/>
        <v>0</v>
      </c>
      <c r="AN41">
        <f t="shared" si="15"/>
        <v>0</v>
      </c>
      <c r="AO41">
        <f t="shared" si="16"/>
        <v>0</v>
      </c>
      <c r="AP41">
        <f t="shared" si="17"/>
        <v>0</v>
      </c>
      <c r="AQ41">
        <f t="shared" si="18"/>
        <v>0</v>
      </c>
      <c r="AR41">
        <f t="shared" si="19"/>
        <v>0</v>
      </c>
    </row>
    <row r="42" spans="1:44" x14ac:dyDescent="0.25">
      <c r="A42" s="15">
        <v>38990</v>
      </c>
      <c r="B42">
        <v>80.274543396524294</v>
      </c>
      <c r="C42">
        <v>74.554497667706627</v>
      </c>
      <c r="D42">
        <v>98.578686661604138</v>
      </c>
      <c r="E42">
        <v>71.285664208466599</v>
      </c>
      <c r="F42">
        <v>73.986476840642638</v>
      </c>
      <c r="G42">
        <v>80.810976586724337</v>
      </c>
      <c r="H42">
        <v>55.632163947862068</v>
      </c>
      <c r="I42">
        <v>70.050693769964226</v>
      </c>
      <c r="J42">
        <v>80.3140859444444</v>
      </c>
      <c r="K42">
        <v>0.65104403115045795</v>
      </c>
      <c r="L42">
        <v>102.332647692308</v>
      </c>
      <c r="M42" s="16">
        <f>+'[3]VAR expectations'!C66</f>
        <v>2.197575219813666</v>
      </c>
      <c r="N42">
        <v>1.0480109248003999</v>
      </c>
      <c r="O42">
        <v>0.20579069700496899</v>
      </c>
      <c r="P42">
        <v>341</v>
      </c>
      <c r="Q42">
        <v>67</v>
      </c>
      <c r="R42">
        <v>446</v>
      </c>
      <c r="S42">
        <v>102</v>
      </c>
      <c r="T42">
        <v>18</v>
      </c>
      <c r="U42">
        <v>26</v>
      </c>
      <c r="V42">
        <f t="shared" si="1"/>
        <v>146</v>
      </c>
      <c r="X42">
        <f t="shared" si="2"/>
        <v>0.65844317109896622</v>
      </c>
      <c r="Y42">
        <f t="shared" si="20"/>
        <v>0.54891005043859309</v>
      </c>
      <c r="Z42">
        <f t="shared" si="21"/>
        <v>-6.9764050704137048E-2</v>
      </c>
      <c r="AA42">
        <f t="shared" si="22"/>
        <v>1.3955727550834354</v>
      </c>
      <c r="AB42">
        <f t="shared" si="3"/>
        <v>1.6049676513496394</v>
      </c>
      <c r="AC42">
        <f t="shared" si="4"/>
        <v>0.46261551010699975</v>
      </c>
      <c r="AD42">
        <f t="shared" si="5"/>
        <v>0.90059515973157289</v>
      </c>
      <c r="AE42">
        <f t="shared" si="6"/>
        <v>2.3790256986513612</v>
      </c>
      <c r="AF42">
        <f t="shared" si="7"/>
        <v>0.62560213294149492</v>
      </c>
      <c r="AG42">
        <f t="shared" si="8"/>
        <v>-5.1311496064661011E-3</v>
      </c>
      <c r="AH42">
        <f t="shared" si="9"/>
        <v>2.0535061538460013</v>
      </c>
      <c r="AI42">
        <f t="shared" si="10"/>
        <v>-0.20242478018634635</v>
      </c>
      <c r="AJ42">
        <f t="shared" si="11"/>
        <v>-3.6835317673650003E-2</v>
      </c>
      <c r="AK42">
        <f t="shared" si="12"/>
        <v>-0.37734644535890205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  <c r="AP42">
        <f t="shared" si="17"/>
        <v>0</v>
      </c>
      <c r="AQ42">
        <f t="shared" si="18"/>
        <v>0</v>
      </c>
      <c r="AR42">
        <f t="shared" si="19"/>
        <v>0</v>
      </c>
    </row>
    <row r="43" spans="1:44" x14ac:dyDescent="0.25">
      <c r="A43" s="15">
        <v>39082</v>
      </c>
      <c r="B43">
        <v>80.800427132545607</v>
      </c>
      <c r="C43">
        <v>75.456551080588838</v>
      </c>
      <c r="D43">
        <v>98.55851182358596</v>
      </c>
      <c r="E43">
        <v>72.05791184393081</v>
      </c>
      <c r="F43">
        <v>74.869558595355159</v>
      </c>
      <c r="G43">
        <v>81.596469153893167</v>
      </c>
      <c r="H43">
        <v>56.187332522586701</v>
      </c>
      <c r="I43">
        <v>69.842554979972434</v>
      </c>
      <c r="J43">
        <v>80.7676039528492</v>
      </c>
      <c r="K43">
        <v>0.64418906925003505</v>
      </c>
      <c r="L43">
        <v>103.713430769231</v>
      </c>
      <c r="M43" s="16">
        <f>+'[3]VAR expectations'!C67</f>
        <v>2.507260502799705</v>
      </c>
      <c r="N43">
        <v>0.81313574028850799</v>
      </c>
      <c r="O43">
        <v>-8.0932616320032805E-2</v>
      </c>
      <c r="P43">
        <v>341</v>
      </c>
      <c r="Q43">
        <v>67</v>
      </c>
      <c r="R43">
        <v>446</v>
      </c>
      <c r="S43">
        <v>102</v>
      </c>
      <c r="T43">
        <v>18</v>
      </c>
      <c r="U43">
        <v>26</v>
      </c>
      <c r="V43">
        <f t="shared" si="1"/>
        <v>146</v>
      </c>
      <c r="X43">
        <f t="shared" si="2"/>
        <v>0.52588373602131355</v>
      </c>
      <c r="Y43">
        <f t="shared" si="20"/>
        <v>0.90205341288221064</v>
      </c>
      <c r="Z43">
        <f t="shared" si="21"/>
        <v>-2.017483801817832E-2</v>
      </c>
      <c r="AA43">
        <f t="shared" si="22"/>
        <v>0.77224763546421116</v>
      </c>
      <c r="AB43">
        <f t="shared" si="3"/>
        <v>0.88308175471252071</v>
      </c>
      <c r="AC43">
        <f t="shared" si="4"/>
        <v>0.78549256716883065</v>
      </c>
      <c r="AD43">
        <f t="shared" si="5"/>
        <v>0.55516857472463244</v>
      </c>
      <c r="AE43">
        <f t="shared" si="6"/>
        <v>-0.20813878999179281</v>
      </c>
      <c r="AF43">
        <f t="shared" si="7"/>
        <v>0.45351800840479939</v>
      </c>
      <c r="AG43">
        <f t="shared" si="8"/>
        <v>-6.8549619004228957E-3</v>
      </c>
      <c r="AH43">
        <f t="shared" si="9"/>
        <v>1.3807830769229952</v>
      </c>
      <c r="AI43">
        <f t="shared" si="10"/>
        <v>0.20726050279972075</v>
      </c>
      <c r="AJ43">
        <f t="shared" si="11"/>
        <v>-0.23487518451189193</v>
      </c>
      <c r="AK43">
        <f t="shared" si="12"/>
        <v>-0.28672331332500178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  <c r="AP43">
        <f t="shared" si="17"/>
        <v>0</v>
      </c>
      <c r="AQ43">
        <f t="shared" si="18"/>
        <v>0</v>
      </c>
      <c r="AR43">
        <f t="shared" si="19"/>
        <v>0</v>
      </c>
    </row>
    <row r="44" spans="1:44" x14ac:dyDescent="0.25">
      <c r="A44" s="15">
        <v>39172</v>
      </c>
      <c r="B44">
        <v>81.294136618175912</v>
      </c>
      <c r="C44">
        <v>76.094739715081161</v>
      </c>
      <c r="D44">
        <v>98.47129778946919</v>
      </c>
      <c r="E44">
        <v>72.551116044786497</v>
      </c>
      <c r="F44">
        <v>75.238861106674236</v>
      </c>
      <c r="G44">
        <v>81.666506596602034</v>
      </c>
      <c r="H44">
        <v>57.265354626060002</v>
      </c>
      <c r="I44">
        <v>71.130011789566865</v>
      </c>
      <c r="J44">
        <v>81.262667673769101</v>
      </c>
      <c r="K44">
        <v>0.63269312835008995</v>
      </c>
      <c r="L44">
        <v>104.730033846154</v>
      </c>
      <c r="M44" s="16">
        <f>+'[3]VAR expectations'!C68</f>
        <v>2.5370974361013499</v>
      </c>
      <c r="N44">
        <v>0.81545309377751096</v>
      </c>
      <c r="O44">
        <v>0.110154954327973</v>
      </c>
      <c r="P44">
        <v>326</v>
      </c>
      <c r="Q44">
        <v>75</v>
      </c>
      <c r="R44">
        <v>453</v>
      </c>
      <c r="S44">
        <v>103</v>
      </c>
      <c r="T44">
        <v>18</v>
      </c>
      <c r="U44">
        <v>25</v>
      </c>
      <c r="V44">
        <f t="shared" si="1"/>
        <v>146</v>
      </c>
      <c r="X44">
        <f t="shared" si="2"/>
        <v>0.49370948563030481</v>
      </c>
      <c r="Y44">
        <f t="shared" si="20"/>
        <v>0.6381886344923231</v>
      </c>
      <c r="Z44">
        <f t="shared" si="21"/>
        <v>-8.7214034116769312E-2</v>
      </c>
      <c r="AA44">
        <f t="shared" si="22"/>
        <v>0.49320420085568628</v>
      </c>
      <c r="AB44">
        <f t="shared" si="3"/>
        <v>0.3693025113190771</v>
      </c>
      <c r="AC44">
        <f t="shared" si="4"/>
        <v>7.0037442708866138E-2</v>
      </c>
      <c r="AD44">
        <f t="shared" si="5"/>
        <v>1.0780221034733017</v>
      </c>
      <c r="AE44">
        <f t="shared" si="6"/>
        <v>1.2874568095944312</v>
      </c>
      <c r="AF44">
        <f t="shared" si="7"/>
        <v>0.49506372091990158</v>
      </c>
      <c r="AG44">
        <f t="shared" si="8"/>
        <v>-1.1495940899945101E-2</v>
      </c>
      <c r="AH44">
        <f t="shared" si="9"/>
        <v>1.0166030769230048</v>
      </c>
      <c r="AI44">
        <f t="shared" si="10"/>
        <v>0.10376410276798653</v>
      </c>
      <c r="AJ44">
        <f t="shared" si="11"/>
        <v>2.3173534890029712E-3</v>
      </c>
      <c r="AK44">
        <f t="shared" si="12"/>
        <v>0.1910875706480058</v>
      </c>
      <c r="AL44">
        <f t="shared" si="13"/>
        <v>-15</v>
      </c>
      <c r="AM44">
        <f t="shared" si="14"/>
        <v>8</v>
      </c>
      <c r="AN44">
        <f t="shared" si="15"/>
        <v>7</v>
      </c>
      <c r="AO44">
        <f t="shared" si="16"/>
        <v>1</v>
      </c>
      <c r="AP44">
        <f t="shared" si="17"/>
        <v>0</v>
      </c>
      <c r="AQ44">
        <f t="shared" si="18"/>
        <v>-1</v>
      </c>
      <c r="AR44">
        <f t="shared" si="19"/>
        <v>0</v>
      </c>
    </row>
    <row r="45" spans="1:44" x14ac:dyDescent="0.25">
      <c r="A45" s="15">
        <v>39263</v>
      </c>
      <c r="B45">
        <v>81.649031387279209</v>
      </c>
      <c r="C45">
        <v>76.642439912560803</v>
      </c>
      <c r="D45">
        <v>98.272229618024468</v>
      </c>
      <c r="E45">
        <v>73.298449248593599</v>
      </c>
      <c r="F45">
        <v>76.216291536187541</v>
      </c>
      <c r="G45">
        <v>81.349848710347601</v>
      </c>
      <c r="H45">
        <v>57.844587255826099</v>
      </c>
      <c r="I45">
        <v>71.15515842146344</v>
      </c>
      <c r="J45">
        <v>81.726256142183999</v>
      </c>
      <c r="K45">
        <v>0.64008688386534296</v>
      </c>
      <c r="L45">
        <v>104.239373846154</v>
      </c>
      <c r="M45" s="16">
        <f>+'[3]VAR expectations'!C69</f>
        <v>2.6184554615948845</v>
      </c>
      <c r="N45">
        <v>0.37404988473768203</v>
      </c>
      <c r="O45">
        <v>0.14035169197522099</v>
      </c>
      <c r="P45">
        <v>326</v>
      </c>
      <c r="Q45">
        <v>75</v>
      </c>
      <c r="R45">
        <v>453</v>
      </c>
      <c r="S45">
        <v>103</v>
      </c>
      <c r="T45">
        <v>18</v>
      </c>
      <c r="U45">
        <v>25</v>
      </c>
      <c r="V45">
        <f t="shared" si="1"/>
        <v>146</v>
      </c>
      <c r="X45">
        <f t="shared" si="2"/>
        <v>0.35489476910329643</v>
      </c>
      <c r="Y45">
        <f t="shared" si="20"/>
        <v>0.54770019747964227</v>
      </c>
      <c r="Z45">
        <f t="shared" si="21"/>
        <v>-0.199068171444722</v>
      </c>
      <c r="AA45">
        <f t="shared" si="22"/>
        <v>0.74733320380710211</v>
      </c>
      <c r="AB45">
        <f t="shared" si="3"/>
        <v>0.97743042951330494</v>
      </c>
      <c r="AC45">
        <f t="shared" si="4"/>
        <v>-0.3166578862544327</v>
      </c>
      <c r="AD45">
        <f t="shared" si="5"/>
        <v>0.57923262976609635</v>
      </c>
      <c r="AE45">
        <f t="shared" si="6"/>
        <v>2.51466318965754E-2</v>
      </c>
      <c r="AF45">
        <f t="shared" si="7"/>
        <v>0.46358846841489765</v>
      </c>
      <c r="AG45">
        <f t="shared" si="8"/>
        <v>7.3937555152530088E-3</v>
      </c>
      <c r="AH45">
        <f t="shared" si="9"/>
        <v>-0.49066000000000543</v>
      </c>
      <c r="AI45">
        <f t="shared" si="10"/>
        <v>8.5122128261542418E-2</v>
      </c>
      <c r="AJ45">
        <f t="shared" si="11"/>
        <v>-0.44140320903982894</v>
      </c>
      <c r="AK45">
        <f t="shared" si="12"/>
        <v>3.0196737647247993E-2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  <c r="AP45">
        <f t="shared" si="17"/>
        <v>0</v>
      </c>
      <c r="AQ45">
        <f t="shared" si="18"/>
        <v>0</v>
      </c>
      <c r="AR45">
        <f t="shared" si="19"/>
        <v>0</v>
      </c>
    </row>
    <row r="46" spans="1:44" x14ac:dyDescent="0.25">
      <c r="A46" s="15">
        <v>39355</v>
      </c>
      <c r="B46">
        <v>81.704607649355637</v>
      </c>
      <c r="C46">
        <v>77.223121066424127</v>
      </c>
      <c r="D46">
        <v>97.540757784927692</v>
      </c>
      <c r="E46">
        <v>73.551211882680761</v>
      </c>
      <c r="F46">
        <v>76.301462693589997</v>
      </c>
      <c r="G46">
        <v>81.728890813466364</v>
      </c>
      <c r="H46">
        <v>58.326849903898335</v>
      </c>
      <c r="I46">
        <v>70.482016023792468</v>
      </c>
      <c r="J46">
        <v>81.7387605418172</v>
      </c>
      <c r="K46">
        <v>0.64067203317101096</v>
      </c>
      <c r="L46">
        <v>104.41271846153801</v>
      </c>
      <c r="M46" s="16">
        <f>+'[3]VAR expectations'!C70</f>
        <v>2.5768443943169923</v>
      </c>
      <c r="N46">
        <v>4.4323022748277999E-2</v>
      </c>
      <c r="O46">
        <v>-0.11833065960497099</v>
      </c>
      <c r="P46">
        <v>326</v>
      </c>
      <c r="Q46">
        <v>75</v>
      </c>
      <c r="R46">
        <v>453</v>
      </c>
      <c r="S46">
        <v>103</v>
      </c>
      <c r="T46">
        <v>18</v>
      </c>
      <c r="U46">
        <v>25</v>
      </c>
      <c r="V46">
        <f t="shared" si="1"/>
        <v>146</v>
      </c>
      <c r="X46">
        <f t="shared" si="2"/>
        <v>5.5576262076428407E-2</v>
      </c>
      <c r="Y46">
        <f t="shared" si="20"/>
        <v>0.58068115386332408</v>
      </c>
      <c r="Z46">
        <f t="shared" si="21"/>
        <v>-0.73147183309677644</v>
      </c>
      <c r="AA46">
        <f t="shared" si="22"/>
        <v>0.25276263408716204</v>
      </c>
      <c r="AB46">
        <f t="shared" si="3"/>
        <v>8.5171157402456288E-2</v>
      </c>
      <c r="AC46">
        <f t="shared" si="4"/>
        <v>0.37904210311876341</v>
      </c>
      <c r="AD46">
        <f t="shared" si="5"/>
        <v>0.48226264807223629</v>
      </c>
      <c r="AE46">
        <f t="shared" si="6"/>
        <v>-0.67314239767097206</v>
      </c>
      <c r="AF46">
        <f t="shared" si="7"/>
        <v>1.2504399633201047E-2</v>
      </c>
      <c r="AG46">
        <f t="shared" si="8"/>
        <v>5.8514930566799794E-4</v>
      </c>
      <c r="AH46">
        <f t="shared" si="9"/>
        <v>0.17334461538401058</v>
      </c>
      <c r="AI46">
        <f t="shared" si="10"/>
        <v>0.11017772765031086</v>
      </c>
      <c r="AJ46">
        <f t="shared" si="11"/>
        <v>-0.32972686198940404</v>
      </c>
      <c r="AK46">
        <f t="shared" si="12"/>
        <v>-0.25868235158019198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  <c r="AP46">
        <f t="shared" si="17"/>
        <v>0</v>
      </c>
      <c r="AQ46">
        <f t="shared" si="18"/>
        <v>0</v>
      </c>
      <c r="AR46">
        <f t="shared" si="19"/>
        <v>0</v>
      </c>
    </row>
    <row r="47" spans="1:44" x14ac:dyDescent="0.25">
      <c r="A47" s="15">
        <v>39447</v>
      </c>
      <c r="B47">
        <v>82.511309278758574</v>
      </c>
      <c r="C47">
        <v>77.976239910448101</v>
      </c>
      <c r="D47">
        <v>97.458073236449025</v>
      </c>
      <c r="E47">
        <v>75.219909973620261</v>
      </c>
      <c r="F47">
        <v>78.59689595892236</v>
      </c>
      <c r="G47">
        <v>81.927567146864604</v>
      </c>
      <c r="H47">
        <v>58.8590870525178</v>
      </c>
      <c r="I47">
        <v>73.07789982975801</v>
      </c>
      <c r="J47">
        <v>82.455030827616596</v>
      </c>
      <c r="K47">
        <v>0.65730996679913101</v>
      </c>
      <c r="L47">
        <v>101.594292424242</v>
      </c>
      <c r="M47" s="16">
        <f>+'[3]VAR expectations'!C71</f>
        <v>2.4054948631666009</v>
      </c>
      <c r="N47">
        <v>0.33094281461280101</v>
      </c>
      <c r="O47">
        <v>0.207260368558223</v>
      </c>
      <c r="P47">
        <v>326</v>
      </c>
      <c r="Q47">
        <v>75</v>
      </c>
      <c r="R47">
        <v>453</v>
      </c>
      <c r="S47">
        <v>103</v>
      </c>
      <c r="T47">
        <v>18</v>
      </c>
      <c r="U47">
        <v>25</v>
      </c>
      <c r="V47">
        <f t="shared" si="1"/>
        <v>146</v>
      </c>
      <c r="X47">
        <f t="shared" si="2"/>
        <v>0.80670162940293721</v>
      </c>
      <c r="Y47">
        <f t="shared" si="20"/>
        <v>0.75311884402397311</v>
      </c>
      <c r="Z47">
        <f t="shared" si="21"/>
        <v>-8.2684548478667352E-2</v>
      </c>
      <c r="AA47">
        <f t="shared" si="22"/>
        <v>1.6686980909395004</v>
      </c>
      <c r="AB47">
        <f t="shared" si="3"/>
        <v>2.2954332653323632</v>
      </c>
      <c r="AC47">
        <f t="shared" si="4"/>
        <v>0.19867633339823954</v>
      </c>
      <c r="AD47">
        <f t="shared" si="5"/>
        <v>0.53223714861946547</v>
      </c>
      <c r="AE47">
        <f t="shared" si="6"/>
        <v>2.595883805965542</v>
      </c>
      <c r="AF47">
        <f t="shared" si="7"/>
        <v>0.71627028579939633</v>
      </c>
      <c r="AG47">
        <f t="shared" si="8"/>
        <v>1.663793362812005E-2</v>
      </c>
      <c r="AH47">
        <f t="shared" si="9"/>
        <v>-2.8184260372960068</v>
      </c>
      <c r="AI47">
        <f t="shared" si="10"/>
        <v>-9.4505136833397785E-2</v>
      </c>
      <c r="AJ47">
        <f t="shared" si="11"/>
        <v>0.28661979186452302</v>
      </c>
      <c r="AK47">
        <f t="shared" si="12"/>
        <v>0.32559102816319396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  <c r="AP47">
        <f t="shared" si="17"/>
        <v>0</v>
      </c>
      <c r="AQ47">
        <f t="shared" si="18"/>
        <v>0</v>
      </c>
      <c r="AR47">
        <f t="shared" si="19"/>
        <v>0</v>
      </c>
    </row>
    <row r="48" spans="1:44" x14ac:dyDescent="0.25">
      <c r="A48" s="15">
        <v>39538</v>
      </c>
      <c r="B48">
        <v>83.213165062111045</v>
      </c>
      <c r="C48">
        <v>78.585583459078208</v>
      </c>
      <c r="D48">
        <v>96.951612827693836</v>
      </c>
      <c r="E48">
        <v>75.989538679255261</v>
      </c>
      <c r="F48">
        <v>79.533800497150992</v>
      </c>
      <c r="G48">
        <v>81.958761243828363</v>
      </c>
      <c r="H48">
        <v>59.544386405336837</v>
      </c>
      <c r="I48">
        <v>77.885301025533423</v>
      </c>
      <c r="J48">
        <v>83.221731491025807</v>
      </c>
      <c r="K48">
        <v>0.68564477605056495</v>
      </c>
      <c r="L48">
        <v>95.934953846153803</v>
      </c>
      <c r="M48" s="16">
        <f>+'[3]VAR expectations'!C72</f>
        <v>2.3903185646503933</v>
      </c>
      <c r="N48">
        <v>0.70956108465802203</v>
      </c>
      <c r="O48">
        <v>0.46567345359179702</v>
      </c>
      <c r="P48">
        <v>323</v>
      </c>
      <c r="Q48">
        <v>73</v>
      </c>
      <c r="R48">
        <v>453</v>
      </c>
      <c r="S48">
        <v>109</v>
      </c>
      <c r="T48">
        <v>18</v>
      </c>
      <c r="U48">
        <v>24</v>
      </c>
      <c r="V48">
        <f t="shared" si="1"/>
        <v>151</v>
      </c>
      <c r="X48">
        <f t="shared" si="2"/>
        <v>0.70185578335247101</v>
      </c>
      <c r="Y48">
        <f t="shared" si="20"/>
        <v>0.60934354863010753</v>
      </c>
      <c r="Z48">
        <f t="shared" si="21"/>
        <v>-0.5064604087551885</v>
      </c>
      <c r="AA48">
        <f t="shared" si="22"/>
        <v>0.76962870563500019</v>
      </c>
      <c r="AB48">
        <f t="shared" si="3"/>
        <v>0.93690453822863162</v>
      </c>
      <c r="AC48">
        <f t="shared" si="4"/>
        <v>3.1194096963758966E-2</v>
      </c>
      <c r="AD48">
        <f t="shared" si="5"/>
        <v>0.68529935281903676</v>
      </c>
      <c r="AE48">
        <f t="shared" si="6"/>
        <v>4.8074011957754124</v>
      </c>
      <c r="AF48">
        <f t="shared" si="7"/>
        <v>0.76670066340921039</v>
      </c>
      <c r="AG48">
        <f t="shared" si="8"/>
        <v>2.8334809251433946E-2</v>
      </c>
      <c r="AH48">
        <f t="shared" si="9"/>
        <v>-5.659338578088196</v>
      </c>
      <c r="AI48">
        <f t="shared" si="10"/>
        <v>-0.30968143534959314</v>
      </c>
      <c r="AJ48">
        <f t="shared" si="11"/>
        <v>0.37861827004522103</v>
      </c>
      <c r="AK48">
        <f t="shared" si="12"/>
        <v>0.25841308503357402</v>
      </c>
      <c r="AL48">
        <f t="shared" si="13"/>
        <v>-3</v>
      </c>
      <c r="AM48">
        <f t="shared" si="14"/>
        <v>-2</v>
      </c>
      <c r="AN48">
        <f t="shared" si="15"/>
        <v>0</v>
      </c>
      <c r="AO48">
        <f t="shared" si="16"/>
        <v>6</v>
      </c>
      <c r="AP48">
        <f t="shared" si="17"/>
        <v>0</v>
      </c>
      <c r="AQ48">
        <f t="shared" si="18"/>
        <v>-1</v>
      </c>
      <c r="AR48">
        <f t="shared" si="19"/>
        <v>5</v>
      </c>
    </row>
    <row r="49" spans="1:44" x14ac:dyDescent="0.25">
      <c r="A49" s="15">
        <v>39629</v>
      </c>
      <c r="B49">
        <v>84.399628691859334</v>
      </c>
      <c r="C49">
        <v>79.538236456857987</v>
      </c>
      <c r="D49">
        <v>96.709639020967742</v>
      </c>
      <c r="E49">
        <v>78.381976088304796</v>
      </c>
      <c r="F49">
        <v>82.317852052663767</v>
      </c>
      <c r="G49">
        <v>84.883187080121772</v>
      </c>
      <c r="H49">
        <v>60.342090857511202</v>
      </c>
      <c r="I49">
        <v>82.676147502636397</v>
      </c>
      <c r="J49">
        <v>84.4783985597211</v>
      </c>
      <c r="K49">
        <v>0.71013328179353397</v>
      </c>
      <c r="L49">
        <v>93.071035384615399</v>
      </c>
      <c r="M49" s="16">
        <f>+'[3]VAR expectations'!C73</f>
        <v>2.2621936183541234</v>
      </c>
      <c r="N49">
        <v>1.1528273888926699</v>
      </c>
      <c r="O49">
        <v>0.57749494659596201</v>
      </c>
      <c r="P49">
        <v>323</v>
      </c>
      <c r="Q49">
        <v>73</v>
      </c>
      <c r="R49">
        <v>453</v>
      </c>
      <c r="S49">
        <v>109</v>
      </c>
      <c r="T49">
        <v>18</v>
      </c>
      <c r="U49">
        <v>24</v>
      </c>
      <c r="V49">
        <f t="shared" si="1"/>
        <v>151</v>
      </c>
      <c r="X49">
        <f t="shared" si="2"/>
        <v>1.1864636297482889</v>
      </c>
      <c r="Y49">
        <f t="shared" si="20"/>
        <v>0.9526529977797793</v>
      </c>
      <c r="Z49">
        <f t="shared" si="21"/>
        <v>-0.2419738067260937</v>
      </c>
      <c r="AA49">
        <f t="shared" si="22"/>
        <v>2.3924374090495348</v>
      </c>
      <c r="AB49">
        <f t="shared" si="3"/>
        <v>2.7840515555127752</v>
      </c>
      <c r="AC49">
        <f t="shared" si="4"/>
        <v>2.924425836293409</v>
      </c>
      <c r="AD49">
        <f t="shared" si="5"/>
        <v>0.79770445217436503</v>
      </c>
      <c r="AE49">
        <f t="shared" si="6"/>
        <v>4.7908464771029742</v>
      </c>
      <c r="AF49">
        <f t="shared" si="7"/>
        <v>1.2566670686952932</v>
      </c>
      <c r="AG49">
        <f t="shared" si="8"/>
        <v>2.4488505742969013E-2</v>
      </c>
      <c r="AH49">
        <f t="shared" si="9"/>
        <v>-2.8639184615384039</v>
      </c>
      <c r="AI49">
        <f t="shared" si="10"/>
        <v>-1.0611397149792214</v>
      </c>
      <c r="AJ49">
        <f t="shared" si="11"/>
        <v>0.44326630423464786</v>
      </c>
      <c r="AK49">
        <f t="shared" si="12"/>
        <v>0.111821493004165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  <c r="AP49">
        <f t="shared" si="17"/>
        <v>0</v>
      </c>
      <c r="AQ49">
        <f t="shared" si="18"/>
        <v>0</v>
      </c>
      <c r="AR49">
        <f t="shared" si="19"/>
        <v>0</v>
      </c>
    </row>
    <row r="50" spans="1:44" x14ac:dyDescent="0.25">
      <c r="A50" s="15">
        <v>39721</v>
      </c>
      <c r="B50">
        <v>85.622629523416208</v>
      </c>
      <c r="C50">
        <v>80.567896111396422</v>
      </c>
      <c r="D50">
        <v>96.458973787625538</v>
      </c>
      <c r="E50">
        <v>80.821169443942864</v>
      </c>
      <c r="F50">
        <v>85.573695749653211</v>
      </c>
      <c r="G50">
        <v>85.076922336049037</v>
      </c>
      <c r="H50">
        <v>60.969200088634068</v>
      </c>
      <c r="I50">
        <v>87.767599664419478</v>
      </c>
      <c r="J50">
        <v>85.633335277083802</v>
      </c>
      <c r="K50">
        <v>0.73340169529048804</v>
      </c>
      <c r="L50">
        <v>91.695078787878799</v>
      </c>
      <c r="M50" s="16">
        <f>+'[3]VAR expectations'!C74</f>
        <v>2.2761535969954032</v>
      </c>
      <c r="N50">
        <v>1.7249383242570699</v>
      </c>
      <c r="O50">
        <v>0.41477957846817098</v>
      </c>
      <c r="P50">
        <v>323</v>
      </c>
      <c r="Q50">
        <v>73</v>
      </c>
      <c r="R50">
        <v>453</v>
      </c>
      <c r="S50">
        <v>109</v>
      </c>
      <c r="T50">
        <v>18</v>
      </c>
      <c r="U50">
        <v>24</v>
      </c>
      <c r="V50">
        <f t="shared" si="1"/>
        <v>151</v>
      </c>
      <c r="X50">
        <f t="shared" si="2"/>
        <v>1.2230008315568739</v>
      </c>
      <c r="Y50">
        <f t="shared" si="20"/>
        <v>1.0296596545384347</v>
      </c>
      <c r="Z50">
        <f t="shared" si="21"/>
        <v>-0.25066523334220392</v>
      </c>
      <c r="AA50">
        <f t="shared" si="22"/>
        <v>2.4391933556380678</v>
      </c>
      <c r="AB50">
        <f t="shared" si="3"/>
        <v>3.2558436969894444</v>
      </c>
      <c r="AC50">
        <f t="shared" si="4"/>
        <v>0.19373525592726537</v>
      </c>
      <c r="AD50">
        <f t="shared" si="5"/>
        <v>0.62710923112286565</v>
      </c>
      <c r="AE50">
        <f t="shared" si="6"/>
        <v>5.0914521617830815</v>
      </c>
      <c r="AF50">
        <f t="shared" si="7"/>
        <v>1.1549367173627019</v>
      </c>
      <c r="AG50">
        <f t="shared" si="8"/>
        <v>2.3268413496954077E-2</v>
      </c>
      <c r="AH50">
        <f t="shared" si="9"/>
        <v>-1.3759565967366001</v>
      </c>
      <c r="AI50">
        <f t="shared" si="10"/>
        <v>-1.8505130696713303</v>
      </c>
      <c r="AJ50">
        <f t="shared" si="11"/>
        <v>0.57211093536440005</v>
      </c>
      <c r="AK50">
        <f t="shared" si="12"/>
        <v>-0.16271536812779103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  <c r="AP50">
        <f t="shared" si="17"/>
        <v>0</v>
      </c>
      <c r="AQ50">
        <f t="shared" si="18"/>
        <v>0</v>
      </c>
      <c r="AR50">
        <f t="shared" si="19"/>
        <v>0</v>
      </c>
    </row>
    <row r="51" spans="1:44" x14ac:dyDescent="0.25">
      <c r="A51" s="15">
        <v>39813</v>
      </c>
      <c r="B51">
        <v>85.715849377221033</v>
      </c>
      <c r="C51">
        <v>81.447767693574562</v>
      </c>
      <c r="D51">
        <v>95.356926302146803</v>
      </c>
      <c r="E51">
        <v>81.793418547474204</v>
      </c>
      <c r="F51">
        <v>86.792930875848811</v>
      </c>
      <c r="G51">
        <v>85.181242076336545</v>
      </c>
      <c r="H51">
        <v>61.653547758067361</v>
      </c>
      <c r="I51">
        <v>85.991098588507043</v>
      </c>
      <c r="J51">
        <v>85.640873534576798</v>
      </c>
      <c r="K51">
        <v>0.72747031121115702</v>
      </c>
      <c r="L51">
        <v>83.942380303030305</v>
      </c>
      <c r="M51" s="16">
        <f>+'[3]VAR expectations'!C75</f>
        <v>2.3383760137173226</v>
      </c>
      <c r="N51">
        <v>1.2851169715736199</v>
      </c>
      <c r="O51">
        <v>-0.25671941715742802</v>
      </c>
      <c r="P51">
        <v>323</v>
      </c>
      <c r="Q51">
        <v>73</v>
      </c>
      <c r="R51">
        <v>453</v>
      </c>
      <c r="S51">
        <v>109</v>
      </c>
      <c r="T51">
        <v>18</v>
      </c>
      <c r="U51">
        <v>24</v>
      </c>
      <c r="V51">
        <f t="shared" si="1"/>
        <v>151</v>
      </c>
      <c r="X51">
        <f t="shared" si="2"/>
        <v>9.3219853804825448E-2</v>
      </c>
      <c r="Y51">
        <f t="shared" si="20"/>
        <v>0.87987158217813999</v>
      </c>
      <c r="Z51">
        <f t="shared" si="21"/>
        <v>-1.1020474854787352</v>
      </c>
      <c r="AA51">
        <f t="shared" si="22"/>
        <v>0.97224910353133964</v>
      </c>
      <c r="AB51">
        <f t="shared" si="3"/>
        <v>1.2192351261955992</v>
      </c>
      <c r="AC51">
        <f t="shared" si="4"/>
        <v>0.10431974028750801</v>
      </c>
      <c r="AD51">
        <f t="shared" si="5"/>
        <v>0.6843476694332935</v>
      </c>
      <c r="AE51">
        <f t="shared" si="6"/>
        <v>-1.7765010759124351</v>
      </c>
      <c r="AF51">
        <f t="shared" si="7"/>
        <v>7.5382574929960811E-3</v>
      </c>
      <c r="AG51">
        <f t="shared" si="8"/>
        <v>-5.9313840793310257E-3</v>
      </c>
      <c r="AH51">
        <f t="shared" si="9"/>
        <v>-7.7526984848484943</v>
      </c>
      <c r="AI51">
        <f t="shared" si="10"/>
        <v>-2.0020829234806605</v>
      </c>
      <c r="AJ51">
        <f t="shared" si="11"/>
        <v>-0.43982135268345002</v>
      </c>
      <c r="AK51">
        <f t="shared" si="12"/>
        <v>-0.671498995625599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  <c r="AP51">
        <f t="shared" si="17"/>
        <v>0</v>
      </c>
      <c r="AQ51">
        <f t="shared" si="18"/>
        <v>0</v>
      </c>
      <c r="AR51">
        <f t="shared" si="19"/>
        <v>0</v>
      </c>
    </row>
    <row r="52" spans="1:44" x14ac:dyDescent="0.25">
      <c r="A52" s="15">
        <v>39903</v>
      </c>
      <c r="B52">
        <v>85.677461988931228</v>
      </c>
      <c r="C52">
        <v>81.837362894259925</v>
      </c>
      <c r="D52">
        <v>94.827625367678976</v>
      </c>
      <c r="E52">
        <v>83.009858942090389</v>
      </c>
      <c r="F52">
        <v>87.99238482121784</v>
      </c>
      <c r="G52">
        <v>87.197951546616977</v>
      </c>
      <c r="H52">
        <v>62.259307413325836</v>
      </c>
      <c r="I52">
        <v>82.010216221786067</v>
      </c>
      <c r="J52">
        <v>85.727729818347797</v>
      </c>
      <c r="K52">
        <v>0.73092000531804802</v>
      </c>
      <c r="L52">
        <v>77.790968750000005</v>
      </c>
      <c r="M52" s="16">
        <f>+'[3]VAR expectations'!C76</f>
        <v>2.4666666666666477</v>
      </c>
      <c r="N52">
        <v>0.49581996628150798</v>
      </c>
      <c r="O52">
        <v>-0.32614814317173602</v>
      </c>
      <c r="P52">
        <v>312</v>
      </c>
      <c r="Q52">
        <v>80</v>
      </c>
      <c r="R52">
        <v>446</v>
      </c>
      <c r="S52">
        <v>118</v>
      </c>
      <c r="T52">
        <v>21</v>
      </c>
      <c r="U52">
        <v>23</v>
      </c>
      <c r="V52">
        <f t="shared" si="1"/>
        <v>162</v>
      </c>
      <c r="X52">
        <f t="shared" si="2"/>
        <v>-3.8387388289805813E-2</v>
      </c>
      <c r="Y52">
        <f t="shared" si="20"/>
        <v>0.38959520068536335</v>
      </c>
      <c r="Z52">
        <f t="shared" si="21"/>
        <v>-0.52930093446782678</v>
      </c>
      <c r="AA52">
        <f t="shared" si="22"/>
        <v>1.2164403946161855</v>
      </c>
      <c r="AB52">
        <f t="shared" si="3"/>
        <v>1.1994539453690294</v>
      </c>
      <c r="AC52">
        <f t="shared" si="4"/>
        <v>2.016709470280432</v>
      </c>
      <c r="AD52">
        <f t="shared" si="5"/>
        <v>0.60575965525847408</v>
      </c>
      <c r="AE52">
        <f t="shared" si="6"/>
        <v>-3.9808823667209765</v>
      </c>
      <c r="AF52">
        <f t="shared" si="7"/>
        <v>8.6856283770998743E-2</v>
      </c>
      <c r="AG52">
        <f t="shared" si="8"/>
        <v>3.4496941068909992E-3</v>
      </c>
      <c r="AH52">
        <f t="shared" si="9"/>
        <v>-6.1514115530303002</v>
      </c>
      <c r="AI52">
        <f t="shared" si="10"/>
        <v>0.92251236399601888</v>
      </c>
      <c r="AJ52">
        <f t="shared" si="11"/>
        <v>-0.789297005292112</v>
      </c>
      <c r="AK52">
        <f t="shared" si="12"/>
        <v>-6.9428726014307995E-2</v>
      </c>
      <c r="AL52">
        <f t="shared" si="13"/>
        <v>-11</v>
      </c>
      <c r="AM52">
        <f t="shared" si="14"/>
        <v>7</v>
      </c>
      <c r="AN52">
        <f t="shared" si="15"/>
        <v>-7</v>
      </c>
      <c r="AO52">
        <f t="shared" si="16"/>
        <v>9</v>
      </c>
      <c r="AP52">
        <f t="shared" si="17"/>
        <v>3</v>
      </c>
      <c r="AQ52">
        <f t="shared" si="18"/>
        <v>-1</v>
      </c>
      <c r="AR52">
        <f t="shared" si="19"/>
        <v>11</v>
      </c>
    </row>
    <row r="53" spans="1:44" x14ac:dyDescent="0.25">
      <c r="A53" s="15">
        <v>39994</v>
      </c>
      <c r="B53">
        <v>86.15976755532354</v>
      </c>
      <c r="C53">
        <v>82.270942096016583</v>
      </c>
      <c r="D53">
        <v>95.654937823592505</v>
      </c>
      <c r="E53">
        <v>83.220861295653535</v>
      </c>
      <c r="F53">
        <v>88.308924452653969</v>
      </c>
      <c r="G53">
        <v>87.210677618102508</v>
      </c>
      <c r="H53">
        <v>62.310963197896491</v>
      </c>
      <c r="I53">
        <v>82.036383837974157</v>
      </c>
      <c r="J53">
        <v>86.234754047421404</v>
      </c>
      <c r="K53">
        <v>0.71601344282857504</v>
      </c>
      <c r="L53">
        <v>81.3092738461538</v>
      </c>
      <c r="M53" s="16">
        <f>+'[3]VAR expectations'!C77</f>
        <v>2.4000000000000123</v>
      </c>
      <c r="N53">
        <v>-3.3463491076020598E-3</v>
      </c>
      <c r="O53">
        <v>6.5202411569874996E-2</v>
      </c>
      <c r="P53">
        <v>312</v>
      </c>
      <c r="Q53">
        <v>80</v>
      </c>
      <c r="R53">
        <v>446</v>
      </c>
      <c r="S53">
        <v>118</v>
      </c>
      <c r="T53">
        <v>21</v>
      </c>
      <c r="U53">
        <v>23</v>
      </c>
      <c r="V53">
        <f t="shared" si="1"/>
        <v>162</v>
      </c>
      <c r="X53">
        <f t="shared" si="2"/>
        <v>0.48230556639231281</v>
      </c>
      <c r="Y53">
        <f t="shared" si="20"/>
        <v>0.43357920175665754</v>
      </c>
      <c r="Z53">
        <f t="shared" si="21"/>
        <v>0.82731245591352831</v>
      </c>
      <c r="AA53">
        <f t="shared" si="22"/>
        <v>0.21100235356314556</v>
      </c>
      <c r="AB53">
        <f t="shared" si="3"/>
        <v>0.31653963143612884</v>
      </c>
      <c r="AC53">
        <f t="shared" si="4"/>
        <v>1.2726071485531065E-2</v>
      </c>
      <c r="AD53">
        <f t="shared" si="5"/>
        <v>5.1655784570655783E-2</v>
      </c>
      <c r="AE53">
        <f t="shared" si="6"/>
        <v>2.6167616188089937E-2</v>
      </c>
      <c r="AF53">
        <f t="shared" si="7"/>
        <v>0.50702422907360756</v>
      </c>
      <c r="AG53">
        <f t="shared" si="8"/>
        <v>-1.4906562489472974E-2</v>
      </c>
      <c r="AH53">
        <f t="shared" si="9"/>
        <v>3.5183050961537958</v>
      </c>
      <c r="AI53">
        <f t="shared" si="10"/>
        <v>0.91788359788361995</v>
      </c>
      <c r="AJ53">
        <f t="shared" si="11"/>
        <v>-0.49916631538911005</v>
      </c>
      <c r="AK53">
        <f t="shared" si="12"/>
        <v>0.39135055474161101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  <c r="AP53">
        <f t="shared" si="17"/>
        <v>0</v>
      </c>
      <c r="AQ53">
        <f t="shared" si="18"/>
        <v>0</v>
      </c>
      <c r="AR53">
        <f t="shared" si="19"/>
        <v>0</v>
      </c>
    </row>
    <row r="54" spans="1:44" x14ac:dyDescent="0.25">
      <c r="A54" s="15">
        <v>40086</v>
      </c>
      <c r="B54">
        <v>86.924358866209801</v>
      </c>
      <c r="C54">
        <v>82.818965560018796</v>
      </c>
      <c r="D54">
        <v>96.748856693679144</v>
      </c>
      <c r="E54">
        <v>83.273957539010269</v>
      </c>
      <c r="F54">
        <v>87.773256644266795</v>
      </c>
      <c r="G54">
        <v>88.565655919881635</v>
      </c>
      <c r="H54">
        <v>63.382794957694408</v>
      </c>
      <c r="I54">
        <v>84.43822912724265</v>
      </c>
      <c r="J54">
        <v>86.903555326754898</v>
      </c>
      <c r="K54">
        <v>0.71104869772248203</v>
      </c>
      <c r="L54">
        <v>82.911893939393906</v>
      </c>
      <c r="M54" s="16">
        <f>+'[3]VAR expectations'!C78</f>
        <v>2.2999999999999843</v>
      </c>
      <c r="N54">
        <v>-0.246943476236648</v>
      </c>
      <c r="O54">
        <v>0.18136360737922499</v>
      </c>
      <c r="P54">
        <v>312</v>
      </c>
      <c r="Q54">
        <v>80</v>
      </c>
      <c r="R54">
        <v>446</v>
      </c>
      <c r="S54">
        <v>118</v>
      </c>
      <c r="T54">
        <v>21</v>
      </c>
      <c r="U54">
        <v>23</v>
      </c>
      <c r="V54">
        <f t="shared" si="1"/>
        <v>162</v>
      </c>
      <c r="X54">
        <f t="shared" si="2"/>
        <v>0.76459131088626009</v>
      </c>
      <c r="Y54">
        <f t="shared" si="20"/>
        <v>0.54802346400221325</v>
      </c>
      <c r="Z54">
        <f t="shared" si="21"/>
        <v>1.0939188700866396</v>
      </c>
      <c r="AA54">
        <f t="shared" si="22"/>
        <v>5.3096243356733908E-2</v>
      </c>
      <c r="AB54">
        <f t="shared" si="3"/>
        <v>-0.5356678083871742</v>
      </c>
      <c r="AC54">
        <f t="shared" si="4"/>
        <v>1.354978301779127</v>
      </c>
      <c r="AD54">
        <f t="shared" si="5"/>
        <v>1.0718317597979166</v>
      </c>
      <c r="AE54">
        <f t="shared" si="6"/>
        <v>2.4018452892684934</v>
      </c>
      <c r="AF54">
        <f t="shared" si="7"/>
        <v>0.66880127933349343</v>
      </c>
      <c r="AG54">
        <f t="shared" si="8"/>
        <v>-4.9647451060930159E-3</v>
      </c>
      <c r="AH54">
        <f t="shared" si="9"/>
        <v>1.6026200932401053</v>
      </c>
      <c r="AI54">
        <f t="shared" si="10"/>
        <v>0.4839216767593757</v>
      </c>
      <c r="AJ54">
        <f t="shared" si="11"/>
        <v>-0.24359712712904594</v>
      </c>
      <c r="AK54">
        <f t="shared" si="12"/>
        <v>0.11616119580935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  <c r="AP54">
        <f t="shared" si="17"/>
        <v>0</v>
      </c>
      <c r="AQ54">
        <f t="shared" si="18"/>
        <v>0</v>
      </c>
      <c r="AR54">
        <f t="shared" si="19"/>
        <v>0</v>
      </c>
    </row>
    <row r="55" spans="1:44" x14ac:dyDescent="0.25">
      <c r="A55" s="15">
        <v>40178</v>
      </c>
      <c r="B55">
        <v>87.534280115684567</v>
      </c>
      <c r="C55">
        <v>83.410496500833645</v>
      </c>
      <c r="D55">
        <v>97.120889173976664</v>
      </c>
      <c r="E55">
        <v>83.844235616954464</v>
      </c>
      <c r="F55">
        <v>88.32590778326967</v>
      </c>
      <c r="G55">
        <v>89.28787021115356</v>
      </c>
      <c r="H55">
        <v>64.12562627513833</v>
      </c>
      <c r="I55">
        <v>86.397389894562437</v>
      </c>
      <c r="J55">
        <v>87.453767874372005</v>
      </c>
      <c r="K55">
        <v>0.718035511271781</v>
      </c>
      <c r="L55">
        <v>80.353062121212105</v>
      </c>
      <c r="M55" s="16">
        <f>+'[3]VAR expectations'!C79</f>
        <v>2.4333333333333633</v>
      </c>
      <c r="N55">
        <v>0.101321891194596</v>
      </c>
      <c r="O55">
        <v>0.13445341671153399</v>
      </c>
      <c r="P55">
        <v>312</v>
      </c>
      <c r="Q55">
        <v>80</v>
      </c>
      <c r="R55">
        <v>446</v>
      </c>
      <c r="S55">
        <v>118</v>
      </c>
      <c r="T55">
        <v>21</v>
      </c>
      <c r="U55">
        <v>23</v>
      </c>
      <c r="V55">
        <f t="shared" si="1"/>
        <v>162</v>
      </c>
      <c r="X55">
        <f t="shared" si="2"/>
        <v>0.60992124947476611</v>
      </c>
      <c r="Y55">
        <f t="shared" si="20"/>
        <v>0.5915309408148488</v>
      </c>
      <c r="Z55">
        <f t="shared" si="21"/>
        <v>0.3720324802975199</v>
      </c>
      <c r="AA55">
        <f t="shared" si="22"/>
        <v>0.57027807794419516</v>
      </c>
      <c r="AB55">
        <f t="shared" si="3"/>
        <v>0.55265113900287588</v>
      </c>
      <c r="AC55">
        <f t="shared" si="4"/>
        <v>0.72221429127192494</v>
      </c>
      <c r="AD55">
        <f t="shared" si="5"/>
        <v>0.7428313174439225</v>
      </c>
      <c r="AE55">
        <f t="shared" si="6"/>
        <v>1.9591607673197871</v>
      </c>
      <c r="AF55">
        <f t="shared" si="7"/>
        <v>0.55021254761710736</v>
      </c>
      <c r="AG55">
        <f t="shared" si="8"/>
        <v>6.9868135492989758E-3</v>
      </c>
      <c r="AH55">
        <f t="shared" si="9"/>
        <v>-2.5588318181818011</v>
      </c>
      <c r="AI55">
        <f t="shared" si="10"/>
        <v>0.56231713073779455</v>
      </c>
      <c r="AJ55">
        <f t="shared" si="11"/>
        <v>0.34826536743124403</v>
      </c>
      <c r="AK55">
        <f t="shared" si="12"/>
        <v>-4.6910190667691004E-2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  <c r="AP55">
        <f t="shared" si="17"/>
        <v>0</v>
      </c>
      <c r="AQ55">
        <f t="shared" si="18"/>
        <v>0</v>
      </c>
      <c r="AR55">
        <f t="shared" si="19"/>
        <v>0</v>
      </c>
    </row>
    <row r="56" spans="1:44" x14ac:dyDescent="0.25">
      <c r="A56" s="15">
        <v>40268</v>
      </c>
      <c r="B56">
        <v>88.431032272878838</v>
      </c>
      <c r="C56">
        <v>84.379845312412996</v>
      </c>
      <c r="D56">
        <v>97.46249220497026</v>
      </c>
      <c r="E56">
        <v>85.139204142394036</v>
      </c>
      <c r="F56">
        <v>89.453891235916998</v>
      </c>
      <c r="G56">
        <v>89.55948122598636</v>
      </c>
      <c r="H56">
        <v>66.656144582256971</v>
      </c>
      <c r="I56">
        <v>87.699409046380325</v>
      </c>
      <c r="J56">
        <v>88.514134771042393</v>
      </c>
      <c r="K56">
        <v>0.73762646098512996</v>
      </c>
      <c r="L56">
        <v>79.543812500000001</v>
      </c>
      <c r="M56" s="16">
        <f>+'[3]VAR expectations'!C80</f>
        <v>2.5333333333333421</v>
      </c>
      <c r="N56">
        <v>0.50255924177984002</v>
      </c>
      <c r="O56">
        <v>0.18762675130171899</v>
      </c>
      <c r="P56">
        <v>313</v>
      </c>
      <c r="Q56">
        <v>88</v>
      </c>
      <c r="R56">
        <v>451</v>
      </c>
      <c r="S56">
        <v>108</v>
      </c>
      <c r="T56">
        <v>18</v>
      </c>
      <c r="U56">
        <v>22</v>
      </c>
      <c r="V56">
        <f t="shared" si="1"/>
        <v>148</v>
      </c>
      <c r="X56">
        <f t="shared" si="2"/>
        <v>0.89675215719427115</v>
      </c>
      <c r="Y56">
        <f t="shared" si="20"/>
        <v>0.96934881157935138</v>
      </c>
      <c r="Z56">
        <f t="shared" si="21"/>
        <v>0.34160303099359624</v>
      </c>
      <c r="AA56">
        <f t="shared" si="22"/>
        <v>1.2949685254395717</v>
      </c>
      <c r="AB56">
        <f t="shared" si="3"/>
        <v>1.127983452647328</v>
      </c>
      <c r="AC56">
        <f t="shared" si="4"/>
        <v>0.27161101483279992</v>
      </c>
      <c r="AD56">
        <f t="shared" si="5"/>
        <v>2.5305183071186406</v>
      </c>
      <c r="AE56">
        <f t="shared" si="6"/>
        <v>1.3020191518178876</v>
      </c>
      <c r="AF56">
        <f t="shared" si="7"/>
        <v>1.0603668966703879</v>
      </c>
      <c r="AG56">
        <f t="shared" si="8"/>
        <v>1.959094971334896E-2</v>
      </c>
      <c r="AH56">
        <f t="shared" si="9"/>
        <v>-0.80924962121210342</v>
      </c>
      <c r="AI56">
        <f t="shared" si="10"/>
        <v>0.52578470824946999</v>
      </c>
      <c r="AJ56">
        <f t="shared" si="11"/>
        <v>0.40123735058524401</v>
      </c>
      <c r="AK56">
        <f t="shared" si="12"/>
        <v>5.3173334590185001E-2</v>
      </c>
      <c r="AL56">
        <f t="shared" si="13"/>
        <v>1</v>
      </c>
      <c r="AM56">
        <f t="shared" si="14"/>
        <v>8</v>
      </c>
      <c r="AN56">
        <f t="shared" si="15"/>
        <v>5</v>
      </c>
      <c r="AO56">
        <f t="shared" si="16"/>
        <v>-10</v>
      </c>
      <c r="AP56">
        <f t="shared" si="17"/>
        <v>-3</v>
      </c>
      <c r="AQ56">
        <f t="shared" si="18"/>
        <v>-1</v>
      </c>
      <c r="AR56">
        <f t="shared" si="19"/>
        <v>-14</v>
      </c>
    </row>
    <row r="57" spans="1:44" x14ac:dyDescent="0.25">
      <c r="A57" s="15">
        <v>40359</v>
      </c>
      <c r="B57">
        <v>89.149935009377074</v>
      </c>
      <c r="C57">
        <v>85.197668340993346</v>
      </c>
      <c r="D57">
        <v>97.794868419101633</v>
      </c>
      <c r="E57">
        <v>85.883704596755891</v>
      </c>
      <c r="F57">
        <v>90.264506993479202</v>
      </c>
      <c r="G57">
        <v>90.181221743676701</v>
      </c>
      <c r="H57">
        <v>67.322785272699434</v>
      </c>
      <c r="I57">
        <v>88.993371323519867</v>
      </c>
      <c r="J57">
        <v>89.209095175361497</v>
      </c>
      <c r="K57">
        <v>0.74845947139534197</v>
      </c>
      <c r="L57">
        <v>79.899689230769198</v>
      </c>
      <c r="M57" s="16">
        <f>+'[3]VAR expectations'!C81</f>
        <v>2.4666666666666814</v>
      </c>
      <c r="N57">
        <v>0.58031803605650401</v>
      </c>
      <c r="O57">
        <v>0.158164675972188</v>
      </c>
      <c r="P57">
        <v>313</v>
      </c>
      <c r="Q57">
        <v>88</v>
      </c>
      <c r="R57">
        <v>451</v>
      </c>
      <c r="S57">
        <v>108</v>
      </c>
      <c r="T57">
        <v>18</v>
      </c>
      <c r="U57">
        <v>22</v>
      </c>
      <c r="V57">
        <f t="shared" si="1"/>
        <v>148</v>
      </c>
      <c r="X57">
        <f t="shared" si="2"/>
        <v>0.71890273649823655</v>
      </c>
      <c r="Y57">
        <f t="shared" si="20"/>
        <v>0.81782302858034939</v>
      </c>
      <c r="Z57">
        <f t="shared" si="21"/>
        <v>0.33237621413137219</v>
      </c>
      <c r="AA57">
        <f t="shared" si="22"/>
        <v>0.74450045436185519</v>
      </c>
      <c r="AB57">
        <f t="shared" si="3"/>
        <v>0.8106157575622035</v>
      </c>
      <c r="AC57">
        <f t="shared" si="4"/>
        <v>0.62174051769034122</v>
      </c>
      <c r="AD57">
        <f t="shared" si="5"/>
        <v>0.66664069044246332</v>
      </c>
      <c r="AE57">
        <f t="shared" si="6"/>
        <v>1.293962277139542</v>
      </c>
      <c r="AF57">
        <f t="shared" si="7"/>
        <v>0.69496040431910444</v>
      </c>
      <c r="AG57">
        <f t="shared" si="8"/>
        <v>1.0833010410212007E-2</v>
      </c>
      <c r="AH57">
        <f t="shared" si="9"/>
        <v>0.35587673076919657</v>
      </c>
      <c r="AI57">
        <f t="shared" si="10"/>
        <v>0.16527662326807047</v>
      </c>
      <c r="AJ57">
        <f t="shared" si="11"/>
        <v>7.7758794276663989E-2</v>
      </c>
      <c r="AK57">
        <f t="shared" si="12"/>
        <v>-2.946207532953099E-2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  <c r="AP57">
        <f t="shared" si="17"/>
        <v>0</v>
      </c>
      <c r="AQ57">
        <f t="shared" si="18"/>
        <v>0</v>
      </c>
      <c r="AR57">
        <f t="shared" si="19"/>
        <v>0</v>
      </c>
    </row>
    <row r="58" spans="1:44" x14ac:dyDescent="0.25">
      <c r="A58" s="15">
        <v>40451</v>
      </c>
      <c r="B58">
        <v>89.638294686830889</v>
      </c>
      <c r="C58">
        <v>85.933661989550004</v>
      </c>
      <c r="D58">
        <v>97.975058796536885</v>
      </c>
      <c r="E58">
        <v>86.951847807603031</v>
      </c>
      <c r="F58">
        <v>91.446251491513593</v>
      </c>
      <c r="G58">
        <v>90.86338632288313</v>
      </c>
      <c r="H58">
        <v>68.001566778590345</v>
      </c>
      <c r="I58">
        <v>88.087504676968365</v>
      </c>
      <c r="J58">
        <v>89.597693247304207</v>
      </c>
      <c r="K58">
        <v>0.74234749464842498</v>
      </c>
      <c r="L58">
        <v>81.7654454545455</v>
      </c>
      <c r="M58" s="16">
        <f>+'[3]VAR expectations'!C82</f>
        <v>2.4999999999999987</v>
      </c>
      <c r="N58">
        <v>0.26076684740058198</v>
      </c>
      <c r="O58">
        <v>-0.12701395323713599</v>
      </c>
      <c r="P58">
        <v>313</v>
      </c>
      <c r="Q58">
        <v>88</v>
      </c>
      <c r="R58">
        <v>451</v>
      </c>
      <c r="S58">
        <v>108</v>
      </c>
      <c r="T58">
        <v>18</v>
      </c>
      <c r="U58">
        <v>22</v>
      </c>
      <c r="V58">
        <f t="shared" si="1"/>
        <v>148</v>
      </c>
      <c r="X58">
        <f t="shared" si="2"/>
        <v>0.48835967745381481</v>
      </c>
      <c r="Y58">
        <f t="shared" si="20"/>
        <v>0.73599364855665783</v>
      </c>
      <c r="Z58">
        <f t="shared" si="21"/>
        <v>0.18019037743525246</v>
      </c>
      <c r="AA58">
        <f t="shared" si="22"/>
        <v>1.0681432108471398</v>
      </c>
      <c r="AB58">
        <f t="shared" si="3"/>
        <v>1.1817444980343907</v>
      </c>
      <c r="AC58">
        <f t="shared" si="4"/>
        <v>0.68216457920642881</v>
      </c>
      <c r="AD58">
        <f t="shared" si="5"/>
        <v>0.67878150589091035</v>
      </c>
      <c r="AE58">
        <f t="shared" si="6"/>
        <v>-0.90586664655150173</v>
      </c>
      <c r="AF58">
        <f t="shared" si="7"/>
        <v>0.38859807194270957</v>
      </c>
      <c r="AG58">
        <f t="shared" si="8"/>
        <v>-6.1119767469169917E-3</v>
      </c>
      <c r="AH58">
        <f t="shared" si="9"/>
        <v>1.8657562237763017</v>
      </c>
      <c r="AI58">
        <f t="shared" si="10"/>
        <v>-0.15058865640595753</v>
      </c>
      <c r="AJ58">
        <f t="shared" si="11"/>
        <v>-0.31955118865592202</v>
      </c>
      <c r="AK58">
        <f t="shared" si="12"/>
        <v>-0.28517862920932402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  <c r="AP58">
        <f t="shared" si="17"/>
        <v>0</v>
      </c>
      <c r="AQ58">
        <f t="shared" si="18"/>
        <v>0</v>
      </c>
      <c r="AR58">
        <f t="shared" si="19"/>
        <v>0</v>
      </c>
    </row>
    <row r="59" spans="1:44" x14ac:dyDescent="0.25">
      <c r="A59" s="15">
        <v>40543</v>
      </c>
      <c r="B59">
        <v>90.489806177236133</v>
      </c>
      <c r="C59">
        <v>86.591552448257588</v>
      </c>
      <c r="D59">
        <v>98.369291646594647</v>
      </c>
      <c r="E59">
        <v>88.591673818649085</v>
      </c>
      <c r="F59">
        <v>93.13460881510359</v>
      </c>
      <c r="G59">
        <v>92.78220916680867</v>
      </c>
      <c r="H59">
        <v>69.334173598667135</v>
      </c>
      <c r="I59">
        <v>90.420116042050893</v>
      </c>
      <c r="J59">
        <v>90.4101607728266</v>
      </c>
      <c r="K59">
        <v>0.75542882863199101</v>
      </c>
      <c r="L59">
        <v>80.312759090909097</v>
      </c>
      <c r="M59" s="16">
        <f>+'[3]VAR expectations'!C83</f>
        <v>2.6999999999999864</v>
      </c>
      <c r="N59">
        <v>0.32099091782760703</v>
      </c>
      <c r="O59">
        <v>0.19462453007871</v>
      </c>
      <c r="P59">
        <v>313</v>
      </c>
      <c r="Q59">
        <v>88</v>
      </c>
      <c r="R59">
        <v>451</v>
      </c>
      <c r="S59">
        <v>108</v>
      </c>
      <c r="T59">
        <v>18</v>
      </c>
      <c r="U59">
        <v>22</v>
      </c>
      <c r="V59">
        <f t="shared" si="1"/>
        <v>148</v>
      </c>
      <c r="X59">
        <f t="shared" si="2"/>
        <v>0.85151149040524388</v>
      </c>
      <c r="Y59">
        <f t="shared" si="20"/>
        <v>0.657890458707584</v>
      </c>
      <c r="Z59">
        <f t="shared" si="21"/>
        <v>0.39423285005776165</v>
      </c>
      <c r="AA59">
        <f t="shared" si="22"/>
        <v>1.6398260110460541</v>
      </c>
      <c r="AB59">
        <f t="shared" si="3"/>
        <v>1.6883573235899973</v>
      </c>
      <c r="AC59">
        <f t="shared" si="4"/>
        <v>1.9188228439255397</v>
      </c>
      <c r="AD59">
        <f t="shared" si="5"/>
        <v>1.3326068200767907</v>
      </c>
      <c r="AE59">
        <f t="shared" si="6"/>
        <v>2.3326113650825278</v>
      </c>
      <c r="AF59">
        <f t="shared" si="7"/>
        <v>0.81246752552239343</v>
      </c>
      <c r="AG59">
        <f t="shared" si="8"/>
        <v>1.3081333983566035E-2</v>
      </c>
      <c r="AH59">
        <f t="shared" si="9"/>
        <v>-1.4526863636364027</v>
      </c>
      <c r="AI59">
        <f t="shared" si="10"/>
        <v>-0.13523462648465134</v>
      </c>
      <c r="AJ59">
        <f t="shared" si="11"/>
        <v>6.0224070427025045E-2</v>
      </c>
      <c r="AK59">
        <f t="shared" si="12"/>
        <v>0.32163848331584599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  <c r="AP59">
        <f t="shared" si="17"/>
        <v>0</v>
      </c>
      <c r="AQ59">
        <f t="shared" si="18"/>
        <v>0</v>
      </c>
      <c r="AR59">
        <f t="shared" si="19"/>
        <v>0</v>
      </c>
    </row>
    <row r="60" spans="1:44" x14ac:dyDescent="0.25">
      <c r="A60" s="15">
        <v>40633</v>
      </c>
      <c r="B60">
        <v>92.028246006294424</v>
      </c>
      <c r="C60">
        <v>87.912967080105943</v>
      </c>
      <c r="D60">
        <v>99.170306398765774</v>
      </c>
      <c r="E60">
        <v>90.012389630124503</v>
      </c>
      <c r="F60">
        <v>94.438459915867682</v>
      </c>
      <c r="G60">
        <v>93.157862915665092</v>
      </c>
      <c r="H60">
        <v>71.802037138736935</v>
      </c>
      <c r="I60">
        <v>95.633425670901943</v>
      </c>
      <c r="J60">
        <v>92.119747796089499</v>
      </c>
      <c r="K60">
        <v>0.77480731613046805</v>
      </c>
      <c r="L60">
        <v>80.801396874999995</v>
      </c>
      <c r="M60" s="16">
        <f>+'[3]VAR expectations'!C84</f>
        <v>3.3233333333333448</v>
      </c>
      <c r="N60">
        <v>0.70267001409044105</v>
      </c>
      <c r="O60">
        <v>0.56007002109159698</v>
      </c>
      <c r="P60">
        <v>314</v>
      </c>
      <c r="Q60">
        <v>87</v>
      </c>
      <c r="R60">
        <v>439</v>
      </c>
      <c r="S60">
        <v>118</v>
      </c>
      <c r="T60">
        <v>19</v>
      </c>
      <c r="U60">
        <v>23</v>
      </c>
      <c r="V60">
        <f t="shared" si="1"/>
        <v>160</v>
      </c>
      <c r="X60">
        <f t="shared" si="2"/>
        <v>1.5384398290582908</v>
      </c>
      <c r="Y60">
        <f t="shared" si="20"/>
        <v>1.3214146318483557</v>
      </c>
      <c r="Z60">
        <f t="shared" si="21"/>
        <v>0.8010147521711275</v>
      </c>
      <c r="AA60">
        <f t="shared" si="22"/>
        <v>1.4207158114754179</v>
      </c>
      <c r="AB60">
        <f t="shared" si="3"/>
        <v>1.3038511007640921</v>
      </c>
      <c r="AC60">
        <f t="shared" si="4"/>
        <v>0.375653748856422</v>
      </c>
      <c r="AD60">
        <f t="shared" si="5"/>
        <v>2.4678635400697999</v>
      </c>
      <c r="AE60">
        <f t="shared" si="6"/>
        <v>5.2133096288510501</v>
      </c>
      <c r="AF60">
        <f t="shared" si="7"/>
        <v>1.7095870232628982</v>
      </c>
      <c r="AG60">
        <f t="shared" si="8"/>
        <v>1.9378487498477037E-2</v>
      </c>
      <c r="AH60">
        <f t="shared" si="9"/>
        <v>0.48863778409089775</v>
      </c>
      <c r="AI60">
        <f t="shared" si="10"/>
        <v>5.1819722050498118E-2</v>
      </c>
      <c r="AJ60">
        <f t="shared" si="11"/>
        <v>0.38167909626283403</v>
      </c>
      <c r="AK60">
        <f t="shared" si="12"/>
        <v>0.36544549101288698</v>
      </c>
      <c r="AL60">
        <f t="shared" si="13"/>
        <v>1</v>
      </c>
      <c r="AM60">
        <f t="shared" si="14"/>
        <v>-1</v>
      </c>
      <c r="AN60">
        <f t="shared" si="15"/>
        <v>-12</v>
      </c>
      <c r="AO60">
        <f t="shared" si="16"/>
        <v>10</v>
      </c>
      <c r="AP60">
        <f t="shared" si="17"/>
        <v>1</v>
      </c>
      <c r="AQ60">
        <f t="shared" si="18"/>
        <v>1</v>
      </c>
      <c r="AR60">
        <f t="shared" si="19"/>
        <v>12</v>
      </c>
    </row>
    <row r="61" spans="1:44" x14ac:dyDescent="0.25">
      <c r="A61" s="15">
        <v>40724</v>
      </c>
      <c r="B61">
        <v>93.071536943024171</v>
      </c>
      <c r="C61">
        <v>89.053937918689897</v>
      </c>
      <c r="D61">
        <v>99.269248788610994</v>
      </c>
      <c r="E61">
        <v>91.677961394101132</v>
      </c>
      <c r="F61">
        <v>95.451423700043904</v>
      </c>
      <c r="G61">
        <v>96.631551388411069</v>
      </c>
      <c r="H61">
        <v>74.990931545672041</v>
      </c>
      <c r="I61">
        <v>98.19389255267329</v>
      </c>
      <c r="J61">
        <v>93.115155211009593</v>
      </c>
      <c r="K61">
        <v>0.79250308454060703</v>
      </c>
      <c r="L61">
        <v>79.449792307692306</v>
      </c>
      <c r="M61" s="16">
        <f>+'[3]VAR expectations'!C85</f>
        <v>4.1266666666667335</v>
      </c>
      <c r="N61">
        <v>0.76852261598709404</v>
      </c>
      <c r="O61">
        <v>0.23219285039294399</v>
      </c>
      <c r="P61">
        <v>314</v>
      </c>
      <c r="Q61">
        <v>87</v>
      </c>
      <c r="R61">
        <v>439</v>
      </c>
      <c r="S61">
        <v>118</v>
      </c>
      <c r="T61">
        <v>19</v>
      </c>
      <c r="U61">
        <v>23</v>
      </c>
      <c r="V61">
        <f t="shared" si="1"/>
        <v>160</v>
      </c>
      <c r="X61">
        <f t="shared" si="2"/>
        <v>1.0432909367297469</v>
      </c>
      <c r="Y61">
        <f t="shared" si="20"/>
        <v>1.1409708385839537</v>
      </c>
      <c r="Z61">
        <f t="shared" si="21"/>
        <v>9.8942389845220191E-2</v>
      </c>
      <c r="AA61">
        <f t="shared" si="22"/>
        <v>1.6655717639766294</v>
      </c>
      <c r="AB61">
        <f t="shared" si="3"/>
        <v>1.0129637841762218</v>
      </c>
      <c r="AC61">
        <f t="shared" si="4"/>
        <v>3.4736884727459767</v>
      </c>
      <c r="AD61">
        <f t="shared" si="5"/>
        <v>3.1888944069351055</v>
      </c>
      <c r="AE61">
        <f t="shared" si="6"/>
        <v>2.5604668817713474</v>
      </c>
      <c r="AF61">
        <f t="shared" si="7"/>
        <v>0.99540741492009488</v>
      </c>
      <c r="AG61">
        <f t="shared" si="8"/>
        <v>1.7695768410138979E-2</v>
      </c>
      <c r="AH61">
        <f t="shared" si="9"/>
        <v>-1.3516045673076889</v>
      </c>
      <c r="AI61">
        <f t="shared" si="10"/>
        <v>0.58469641710933429</v>
      </c>
      <c r="AJ61">
        <f t="shared" si="11"/>
        <v>6.5852601896652985E-2</v>
      </c>
      <c r="AK61">
        <f t="shared" si="12"/>
        <v>-0.32787717069865296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  <c r="AP61">
        <f t="shared" si="17"/>
        <v>0</v>
      </c>
      <c r="AQ61">
        <f t="shared" si="18"/>
        <v>0</v>
      </c>
      <c r="AR61">
        <f t="shared" si="19"/>
        <v>0</v>
      </c>
    </row>
    <row r="62" spans="1:44" x14ac:dyDescent="0.25">
      <c r="A62" s="15">
        <v>40816</v>
      </c>
      <c r="B62">
        <v>93.884444201758356</v>
      </c>
      <c r="C62">
        <v>89.712905874510099</v>
      </c>
      <c r="D62">
        <v>99.557418846227847</v>
      </c>
      <c r="E62">
        <v>93.237254463578665</v>
      </c>
      <c r="F62">
        <v>97.154981546404201</v>
      </c>
      <c r="G62">
        <v>97.117781804489667</v>
      </c>
      <c r="H62">
        <v>76.509668870506928</v>
      </c>
      <c r="I62">
        <v>100.16051669288386</v>
      </c>
      <c r="J62">
        <v>93.838228902574699</v>
      </c>
      <c r="K62">
        <v>0.80330078884896206</v>
      </c>
      <c r="L62">
        <v>79.238960606060601</v>
      </c>
      <c r="M62" s="16">
        <f>+'[3]VAR expectations'!C86</f>
        <v>4.3404589371979831</v>
      </c>
      <c r="N62">
        <v>1.05498669861284</v>
      </c>
      <c r="O62">
        <v>0.15487507420452101</v>
      </c>
      <c r="P62">
        <v>314</v>
      </c>
      <c r="Q62">
        <v>87</v>
      </c>
      <c r="R62">
        <v>439</v>
      </c>
      <c r="S62">
        <v>118</v>
      </c>
      <c r="T62">
        <v>19</v>
      </c>
      <c r="U62">
        <v>23</v>
      </c>
      <c r="V62">
        <f t="shared" si="1"/>
        <v>160</v>
      </c>
      <c r="X62">
        <f t="shared" si="2"/>
        <v>0.81290725873418523</v>
      </c>
      <c r="Y62">
        <f t="shared" si="20"/>
        <v>0.65896795582020218</v>
      </c>
      <c r="Z62">
        <f t="shared" si="21"/>
        <v>0.28817005761685266</v>
      </c>
      <c r="AA62">
        <f t="shared" si="22"/>
        <v>1.5592930694775333</v>
      </c>
      <c r="AB62">
        <f t="shared" si="3"/>
        <v>1.7035578463602974</v>
      </c>
      <c r="AC62">
        <f t="shared" si="4"/>
        <v>0.48623041607859818</v>
      </c>
      <c r="AD62">
        <f t="shared" si="5"/>
        <v>1.5187373248348877</v>
      </c>
      <c r="AE62">
        <f t="shared" si="6"/>
        <v>1.9666241402105697</v>
      </c>
      <c r="AF62">
        <f t="shared" si="7"/>
        <v>0.72307369156510504</v>
      </c>
      <c r="AG62">
        <f t="shared" si="8"/>
        <v>1.0797704308355027E-2</v>
      </c>
      <c r="AH62">
        <f t="shared" si="9"/>
        <v>-0.2108317016317045</v>
      </c>
      <c r="AI62">
        <f t="shared" si="10"/>
        <v>0.96524643305510915</v>
      </c>
      <c r="AJ62">
        <f t="shared" si="11"/>
        <v>0.28646408262574596</v>
      </c>
      <c r="AK62">
        <f t="shared" si="12"/>
        <v>-7.7317776188422976E-2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  <c r="AP62">
        <f t="shared" si="17"/>
        <v>0</v>
      </c>
      <c r="AQ62">
        <f t="shared" si="18"/>
        <v>0</v>
      </c>
      <c r="AR62">
        <f t="shared" si="19"/>
        <v>0</v>
      </c>
    </row>
    <row r="63" spans="1:44" x14ac:dyDescent="0.25">
      <c r="A63" s="15">
        <v>40908</v>
      </c>
      <c r="B63">
        <v>94.672700791711677</v>
      </c>
      <c r="C63">
        <v>90.273256422834663</v>
      </c>
      <c r="D63">
        <v>99.989179662138312</v>
      </c>
      <c r="E63">
        <v>93.532438518691151</v>
      </c>
      <c r="F63">
        <v>97.130995935006737</v>
      </c>
      <c r="G63">
        <v>97.517220688463397</v>
      </c>
      <c r="H63">
        <v>77.87668627081456</v>
      </c>
      <c r="I63">
        <v>104.67349034756099</v>
      </c>
      <c r="J63">
        <v>94.600470014285307</v>
      </c>
      <c r="K63">
        <v>0.79692550841968202</v>
      </c>
      <c r="L63">
        <v>80.333807692307701</v>
      </c>
      <c r="M63" s="16">
        <f>+'[3]VAR expectations'!C87</f>
        <v>1.5441543026706288</v>
      </c>
      <c r="N63">
        <v>1.24898176101869</v>
      </c>
      <c r="O63">
        <v>0.381362520234932</v>
      </c>
      <c r="P63">
        <v>314</v>
      </c>
      <c r="Q63">
        <v>87</v>
      </c>
      <c r="R63">
        <v>439</v>
      </c>
      <c r="S63">
        <v>118</v>
      </c>
      <c r="T63">
        <v>19</v>
      </c>
      <c r="U63">
        <v>23</v>
      </c>
      <c r="V63">
        <f t="shared" si="1"/>
        <v>160</v>
      </c>
      <c r="X63">
        <f t="shared" si="2"/>
        <v>0.78825658995332049</v>
      </c>
      <c r="Y63">
        <f t="shared" si="20"/>
        <v>0.5603505483245641</v>
      </c>
      <c r="Z63">
        <f t="shared" si="21"/>
        <v>0.43176081591046511</v>
      </c>
      <c r="AA63">
        <f t="shared" si="22"/>
        <v>0.29518405511248602</v>
      </c>
      <c r="AB63">
        <f t="shared" si="3"/>
        <v>-2.3985611397463913E-2</v>
      </c>
      <c r="AC63">
        <f t="shared" si="4"/>
        <v>0.39943888397372973</v>
      </c>
      <c r="AD63">
        <f t="shared" si="5"/>
        <v>1.3670174003076312</v>
      </c>
      <c r="AE63">
        <f t="shared" si="6"/>
        <v>4.5129736546771255</v>
      </c>
      <c r="AF63">
        <f t="shared" si="7"/>
        <v>0.76224111171060827</v>
      </c>
      <c r="AG63">
        <f t="shared" si="8"/>
        <v>-6.3752804292800391E-3</v>
      </c>
      <c r="AH63">
        <f t="shared" si="9"/>
        <v>1.0948470862470998</v>
      </c>
      <c r="AI63">
        <f t="shared" si="10"/>
        <v>-1.9457262445439678</v>
      </c>
      <c r="AJ63">
        <f t="shared" si="11"/>
        <v>0.19399506240584996</v>
      </c>
      <c r="AK63">
        <f t="shared" si="12"/>
        <v>0.22648744603041099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  <c r="AP63">
        <f t="shared" si="17"/>
        <v>0</v>
      </c>
      <c r="AQ63">
        <f t="shared" si="18"/>
        <v>0</v>
      </c>
      <c r="AR63">
        <f t="shared" si="19"/>
        <v>0</v>
      </c>
    </row>
    <row r="64" spans="1:44" x14ac:dyDescent="0.25">
      <c r="A64" s="15">
        <v>40999</v>
      </c>
      <c r="B64">
        <v>95.220828533021802</v>
      </c>
      <c r="C64">
        <v>90.990465446417076</v>
      </c>
      <c r="D64">
        <v>100.26857414915668</v>
      </c>
      <c r="E64">
        <v>94.339792643349242</v>
      </c>
      <c r="F64">
        <v>98.059610435736786</v>
      </c>
      <c r="G64">
        <v>98.45528822952933</v>
      </c>
      <c r="H64">
        <v>78.297775842712142</v>
      </c>
      <c r="I64">
        <v>104.58844196118766</v>
      </c>
      <c r="J64">
        <v>95.296594834362097</v>
      </c>
      <c r="K64">
        <v>0.79036304883250197</v>
      </c>
      <c r="L64">
        <v>81.185307692307703</v>
      </c>
      <c r="M64" s="16">
        <f>+'[3]VAR expectations'!C88</f>
        <v>1.4821164021163924</v>
      </c>
      <c r="N64">
        <v>0.82772171266241201</v>
      </c>
      <c r="O64">
        <v>5.6173276616820499E-2</v>
      </c>
      <c r="P64">
        <v>299</v>
      </c>
      <c r="Q64">
        <v>102</v>
      </c>
      <c r="R64">
        <v>445</v>
      </c>
      <c r="S64">
        <v>112</v>
      </c>
      <c r="T64">
        <v>18</v>
      </c>
      <c r="U64">
        <v>24</v>
      </c>
      <c r="V64">
        <f t="shared" si="1"/>
        <v>154</v>
      </c>
      <c r="X64">
        <f t="shared" si="2"/>
        <v>0.54812774131012532</v>
      </c>
      <c r="Y64">
        <f t="shared" si="20"/>
        <v>0.7172090235824129</v>
      </c>
      <c r="Z64">
        <f t="shared" si="21"/>
        <v>0.27939448701836511</v>
      </c>
      <c r="AA64">
        <f t="shared" si="22"/>
        <v>0.8073541246580902</v>
      </c>
      <c r="AB64">
        <f t="shared" si="3"/>
        <v>0.92861450073004903</v>
      </c>
      <c r="AC64">
        <f t="shared" si="4"/>
        <v>0.9380675410659336</v>
      </c>
      <c r="AD64">
        <f t="shared" si="5"/>
        <v>0.421089571897582</v>
      </c>
      <c r="AE64">
        <f t="shared" si="6"/>
        <v>-8.5048386373330231E-2</v>
      </c>
      <c r="AF64">
        <f t="shared" si="7"/>
        <v>0.69612482007678977</v>
      </c>
      <c r="AG64">
        <f t="shared" si="8"/>
        <v>-6.5624595871800473E-3</v>
      </c>
      <c r="AH64">
        <f t="shared" si="9"/>
        <v>0.85150000000000148</v>
      </c>
      <c r="AI64">
        <f t="shared" si="10"/>
        <v>-1.7392533622141235</v>
      </c>
      <c r="AJ64">
        <f t="shared" si="11"/>
        <v>-0.42126004835627795</v>
      </c>
      <c r="AK64">
        <f t="shared" si="12"/>
        <v>-0.32518924361811152</v>
      </c>
      <c r="AL64">
        <f t="shared" si="13"/>
        <v>-15</v>
      </c>
      <c r="AM64">
        <f t="shared" si="14"/>
        <v>15</v>
      </c>
      <c r="AN64">
        <f t="shared" si="15"/>
        <v>6</v>
      </c>
      <c r="AO64">
        <f t="shared" si="16"/>
        <v>-6</v>
      </c>
      <c r="AP64">
        <f t="shared" si="17"/>
        <v>-1</v>
      </c>
      <c r="AQ64">
        <f t="shared" si="18"/>
        <v>1</v>
      </c>
      <c r="AR64">
        <f t="shared" si="19"/>
        <v>-6</v>
      </c>
    </row>
    <row r="65" spans="1:44" x14ac:dyDescent="0.25">
      <c r="A65" s="15">
        <v>41090</v>
      </c>
      <c r="B65">
        <v>95.661801589235736</v>
      </c>
      <c r="C65">
        <v>91.874666961234553</v>
      </c>
      <c r="D65">
        <v>99.992916527829777</v>
      </c>
      <c r="E65">
        <v>95.203023909993405</v>
      </c>
      <c r="F65">
        <v>98.600128903658003</v>
      </c>
      <c r="G65">
        <v>98.344902271854878</v>
      </c>
      <c r="H65">
        <v>80.928781127316668</v>
      </c>
      <c r="I65">
        <v>104.38451787906634</v>
      </c>
      <c r="J65">
        <v>95.693244690360004</v>
      </c>
      <c r="K65">
        <v>0.78233241965256906</v>
      </c>
      <c r="L65">
        <v>83.181383076923098</v>
      </c>
      <c r="M65" s="16">
        <f>+'[3]VAR expectations'!C89</f>
        <v>1.8160783232406086</v>
      </c>
      <c r="N65">
        <v>0.54554070595886694</v>
      </c>
      <c r="O65">
        <v>-4.3636593431138501E-2</v>
      </c>
      <c r="P65">
        <v>299</v>
      </c>
      <c r="Q65">
        <v>102</v>
      </c>
      <c r="R65">
        <v>445</v>
      </c>
      <c r="S65">
        <v>112</v>
      </c>
      <c r="T65">
        <v>18</v>
      </c>
      <c r="U65">
        <v>24</v>
      </c>
      <c r="V65">
        <f t="shared" si="1"/>
        <v>154</v>
      </c>
      <c r="X65">
        <f t="shared" si="2"/>
        <v>0.44097305621393446</v>
      </c>
      <c r="Y65">
        <f t="shared" si="20"/>
        <v>0.88420151481747666</v>
      </c>
      <c r="Z65">
        <f t="shared" si="21"/>
        <v>-0.27565762132689997</v>
      </c>
      <c r="AA65">
        <f t="shared" si="22"/>
        <v>0.8632312666441635</v>
      </c>
      <c r="AB65">
        <f t="shared" si="3"/>
        <v>0.54051846792121694</v>
      </c>
      <c r="AC65">
        <f t="shared" si="4"/>
        <v>-0.11038595767445258</v>
      </c>
      <c r="AD65">
        <f t="shared" si="5"/>
        <v>2.6310052846045267</v>
      </c>
      <c r="AE65">
        <f t="shared" si="6"/>
        <v>-0.20392408212131841</v>
      </c>
      <c r="AF65">
        <f t="shared" si="7"/>
        <v>0.39664985599790725</v>
      </c>
      <c r="AG65">
        <f t="shared" si="8"/>
        <v>-8.0306291799329133E-3</v>
      </c>
      <c r="AH65">
        <f t="shared" si="9"/>
        <v>1.9960753846153949</v>
      </c>
      <c r="AI65">
        <f t="shared" si="10"/>
        <v>-0.85720303527493469</v>
      </c>
      <c r="AJ65">
        <f t="shared" si="11"/>
        <v>-0.28218100670354507</v>
      </c>
      <c r="AK65">
        <f t="shared" si="12"/>
        <v>-9.9809870047958993E-2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  <c r="AP65">
        <f t="shared" si="17"/>
        <v>0</v>
      </c>
      <c r="AQ65">
        <f t="shared" si="18"/>
        <v>0</v>
      </c>
      <c r="AR65">
        <f t="shared" si="19"/>
        <v>0</v>
      </c>
    </row>
    <row r="66" spans="1:44" x14ac:dyDescent="0.25">
      <c r="A66" s="15">
        <v>41182</v>
      </c>
      <c r="B66">
        <v>96.159757106247127</v>
      </c>
      <c r="C66">
        <v>92.663276461154041</v>
      </c>
      <c r="D66">
        <v>100.06941067775598</v>
      </c>
      <c r="E66">
        <v>96.120000892621292</v>
      </c>
      <c r="F66">
        <v>99.226062487439506</v>
      </c>
      <c r="G66">
        <v>98.889261550535934</v>
      </c>
      <c r="H66">
        <v>82.976582341582699</v>
      </c>
      <c r="I66">
        <v>103.68401053509801</v>
      </c>
      <c r="J66">
        <v>96.132770683416496</v>
      </c>
      <c r="K66">
        <v>0.77949894334766001</v>
      </c>
      <c r="L66">
        <v>84.087635384615396</v>
      </c>
      <c r="M66" s="16">
        <f>+'[3]VAR expectations'!C90</f>
        <v>1.8710162025955688</v>
      </c>
      <c r="N66">
        <v>0.31575128789910001</v>
      </c>
      <c r="O66">
        <v>-7.0602534907149003E-2</v>
      </c>
      <c r="P66">
        <v>299</v>
      </c>
      <c r="Q66">
        <v>102</v>
      </c>
      <c r="R66">
        <v>445</v>
      </c>
      <c r="S66">
        <v>112</v>
      </c>
      <c r="T66">
        <v>18</v>
      </c>
      <c r="U66">
        <v>24</v>
      </c>
      <c r="V66">
        <f t="shared" ref="V66:V129" si="23">+S66+T66+U66</f>
        <v>154</v>
      </c>
      <c r="X66">
        <f t="shared" ref="X66:X129" si="24">B66-B204</f>
        <v>0.49795551701139118</v>
      </c>
      <c r="Y66">
        <f t="shared" si="20"/>
        <v>0.78860949991948814</v>
      </c>
      <c r="Z66">
        <f t="shared" si="21"/>
        <v>7.6494149926205068E-2</v>
      </c>
      <c r="AA66">
        <f t="shared" si="22"/>
        <v>0.91697698262788663</v>
      </c>
      <c r="AB66">
        <f t="shared" si="3"/>
        <v>0.62593358378150299</v>
      </c>
      <c r="AC66">
        <f t="shared" si="4"/>
        <v>0.54435927868105694</v>
      </c>
      <c r="AD66">
        <f t="shared" si="5"/>
        <v>2.0478012142660305</v>
      </c>
      <c r="AE66">
        <f t="shared" si="6"/>
        <v>-0.70050734396832581</v>
      </c>
      <c r="AF66">
        <f t="shared" si="7"/>
        <v>0.43952599305649187</v>
      </c>
      <c r="AG66">
        <f t="shared" si="8"/>
        <v>-2.8334763049090439E-3</v>
      </c>
      <c r="AH66">
        <f t="shared" si="9"/>
        <v>0.90625230769229859</v>
      </c>
      <c r="AI66">
        <f t="shared" si="10"/>
        <v>-0.8617910799727464</v>
      </c>
      <c r="AJ66">
        <f t="shared" si="11"/>
        <v>-0.22978941805976694</v>
      </c>
      <c r="AK66">
        <f t="shared" si="12"/>
        <v>-2.6965941476010502E-2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  <c r="AP66">
        <f t="shared" si="17"/>
        <v>0</v>
      </c>
      <c r="AQ66">
        <f t="shared" si="18"/>
        <v>0</v>
      </c>
      <c r="AR66">
        <f t="shared" si="19"/>
        <v>0</v>
      </c>
    </row>
    <row r="67" spans="1:44" x14ac:dyDescent="0.25">
      <c r="A67" s="15">
        <v>41274</v>
      </c>
      <c r="B67">
        <v>97.162654247917999</v>
      </c>
      <c r="C67">
        <v>93.826523338900373</v>
      </c>
      <c r="D67">
        <v>100.41599137190799</v>
      </c>
      <c r="E67">
        <v>97.577218272869018</v>
      </c>
      <c r="F67">
        <v>100.720386662997</v>
      </c>
      <c r="G67">
        <v>99.479593443291932</v>
      </c>
      <c r="H67">
        <v>84.635244859279169</v>
      </c>
      <c r="I67">
        <v>105.58557801242399</v>
      </c>
      <c r="J67">
        <v>97.110964269244803</v>
      </c>
      <c r="K67">
        <v>0.78154662829000898</v>
      </c>
      <c r="L67">
        <v>83.635050000000007</v>
      </c>
      <c r="M67" s="16">
        <f>+'[3]VAR expectations'!C91</f>
        <v>2.0075486250838721</v>
      </c>
      <c r="N67">
        <v>0.104563536497584</v>
      </c>
      <c r="O67">
        <v>0.17002043948124901</v>
      </c>
      <c r="P67">
        <v>299</v>
      </c>
      <c r="Q67">
        <v>102</v>
      </c>
      <c r="R67">
        <v>445</v>
      </c>
      <c r="S67">
        <v>112</v>
      </c>
      <c r="T67">
        <v>18</v>
      </c>
      <c r="U67">
        <v>24</v>
      </c>
      <c r="V67">
        <f t="shared" si="23"/>
        <v>154</v>
      </c>
      <c r="X67">
        <f t="shared" si="24"/>
        <v>1.0028971416708714</v>
      </c>
      <c r="Y67">
        <f t="shared" si="20"/>
        <v>1.1632468777463316</v>
      </c>
      <c r="Z67">
        <f t="shared" si="21"/>
        <v>0.34658069415200998</v>
      </c>
      <c r="AA67">
        <f t="shared" si="22"/>
        <v>1.4572173802477266</v>
      </c>
      <c r="AB67">
        <f t="shared" si="3"/>
        <v>1.4943241755574945</v>
      </c>
      <c r="AC67">
        <f t="shared" si="4"/>
        <v>0.59033189275599796</v>
      </c>
      <c r="AD67">
        <f t="shared" si="5"/>
        <v>1.6586625176964702</v>
      </c>
      <c r="AE67">
        <f t="shared" si="6"/>
        <v>1.9015674773259832</v>
      </c>
      <c r="AF67">
        <f t="shared" si="7"/>
        <v>0.97819358582830773</v>
      </c>
      <c r="AG67">
        <f t="shared" si="8"/>
        <v>2.0476849423489707E-3</v>
      </c>
      <c r="AH67">
        <f t="shared" si="9"/>
        <v>-0.45258538461538933</v>
      </c>
      <c r="AI67">
        <f t="shared" si="10"/>
        <v>-0.62632836715278817</v>
      </c>
      <c r="AJ67">
        <f t="shared" si="11"/>
        <v>-0.21118775140151602</v>
      </c>
      <c r="AK67">
        <f t="shared" si="12"/>
        <v>0.24062297438839803</v>
      </c>
      <c r="AL67">
        <f t="shared" si="13"/>
        <v>0</v>
      </c>
      <c r="AM67">
        <f t="shared" si="14"/>
        <v>0</v>
      </c>
      <c r="AN67">
        <f t="shared" si="15"/>
        <v>0</v>
      </c>
      <c r="AO67">
        <f t="shared" si="16"/>
        <v>0</v>
      </c>
      <c r="AP67">
        <f t="shared" si="17"/>
        <v>0</v>
      </c>
      <c r="AQ67">
        <f t="shared" si="18"/>
        <v>0</v>
      </c>
      <c r="AR67">
        <f t="shared" si="19"/>
        <v>0</v>
      </c>
    </row>
    <row r="68" spans="1:44" x14ac:dyDescent="0.25">
      <c r="A68" s="15">
        <v>41364</v>
      </c>
      <c r="B68">
        <v>97.878204369286664</v>
      </c>
      <c r="C68">
        <v>94.497713062964138</v>
      </c>
      <c r="D68">
        <v>100.25492351994366</v>
      </c>
      <c r="E68">
        <v>98.933189023488126</v>
      </c>
      <c r="F68">
        <v>101.831219987024</v>
      </c>
      <c r="G68">
        <v>101.77752488879499</v>
      </c>
      <c r="H68">
        <v>85.719780021004397</v>
      </c>
      <c r="I68">
        <v>108.31118169835234</v>
      </c>
      <c r="J68">
        <v>97.925488465259704</v>
      </c>
      <c r="K68">
        <v>0.79884478823621796</v>
      </c>
      <c r="L68">
        <v>80.442884375000006</v>
      </c>
      <c r="M68" s="16">
        <f>+'[3]VAR expectations'!C92</f>
        <v>2.301390043398611</v>
      </c>
      <c r="N68">
        <v>0.324024369524822</v>
      </c>
      <c r="O68">
        <v>0.241460052475615</v>
      </c>
      <c r="P68">
        <v>296</v>
      </c>
      <c r="Q68">
        <v>88</v>
      </c>
      <c r="R68">
        <v>466</v>
      </c>
      <c r="S68">
        <v>106</v>
      </c>
      <c r="T68">
        <v>20</v>
      </c>
      <c r="U68">
        <v>24</v>
      </c>
      <c r="V68">
        <f t="shared" si="23"/>
        <v>150</v>
      </c>
      <c r="X68">
        <f t="shared" si="24"/>
        <v>0.7155501213686648</v>
      </c>
      <c r="Y68">
        <f t="shared" si="20"/>
        <v>0.67118972406376542</v>
      </c>
      <c r="Z68">
        <f t="shared" si="21"/>
        <v>-0.16106785196433293</v>
      </c>
      <c r="AA68">
        <f t="shared" si="22"/>
        <v>1.3559707506191074</v>
      </c>
      <c r="AB68">
        <f t="shared" si="3"/>
        <v>1.1108333240269985</v>
      </c>
      <c r="AC68">
        <f t="shared" si="4"/>
        <v>2.2979314455030533</v>
      </c>
      <c r="AD68">
        <f t="shared" si="5"/>
        <v>1.0845351617252277</v>
      </c>
      <c r="AE68">
        <f t="shared" si="6"/>
        <v>2.7256036859283483</v>
      </c>
      <c r="AF68">
        <f t="shared" si="7"/>
        <v>0.81452419601490078</v>
      </c>
      <c r="AG68">
        <f t="shared" si="8"/>
        <v>1.729815994620898E-2</v>
      </c>
      <c r="AH68">
        <f t="shared" si="9"/>
        <v>-3.1921656250000012</v>
      </c>
      <c r="AI68">
        <f t="shared" si="10"/>
        <v>-0.53815927583036416</v>
      </c>
      <c r="AJ68">
        <f t="shared" si="11"/>
        <v>0.21946083302723801</v>
      </c>
      <c r="AK68">
        <f t="shared" si="12"/>
        <v>7.1439612994365992E-2</v>
      </c>
      <c r="AL68">
        <f t="shared" si="13"/>
        <v>-3</v>
      </c>
      <c r="AM68">
        <f t="shared" si="14"/>
        <v>-14</v>
      </c>
      <c r="AN68">
        <f t="shared" si="15"/>
        <v>21</v>
      </c>
      <c r="AO68">
        <f t="shared" si="16"/>
        <v>-6</v>
      </c>
      <c r="AP68">
        <f t="shared" si="17"/>
        <v>2</v>
      </c>
      <c r="AQ68">
        <f t="shared" si="18"/>
        <v>0</v>
      </c>
      <c r="AR68">
        <f t="shared" si="19"/>
        <v>-4</v>
      </c>
    </row>
    <row r="69" spans="1:44" x14ac:dyDescent="0.25">
      <c r="A69" s="15">
        <v>41455</v>
      </c>
      <c r="B69">
        <v>98.251378473589838</v>
      </c>
      <c r="C69">
        <v>95.046476257027862</v>
      </c>
      <c r="D69">
        <v>100.27978237194566</v>
      </c>
      <c r="E69">
        <v>99.859685215060438</v>
      </c>
      <c r="F69">
        <v>102.75500391936266</v>
      </c>
      <c r="G69">
        <v>101.836289917104</v>
      </c>
      <c r="H69">
        <v>87.210873548229799</v>
      </c>
      <c r="I69">
        <v>107.83201654009734</v>
      </c>
      <c r="J69">
        <v>98.272753366828596</v>
      </c>
      <c r="K69">
        <v>0.79167951163778205</v>
      </c>
      <c r="L69">
        <v>80.515092307692299</v>
      </c>
      <c r="M69" s="16">
        <f>+'[3]VAR expectations'!C93</f>
        <v>2.6505886564059562</v>
      </c>
      <c r="N69">
        <v>0.31364041349556798</v>
      </c>
      <c r="O69">
        <v>-4.6266301499783898E-2</v>
      </c>
      <c r="P69">
        <v>296</v>
      </c>
      <c r="Q69">
        <v>88</v>
      </c>
      <c r="R69">
        <v>466</v>
      </c>
      <c r="S69">
        <v>106</v>
      </c>
      <c r="T69">
        <v>20</v>
      </c>
      <c r="U69">
        <v>24</v>
      </c>
      <c r="V69">
        <f t="shared" si="23"/>
        <v>150</v>
      </c>
      <c r="X69">
        <f t="shared" si="24"/>
        <v>0.37317410430317466</v>
      </c>
      <c r="Y69">
        <f t="shared" si="20"/>
        <v>0.54876319406372431</v>
      </c>
      <c r="Z69">
        <f t="shared" si="21"/>
        <v>2.4858852001997889E-2</v>
      </c>
      <c r="AA69">
        <f t="shared" si="22"/>
        <v>0.926496191572312</v>
      </c>
      <c r="AB69">
        <f t="shared" si="3"/>
        <v>0.92378393233866518</v>
      </c>
      <c r="AC69">
        <f t="shared" si="4"/>
        <v>5.8765028309011313E-2</v>
      </c>
      <c r="AD69">
        <f t="shared" si="5"/>
        <v>1.4910935272254022</v>
      </c>
      <c r="AE69">
        <f t="shared" si="6"/>
        <v>-0.47916515825500028</v>
      </c>
      <c r="AF69">
        <f t="shared" si="7"/>
        <v>0.34726490156889156</v>
      </c>
      <c r="AG69">
        <f t="shared" si="8"/>
        <v>-7.1652765984359101E-3</v>
      </c>
      <c r="AH69">
        <f t="shared" si="9"/>
        <v>7.2207932692293753E-2</v>
      </c>
      <c r="AI69">
        <f t="shared" si="10"/>
        <v>-0.1478507880938511</v>
      </c>
      <c r="AJ69">
        <f t="shared" si="11"/>
        <v>-1.0383956029254016E-2</v>
      </c>
      <c r="AK69">
        <f t="shared" si="12"/>
        <v>-0.28772635397539892</v>
      </c>
      <c r="AL69">
        <f t="shared" si="13"/>
        <v>0</v>
      </c>
      <c r="AM69">
        <f t="shared" si="14"/>
        <v>0</v>
      </c>
      <c r="AN69">
        <f t="shared" si="15"/>
        <v>0</v>
      </c>
      <c r="AO69">
        <f t="shared" si="16"/>
        <v>0</v>
      </c>
      <c r="AP69">
        <f t="shared" si="17"/>
        <v>0</v>
      </c>
      <c r="AQ69">
        <f t="shared" si="18"/>
        <v>0</v>
      </c>
      <c r="AR69">
        <f>V69-V207</f>
        <v>0</v>
      </c>
    </row>
    <row r="70" spans="1:44" x14ac:dyDescent="0.25">
      <c r="A70" s="15">
        <v>41547</v>
      </c>
      <c r="B70">
        <v>98.752854591939908</v>
      </c>
      <c r="C70">
        <v>95.572863782293311</v>
      </c>
      <c r="D70">
        <v>100.44629317566866</v>
      </c>
      <c r="E70">
        <v>100.64149809400267</v>
      </c>
      <c r="F70">
        <v>103.29671967476033</v>
      </c>
      <c r="G70">
        <v>102.71419074656801</v>
      </c>
      <c r="H70">
        <v>88.583060290652668</v>
      </c>
      <c r="I70">
        <v>108.30898115607933</v>
      </c>
      <c r="J70">
        <v>98.742078767920106</v>
      </c>
      <c r="K70">
        <v>0.79239358474646304</v>
      </c>
      <c r="L70">
        <v>81.208398484848502</v>
      </c>
      <c r="M70" s="16">
        <f>+'[3]VAR expectations'!C94</f>
        <v>2.8352346264846378</v>
      </c>
      <c r="N70">
        <v>0.43632015937909602</v>
      </c>
      <c r="O70">
        <v>5.0228150077548703E-2</v>
      </c>
      <c r="P70">
        <v>296</v>
      </c>
      <c r="Q70">
        <v>88</v>
      </c>
      <c r="R70">
        <v>466</v>
      </c>
      <c r="S70">
        <v>106</v>
      </c>
      <c r="T70">
        <v>20</v>
      </c>
      <c r="U70">
        <v>24</v>
      </c>
      <c r="V70">
        <f t="shared" si="23"/>
        <v>150</v>
      </c>
      <c r="X70">
        <f t="shared" si="24"/>
        <v>0.50147611835006956</v>
      </c>
      <c r="Y70">
        <f t="shared" si="20"/>
        <v>0.52638752526544863</v>
      </c>
      <c r="Z70">
        <f t="shared" si="21"/>
        <v>0.16651080372299987</v>
      </c>
      <c r="AA70">
        <f t="shared" si="22"/>
        <v>0.78181287894223317</v>
      </c>
      <c r="AB70">
        <f t="shared" si="3"/>
        <v>0.54171575539766081</v>
      </c>
      <c r="AC70">
        <f t="shared" si="4"/>
        <v>0.87790082946401071</v>
      </c>
      <c r="AD70">
        <f t="shared" si="5"/>
        <v>1.3721867424228691</v>
      </c>
      <c r="AE70">
        <f t="shared" si="6"/>
        <v>0.47696461598198425</v>
      </c>
      <c r="AF70">
        <f t="shared" si="7"/>
        <v>0.46932540109150978</v>
      </c>
      <c r="AG70">
        <f t="shared" si="8"/>
        <v>7.1407310868099039E-4</v>
      </c>
      <c r="AH70">
        <f t="shared" si="9"/>
        <v>0.69330617715620235</v>
      </c>
      <c r="AI70">
        <f t="shared" si="10"/>
        <v>0.28881580927630646</v>
      </c>
      <c r="AJ70">
        <f t="shared" si="11"/>
        <v>0.12267974588352804</v>
      </c>
      <c r="AK70">
        <f t="shared" si="12"/>
        <v>9.6494451577332607E-2</v>
      </c>
      <c r="AL70">
        <f t="shared" si="13"/>
        <v>0</v>
      </c>
      <c r="AM70">
        <f t="shared" si="14"/>
        <v>0</v>
      </c>
      <c r="AN70">
        <f t="shared" si="15"/>
        <v>0</v>
      </c>
      <c r="AO70">
        <f t="shared" si="16"/>
        <v>0</v>
      </c>
      <c r="AP70">
        <f t="shared" si="17"/>
        <v>0</v>
      </c>
      <c r="AQ70">
        <f t="shared" si="18"/>
        <v>0</v>
      </c>
      <c r="AR70">
        <f t="shared" si="19"/>
        <v>0</v>
      </c>
    </row>
    <row r="71" spans="1:44" x14ac:dyDescent="0.25">
      <c r="A71" s="15">
        <v>41639</v>
      </c>
      <c r="B71">
        <v>99.16645698771913</v>
      </c>
      <c r="C71">
        <v>96.228078680329631</v>
      </c>
      <c r="D71">
        <v>100.78376977819967</v>
      </c>
      <c r="E71">
        <v>101.17449901115033</v>
      </c>
      <c r="F71">
        <v>103.58088696547502</v>
      </c>
      <c r="G71">
        <v>102.56867208326467</v>
      </c>
      <c r="H71">
        <v>90.447371162377706</v>
      </c>
      <c r="I71">
        <v>107.92752093511767</v>
      </c>
      <c r="J71">
        <v>99.137279807018302</v>
      </c>
      <c r="K71">
        <v>0.77685805948687903</v>
      </c>
      <c r="L71">
        <v>83.550871212121194</v>
      </c>
      <c r="M71" s="16">
        <f>+'[3]VAR expectations'!C95</f>
        <v>3.2715136112828467</v>
      </c>
      <c r="N71">
        <v>0.22219070211023301</v>
      </c>
      <c r="O71">
        <v>-3.9462920803342003E-2</v>
      </c>
      <c r="P71">
        <v>296</v>
      </c>
      <c r="Q71">
        <v>88</v>
      </c>
      <c r="R71">
        <v>466</v>
      </c>
      <c r="S71">
        <v>106</v>
      </c>
      <c r="T71">
        <v>20</v>
      </c>
      <c r="U71">
        <v>24</v>
      </c>
      <c r="V71">
        <f t="shared" si="23"/>
        <v>150</v>
      </c>
      <c r="X71">
        <f t="shared" si="24"/>
        <v>0.41360239577922187</v>
      </c>
      <c r="Y71">
        <f t="shared" si="20"/>
        <v>0.65521489803631994</v>
      </c>
      <c r="Z71">
        <f t="shared" si="21"/>
        <v>0.3374766025310123</v>
      </c>
      <c r="AA71">
        <f t="shared" si="22"/>
        <v>0.5330009171476604</v>
      </c>
      <c r="AB71">
        <f t="shared" si="3"/>
        <v>0.28416729071469149</v>
      </c>
      <c r="AC71">
        <f t="shared" si="4"/>
        <v>-0.14551866330333496</v>
      </c>
      <c r="AD71">
        <f t="shared" si="5"/>
        <v>1.8643108717250385</v>
      </c>
      <c r="AE71">
        <f t="shared" si="6"/>
        <v>-0.38146022096165666</v>
      </c>
      <c r="AF71">
        <f t="shared" si="7"/>
        <v>0.39520103909819682</v>
      </c>
      <c r="AG71">
        <f t="shared" si="8"/>
        <v>-1.5535525259584015E-2</v>
      </c>
      <c r="AH71">
        <f t="shared" si="9"/>
        <v>2.3424727272726926</v>
      </c>
      <c r="AI71">
        <f t="shared" si="10"/>
        <v>0.69669200827751743</v>
      </c>
      <c r="AJ71">
        <f t="shared" si="11"/>
        <v>-0.21412945726886301</v>
      </c>
      <c r="AK71">
        <f t="shared" si="12"/>
        <v>-8.9691070880890705E-2</v>
      </c>
      <c r="AL71">
        <f t="shared" si="13"/>
        <v>0</v>
      </c>
      <c r="AM71">
        <f t="shared" si="14"/>
        <v>0</v>
      </c>
      <c r="AN71">
        <f t="shared" si="15"/>
        <v>0</v>
      </c>
      <c r="AO71">
        <f t="shared" si="16"/>
        <v>0</v>
      </c>
      <c r="AP71">
        <f t="shared" si="17"/>
        <v>0</v>
      </c>
      <c r="AQ71">
        <f t="shared" si="18"/>
        <v>0</v>
      </c>
      <c r="AR71">
        <f t="shared" si="19"/>
        <v>0</v>
      </c>
    </row>
    <row r="72" spans="1:44" x14ac:dyDescent="0.25">
      <c r="A72" s="15">
        <v>41729</v>
      </c>
      <c r="B72">
        <v>99.615965019554665</v>
      </c>
      <c r="C72">
        <v>96.761795187350572</v>
      </c>
      <c r="D72">
        <v>100.74134078545767</v>
      </c>
      <c r="E72">
        <v>101.51263395869665</v>
      </c>
      <c r="F72">
        <v>103.69940747537733</v>
      </c>
      <c r="G72">
        <v>102.60369891342134</v>
      </c>
      <c r="H72">
        <v>91.971291673900566</v>
      </c>
      <c r="I72">
        <v>109.70553215533168</v>
      </c>
      <c r="J72">
        <v>99.631583657680906</v>
      </c>
      <c r="K72">
        <v>0.77005639191864195</v>
      </c>
      <c r="L72">
        <v>85.572229687499998</v>
      </c>
      <c r="M72" s="16">
        <f>+'[3]VAR expectations'!C96</f>
        <v>3.5419702495573993</v>
      </c>
      <c r="N72">
        <v>9.8094031068240703E-2</v>
      </c>
      <c r="O72">
        <v>0.118953558534671</v>
      </c>
      <c r="P72">
        <v>303</v>
      </c>
      <c r="Q72">
        <v>80</v>
      </c>
      <c r="R72">
        <v>460</v>
      </c>
      <c r="S72">
        <v>112</v>
      </c>
      <c r="T72">
        <v>20</v>
      </c>
      <c r="U72">
        <v>25</v>
      </c>
      <c r="V72">
        <f t="shared" si="23"/>
        <v>157</v>
      </c>
      <c r="X72">
        <f t="shared" si="24"/>
        <v>0.44950803183553489</v>
      </c>
      <c r="Y72">
        <f t="shared" si="20"/>
        <v>0.53371650702094087</v>
      </c>
      <c r="Z72">
        <f t="shared" si="21"/>
        <v>-4.2428992742003402E-2</v>
      </c>
      <c r="AA72">
        <f t="shared" si="22"/>
        <v>0.33813494754632245</v>
      </c>
      <c r="AB72">
        <f t="shared" si="3"/>
        <v>0.11852050990231078</v>
      </c>
      <c r="AC72">
        <f t="shared" si="4"/>
        <v>3.5026830156667188E-2</v>
      </c>
      <c r="AD72">
        <f t="shared" si="5"/>
        <v>1.52392051152286</v>
      </c>
      <c r="AE72">
        <f t="shared" si="6"/>
        <v>1.7780112202140117</v>
      </c>
      <c r="AF72">
        <f t="shared" si="7"/>
        <v>0.49430385066260385</v>
      </c>
      <c r="AG72">
        <f t="shared" si="8"/>
        <v>-6.8016675682370797E-3</v>
      </c>
      <c r="AH72">
        <f t="shared" si="9"/>
        <v>2.0213584753788041</v>
      </c>
      <c r="AI72">
        <f t="shared" si="10"/>
        <v>0.71004473492026277</v>
      </c>
      <c r="AJ72">
        <f t="shared" si="11"/>
        <v>-0.1240966710419923</v>
      </c>
      <c r="AK72">
        <f t="shared" si="12"/>
        <v>0.15841647933801301</v>
      </c>
      <c r="AL72">
        <f t="shared" si="13"/>
        <v>7</v>
      </c>
      <c r="AM72">
        <f t="shared" si="14"/>
        <v>-8</v>
      </c>
      <c r="AN72">
        <f t="shared" si="15"/>
        <v>-6</v>
      </c>
      <c r="AO72">
        <f t="shared" si="16"/>
        <v>6</v>
      </c>
      <c r="AP72">
        <f t="shared" si="17"/>
        <v>0</v>
      </c>
      <c r="AQ72">
        <f t="shared" si="18"/>
        <v>1</v>
      </c>
      <c r="AR72">
        <f t="shared" si="19"/>
        <v>7</v>
      </c>
    </row>
    <row r="73" spans="1:44" x14ac:dyDescent="0.25">
      <c r="A73" s="15">
        <v>41820</v>
      </c>
      <c r="B73">
        <v>99.965838125717156</v>
      </c>
      <c r="C73">
        <v>97.447287714361963</v>
      </c>
      <c r="D73">
        <v>101.19548548535266</v>
      </c>
      <c r="E73">
        <v>101.10270726469498</v>
      </c>
      <c r="F73">
        <v>102.71213136249001</v>
      </c>
      <c r="G73">
        <v>102.60684242225399</v>
      </c>
      <c r="H73">
        <v>93.613842075338894</v>
      </c>
      <c r="I73">
        <v>108.99814611378167</v>
      </c>
      <c r="J73">
        <v>99.977142779752299</v>
      </c>
      <c r="K73">
        <v>0.76186138184852603</v>
      </c>
      <c r="L73">
        <v>86.910458461538497</v>
      </c>
      <c r="M73" s="16">
        <f>+'[3]VAR expectations'!C97</f>
        <v>3.375212504142874</v>
      </c>
      <c r="N73">
        <v>0.10587156808661601</v>
      </c>
      <c r="O73">
        <v>-3.9039395433083303E-2</v>
      </c>
      <c r="P73">
        <v>303</v>
      </c>
      <c r="Q73">
        <v>80</v>
      </c>
      <c r="R73">
        <v>460</v>
      </c>
      <c r="S73">
        <v>112</v>
      </c>
      <c r="T73">
        <v>20</v>
      </c>
      <c r="U73">
        <v>25</v>
      </c>
      <c r="V73">
        <f t="shared" si="23"/>
        <v>157</v>
      </c>
      <c r="X73">
        <f t="shared" si="24"/>
        <v>0.3498731061624909</v>
      </c>
      <c r="Y73">
        <f t="shared" si="20"/>
        <v>0.68549252701139096</v>
      </c>
      <c r="Z73">
        <f t="shared" si="21"/>
        <v>0.45414469989499651</v>
      </c>
      <c r="AA73">
        <f t="shared" si="22"/>
        <v>-0.40992669400166903</v>
      </c>
      <c r="AB73">
        <f t="shared" si="3"/>
        <v>-0.98727611288731509</v>
      </c>
      <c r="AC73">
        <f t="shared" si="4"/>
        <v>3.1435088326503546E-3</v>
      </c>
      <c r="AD73">
        <f t="shared" si="5"/>
        <v>1.6425504014383279</v>
      </c>
      <c r="AE73">
        <f t="shared" si="6"/>
        <v>-0.70738604155000928</v>
      </c>
      <c r="AF73">
        <f t="shared" si="7"/>
        <v>0.34555912207139272</v>
      </c>
      <c r="AG73">
        <f t="shared" si="8"/>
        <v>-8.1950100701159156E-3</v>
      </c>
      <c r="AH73">
        <f t="shared" si="9"/>
        <v>1.3382287740384982</v>
      </c>
      <c r="AI73">
        <f t="shared" si="10"/>
        <v>1.1458872105911269</v>
      </c>
      <c r="AJ73">
        <f t="shared" si="11"/>
        <v>7.7775370183753023E-3</v>
      </c>
      <c r="AK73">
        <f t="shared" si="12"/>
        <v>-0.15799295396775431</v>
      </c>
      <c r="AL73">
        <f t="shared" si="13"/>
        <v>0</v>
      </c>
      <c r="AM73">
        <f t="shared" si="14"/>
        <v>0</v>
      </c>
      <c r="AN73">
        <f t="shared" si="15"/>
        <v>0</v>
      </c>
      <c r="AO73">
        <f t="shared" si="16"/>
        <v>0</v>
      </c>
      <c r="AP73">
        <f t="shared" si="17"/>
        <v>0</v>
      </c>
      <c r="AQ73">
        <f t="shared" si="18"/>
        <v>0</v>
      </c>
      <c r="AR73">
        <f t="shared" si="19"/>
        <v>0</v>
      </c>
    </row>
    <row r="74" spans="1:44" x14ac:dyDescent="0.25">
      <c r="A74" s="15">
        <v>41912</v>
      </c>
      <c r="B74">
        <v>100.15677739650266</v>
      </c>
      <c r="C74">
        <v>97.959458747727567</v>
      </c>
      <c r="D74">
        <v>101.00929650617768</v>
      </c>
      <c r="E74">
        <v>101.19990884372199</v>
      </c>
      <c r="F74">
        <v>102.32972761473133</v>
      </c>
      <c r="G74">
        <v>102.08085754246467</v>
      </c>
      <c r="H74">
        <v>95.727338342374765</v>
      </c>
      <c r="I74">
        <v>108.44621183848399</v>
      </c>
      <c r="J74">
        <v>100.162977213931</v>
      </c>
      <c r="K74">
        <v>0.75226035278899805</v>
      </c>
      <c r="L74">
        <v>88.037404545454507</v>
      </c>
      <c r="M74" s="16">
        <f>+'[3]VAR expectations'!C98</f>
        <v>3.4898805472145966</v>
      </c>
      <c r="N74">
        <v>3.7153210251410003E-2</v>
      </c>
      <c r="O74">
        <v>-1.7614852146566599E-2</v>
      </c>
      <c r="P74">
        <v>303</v>
      </c>
      <c r="Q74">
        <v>80</v>
      </c>
      <c r="R74">
        <v>460</v>
      </c>
      <c r="S74">
        <v>112</v>
      </c>
      <c r="T74">
        <v>20</v>
      </c>
      <c r="U74">
        <v>25</v>
      </c>
      <c r="V74">
        <f t="shared" si="23"/>
        <v>157</v>
      </c>
      <c r="X74">
        <f t="shared" si="24"/>
        <v>0.19093927078550621</v>
      </c>
      <c r="Y74">
        <f t="shared" si="20"/>
        <v>0.51217103336560399</v>
      </c>
      <c r="Z74">
        <f t="shared" si="21"/>
        <v>-0.186188979174986</v>
      </c>
      <c r="AA74">
        <f t="shared" si="22"/>
        <v>9.7201579027000662E-2</v>
      </c>
      <c r="AB74">
        <f t="shared" ref="AB74:AB133" si="25">F74-F212</f>
        <v>-0.38240374775868702</v>
      </c>
      <c r="AC74">
        <f t="shared" ref="AC74:AC133" si="26">G74-G212</f>
        <v>-0.52598487978931985</v>
      </c>
      <c r="AD74">
        <f t="shared" ref="AD74:AD133" si="27">H74-H212</f>
        <v>2.1134962670358703</v>
      </c>
      <c r="AE74">
        <f t="shared" ref="AE74:AE133" si="28">I74-I212</f>
        <v>-0.55193427529768258</v>
      </c>
      <c r="AF74">
        <f t="shared" ref="AF74:AF133" si="29">J74-J212</f>
        <v>0.18583443417870171</v>
      </c>
      <c r="AG74">
        <f t="shared" ref="AG74:AG133" si="30">K74-K212</f>
        <v>-9.6010290595279768E-3</v>
      </c>
      <c r="AH74">
        <f t="shared" ref="AH74:AH133" si="31">L74-L212</f>
        <v>1.1269460839160104</v>
      </c>
      <c r="AI74">
        <f t="shared" ref="AI74:AI133" si="32">M74-M212</f>
        <v>1.4329563160427736</v>
      </c>
      <c r="AJ74">
        <f t="shared" ref="AJ74:AJ133" si="33">N74-N212</f>
        <v>-6.8718357835205995E-2</v>
      </c>
      <c r="AK74">
        <f t="shared" ref="AK74:AK133" si="34">O74-O212</f>
        <v>2.1424543286516703E-2</v>
      </c>
      <c r="AL74">
        <f t="shared" ref="AL74:AL133" si="35">P74-P212</f>
        <v>0</v>
      </c>
      <c r="AM74">
        <f t="shared" ref="AM74:AM133" si="36">Q74-Q212</f>
        <v>0</v>
      </c>
      <c r="AN74">
        <f t="shared" ref="AN74:AN133" si="37">R74-R212</f>
        <v>0</v>
      </c>
      <c r="AO74">
        <f t="shared" ref="AO74:AO133" si="38">S74-S212</f>
        <v>0</v>
      </c>
      <c r="AP74">
        <f t="shared" ref="AP74:AP133" si="39">T74-T212</f>
        <v>0</v>
      </c>
      <c r="AQ74">
        <f t="shared" ref="AQ74:AQ133" si="40">U74-U212</f>
        <v>0</v>
      </c>
      <c r="AR74">
        <f t="shared" ref="AR74:AR133" si="41">V74-V212</f>
        <v>0</v>
      </c>
    </row>
    <row r="75" spans="1:44" x14ac:dyDescent="0.25">
      <c r="A75" s="15">
        <v>42004</v>
      </c>
      <c r="B75">
        <v>100.07191441089135</v>
      </c>
      <c r="C75">
        <v>98.543422853539013</v>
      </c>
      <c r="D75">
        <v>100.49867292423799</v>
      </c>
      <c r="E75">
        <v>101.34937351147433</v>
      </c>
      <c r="F75">
        <v>101.90270688934201</v>
      </c>
      <c r="G75">
        <v>102.878615332145</v>
      </c>
      <c r="H75">
        <v>97.585296483620894</v>
      </c>
      <c r="I75">
        <v>105.70751267500732</v>
      </c>
      <c r="J75">
        <v>100.062422966814</v>
      </c>
      <c r="K75">
        <v>0.74632537520411302</v>
      </c>
      <c r="L75">
        <v>87.311537878787902</v>
      </c>
      <c r="M75" s="16">
        <f>+'[3]VAR expectations'!C99</f>
        <v>3.2213697643305159</v>
      </c>
      <c r="N75">
        <v>-0.13202299430424599</v>
      </c>
      <c r="O75">
        <v>-0.210741219358592</v>
      </c>
      <c r="P75">
        <v>303</v>
      </c>
      <c r="Q75">
        <v>80</v>
      </c>
      <c r="R75">
        <v>460</v>
      </c>
      <c r="S75">
        <v>112</v>
      </c>
      <c r="T75">
        <v>20</v>
      </c>
      <c r="U75">
        <v>25</v>
      </c>
      <c r="V75">
        <f t="shared" si="23"/>
        <v>157</v>
      </c>
      <c r="X75">
        <f t="shared" si="24"/>
        <v>-8.4862985611309227E-2</v>
      </c>
      <c r="Y75">
        <f t="shared" ref="Y75:Y133" si="42">C75-C213</f>
        <v>0.58396410581144664</v>
      </c>
      <c r="Z75">
        <f t="shared" ref="Z75:Z133" si="43">D75-D213</f>
        <v>-0.51062358193968294</v>
      </c>
      <c r="AA75">
        <f t="shared" ref="AA75:AA133" si="44">E75-E213</f>
        <v>0.14946466775234057</v>
      </c>
      <c r="AB75">
        <f t="shared" si="25"/>
        <v>-0.42702072538931191</v>
      </c>
      <c r="AC75">
        <f t="shared" si="26"/>
        <v>0.79775778968033251</v>
      </c>
      <c r="AD75">
        <f t="shared" si="27"/>
        <v>1.8579581412461295</v>
      </c>
      <c r="AE75">
        <f t="shared" si="28"/>
        <v>-2.7386991634766673</v>
      </c>
      <c r="AF75">
        <f t="shared" si="29"/>
        <v>-0.10055424711700311</v>
      </c>
      <c r="AG75">
        <f t="shared" si="30"/>
        <v>-5.9349775848850372E-3</v>
      </c>
      <c r="AH75">
        <f t="shared" si="31"/>
        <v>-0.72586666666660449</v>
      </c>
      <c r="AI75">
        <f t="shared" si="32"/>
        <v>1.0964968405691606</v>
      </c>
      <c r="AJ75">
        <f t="shared" si="33"/>
        <v>-0.16917620455565599</v>
      </c>
      <c r="AK75">
        <f t="shared" si="34"/>
        <v>-0.19312636721202539</v>
      </c>
      <c r="AL75">
        <f t="shared" si="35"/>
        <v>0</v>
      </c>
      <c r="AM75">
        <f t="shared" si="36"/>
        <v>0</v>
      </c>
      <c r="AN75">
        <f t="shared" si="37"/>
        <v>0</v>
      </c>
      <c r="AO75">
        <f t="shared" si="38"/>
        <v>0</v>
      </c>
      <c r="AP75">
        <f t="shared" si="39"/>
        <v>0</v>
      </c>
      <c r="AQ75">
        <f t="shared" si="40"/>
        <v>0</v>
      </c>
      <c r="AR75">
        <f t="shared" si="41"/>
        <v>0</v>
      </c>
    </row>
    <row r="76" spans="1:44" x14ac:dyDescent="0.25">
      <c r="A76" s="15">
        <v>42094</v>
      </c>
      <c r="B76">
        <v>99.755632787090562</v>
      </c>
      <c r="C76">
        <v>99.111039798440231</v>
      </c>
      <c r="D76">
        <v>100.21652259142411</v>
      </c>
      <c r="E76">
        <v>100.36849154654267</v>
      </c>
      <c r="F76">
        <v>100.68630581811134</v>
      </c>
      <c r="G76">
        <v>100.86594542534101</v>
      </c>
      <c r="H76">
        <v>98.714854790735032</v>
      </c>
      <c r="I76">
        <v>100.82974492430633</v>
      </c>
      <c r="J76">
        <v>99.740973780307399</v>
      </c>
      <c r="K76">
        <v>0.72680000070606599</v>
      </c>
      <c r="L76">
        <v>89.392121875000001</v>
      </c>
      <c r="M76" s="16">
        <f>+'[3]VAR expectations'!C100</f>
        <v>2.6732813585155433</v>
      </c>
      <c r="N76">
        <v>-0.67043039392008297</v>
      </c>
      <c r="O76">
        <v>-0.39290195513478698</v>
      </c>
      <c r="P76">
        <v>303</v>
      </c>
      <c r="Q76">
        <v>76</v>
      </c>
      <c r="R76">
        <v>468</v>
      </c>
      <c r="S76">
        <v>110</v>
      </c>
      <c r="T76">
        <v>19</v>
      </c>
      <c r="U76">
        <v>24</v>
      </c>
      <c r="V76">
        <f t="shared" si="23"/>
        <v>153</v>
      </c>
      <c r="X76">
        <f t="shared" si="24"/>
        <v>-0.31628162380079061</v>
      </c>
      <c r="Y76">
        <f t="shared" si="42"/>
        <v>0.56761694490121783</v>
      </c>
      <c r="Z76">
        <f t="shared" si="43"/>
        <v>-0.28215033281388457</v>
      </c>
      <c r="AA76">
        <f t="shared" si="44"/>
        <v>-0.98088196493165469</v>
      </c>
      <c r="AB76">
        <f t="shared" si="25"/>
        <v>-1.2164010712306776</v>
      </c>
      <c r="AC76">
        <f t="shared" si="26"/>
        <v>-2.0126699068039926</v>
      </c>
      <c r="AD76">
        <f t="shared" si="27"/>
        <v>1.129558307114138</v>
      </c>
      <c r="AE76">
        <f t="shared" si="28"/>
        <v>-4.8777677507009969</v>
      </c>
      <c r="AF76">
        <f t="shared" si="29"/>
        <v>-0.32144918650659804</v>
      </c>
      <c r="AG76">
        <f t="shared" si="30"/>
        <v>-1.9525374498047032E-2</v>
      </c>
      <c r="AH76">
        <f t="shared" si="31"/>
        <v>2.0805839962120984</v>
      </c>
      <c r="AI76">
        <f t="shared" si="32"/>
        <v>0.96972143425974111</v>
      </c>
      <c r="AJ76">
        <f t="shared" si="33"/>
        <v>-0.53840739961583695</v>
      </c>
      <c r="AK76">
        <f t="shared" si="34"/>
        <v>-0.18216073577619499</v>
      </c>
      <c r="AL76">
        <f t="shared" si="35"/>
        <v>0</v>
      </c>
      <c r="AM76">
        <f t="shared" si="36"/>
        <v>-4</v>
      </c>
      <c r="AN76">
        <f t="shared" si="37"/>
        <v>8</v>
      </c>
      <c r="AO76">
        <f t="shared" si="38"/>
        <v>-2</v>
      </c>
      <c r="AP76">
        <f t="shared" si="39"/>
        <v>-1</v>
      </c>
      <c r="AQ76">
        <f t="shared" si="40"/>
        <v>-1</v>
      </c>
      <c r="AR76">
        <f t="shared" si="41"/>
        <v>-4</v>
      </c>
    </row>
    <row r="77" spans="1:44" x14ac:dyDescent="0.25">
      <c r="A77" s="15">
        <v>42185</v>
      </c>
      <c r="B77">
        <v>99.962623598589502</v>
      </c>
      <c r="C77">
        <v>99.576148438704664</v>
      </c>
      <c r="D77">
        <v>100.00497941655489</v>
      </c>
      <c r="E77">
        <v>100.17230383339533</v>
      </c>
      <c r="F77">
        <v>100.35619812088034</v>
      </c>
      <c r="G77">
        <v>100.54274488878302</v>
      </c>
      <c r="H77">
        <v>99.287739181330423</v>
      </c>
      <c r="I77">
        <v>101.88314359924034</v>
      </c>
      <c r="J77">
        <v>99.9740506397914</v>
      </c>
      <c r="K77">
        <v>0.72070090592318703</v>
      </c>
      <c r="L77">
        <v>91.205161538461496</v>
      </c>
      <c r="M77" s="16">
        <f>+'[3]VAR expectations'!C101</f>
        <v>2.7328072825683152</v>
      </c>
      <c r="N77">
        <v>-0.50994347456409705</v>
      </c>
      <c r="O77">
        <v>0.11255125087073201</v>
      </c>
      <c r="P77">
        <v>303</v>
      </c>
      <c r="Q77">
        <v>76</v>
      </c>
      <c r="R77">
        <v>468</v>
      </c>
      <c r="S77">
        <v>110</v>
      </c>
      <c r="T77">
        <v>19</v>
      </c>
      <c r="U77">
        <v>24</v>
      </c>
      <c r="V77">
        <f t="shared" si="23"/>
        <v>153</v>
      </c>
      <c r="X77">
        <f t="shared" si="24"/>
        <v>0.20699081149894027</v>
      </c>
      <c r="Y77">
        <f t="shared" si="42"/>
        <v>0.46510864026443244</v>
      </c>
      <c r="Z77">
        <f t="shared" si="43"/>
        <v>-0.21154317486922025</v>
      </c>
      <c r="AA77">
        <f t="shared" si="44"/>
        <v>-0.19618771314733863</v>
      </c>
      <c r="AB77">
        <f t="shared" si="25"/>
        <v>-0.33010769723099997</v>
      </c>
      <c r="AC77">
        <f t="shared" si="26"/>
        <v>-0.32320053655799086</v>
      </c>
      <c r="AD77">
        <f t="shared" si="27"/>
        <v>0.57288439059539087</v>
      </c>
      <c r="AE77">
        <f t="shared" si="28"/>
        <v>1.0533986749340158</v>
      </c>
      <c r="AF77">
        <f t="shared" si="29"/>
        <v>0.23307685948400092</v>
      </c>
      <c r="AG77">
        <f t="shared" si="30"/>
        <v>-6.0990947828789555E-3</v>
      </c>
      <c r="AH77">
        <f t="shared" si="31"/>
        <v>1.8130396634614954</v>
      </c>
      <c r="AI77">
        <f t="shared" si="32"/>
        <v>1.5510435177305089</v>
      </c>
      <c r="AJ77">
        <f t="shared" si="33"/>
        <v>0.16048691935598591</v>
      </c>
      <c r="AK77">
        <f t="shared" si="34"/>
        <v>0.50545320600551902</v>
      </c>
      <c r="AL77">
        <f t="shared" si="35"/>
        <v>0</v>
      </c>
      <c r="AM77">
        <f t="shared" si="36"/>
        <v>0</v>
      </c>
      <c r="AN77">
        <f t="shared" si="37"/>
        <v>0</v>
      </c>
      <c r="AO77">
        <f t="shared" si="38"/>
        <v>0</v>
      </c>
      <c r="AP77">
        <f t="shared" si="39"/>
        <v>0</v>
      </c>
      <c r="AQ77">
        <f t="shared" si="40"/>
        <v>0</v>
      </c>
      <c r="AR77">
        <f t="shared" si="41"/>
        <v>0</v>
      </c>
    </row>
    <row r="78" spans="1:44" x14ac:dyDescent="0.25">
      <c r="A78" s="15">
        <v>42277</v>
      </c>
      <c r="B78">
        <v>100.13001772567468</v>
      </c>
      <c r="C78">
        <v>100.26240995605899</v>
      </c>
      <c r="D78">
        <v>100.00264360420393</v>
      </c>
      <c r="E78">
        <v>99.895477823443045</v>
      </c>
      <c r="F78">
        <v>99.79550176561402</v>
      </c>
      <c r="G78">
        <v>99.805491883149145</v>
      </c>
      <c r="H78">
        <v>100.32517757628733</v>
      </c>
      <c r="I78">
        <v>99.959338478605204</v>
      </c>
      <c r="J78">
        <v>100.14053571658999</v>
      </c>
      <c r="K78">
        <v>0.71483241580357104</v>
      </c>
      <c r="L78">
        <v>92.868804545454594</v>
      </c>
      <c r="M78" s="16">
        <f>+'[3]VAR expectations'!C102</f>
        <v>2.6338769922366603</v>
      </c>
      <c r="N78">
        <v>-0.60863214371339502</v>
      </c>
      <c r="O78">
        <v>-0.116694425304383</v>
      </c>
      <c r="P78">
        <v>303</v>
      </c>
      <c r="Q78">
        <v>76</v>
      </c>
      <c r="R78">
        <v>468</v>
      </c>
      <c r="S78">
        <v>110</v>
      </c>
      <c r="T78">
        <v>19</v>
      </c>
      <c r="U78">
        <v>24</v>
      </c>
      <c r="V78">
        <f t="shared" si="23"/>
        <v>153</v>
      </c>
      <c r="X78">
        <f t="shared" si="24"/>
        <v>0.1673941270851742</v>
      </c>
      <c r="Y78">
        <f t="shared" si="42"/>
        <v>0.68626151735432472</v>
      </c>
      <c r="Z78">
        <f t="shared" si="43"/>
        <v>-2.3358123509638062E-3</v>
      </c>
      <c r="AA78">
        <f t="shared" si="44"/>
        <v>-0.27682600995228768</v>
      </c>
      <c r="AB78">
        <f t="shared" si="25"/>
        <v>-0.560696355266316</v>
      </c>
      <c r="AC78">
        <f t="shared" si="26"/>
        <v>-0.73725300563387464</v>
      </c>
      <c r="AD78">
        <f t="shared" si="27"/>
        <v>1.0374383949569079</v>
      </c>
      <c r="AE78">
        <f t="shared" si="28"/>
        <v>-1.9238051206351372</v>
      </c>
      <c r="AF78">
        <f t="shared" si="29"/>
        <v>0.16648507679859392</v>
      </c>
      <c r="AG78">
        <f t="shared" si="30"/>
        <v>-5.8684901196159878E-3</v>
      </c>
      <c r="AH78">
        <f t="shared" si="31"/>
        <v>1.6636430069930981</v>
      </c>
      <c r="AI78">
        <f t="shared" si="32"/>
        <v>1.4390808235189119</v>
      </c>
      <c r="AJ78">
        <f t="shared" si="33"/>
        <v>-9.868866914929797E-2</v>
      </c>
      <c r="AK78">
        <f t="shared" si="34"/>
        <v>-0.22924567617511499</v>
      </c>
      <c r="AL78">
        <f t="shared" si="35"/>
        <v>0</v>
      </c>
      <c r="AM78">
        <f t="shared" si="36"/>
        <v>0</v>
      </c>
      <c r="AN78">
        <f t="shared" si="37"/>
        <v>0</v>
      </c>
      <c r="AO78">
        <f t="shared" si="38"/>
        <v>0</v>
      </c>
      <c r="AP78">
        <f t="shared" si="39"/>
        <v>0</v>
      </c>
      <c r="AQ78">
        <f t="shared" si="40"/>
        <v>0</v>
      </c>
      <c r="AR78">
        <f t="shared" si="41"/>
        <v>0</v>
      </c>
    </row>
    <row r="79" spans="1:44" x14ac:dyDescent="0.25">
      <c r="A79" s="15">
        <v>42369</v>
      </c>
      <c r="B79">
        <v>100.13180041585167</v>
      </c>
      <c r="C79">
        <v>101.03828066760633</v>
      </c>
      <c r="D79">
        <v>99.774836953145766</v>
      </c>
      <c r="E79">
        <v>99.558799446286272</v>
      </c>
      <c r="F79">
        <v>99.150770780724528</v>
      </c>
      <c r="G79">
        <v>98.665856625776954</v>
      </c>
      <c r="H79">
        <v>101.75459475617431</v>
      </c>
      <c r="I79">
        <v>97.165613855363333</v>
      </c>
      <c r="J79">
        <v>100.14443986331101</v>
      </c>
      <c r="K79">
        <v>0.70507772014187198</v>
      </c>
      <c r="L79">
        <v>92.134557575757597</v>
      </c>
      <c r="M79" s="16">
        <f>+'[3]VAR expectations'!C103</f>
        <v>2.8395493192289751</v>
      </c>
      <c r="N79">
        <v>-0.61794357561025104</v>
      </c>
      <c r="O79">
        <v>-0.218829887052228</v>
      </c>
      <c r="P79">
        <v>303</v>
      </c>
      <c r="Q79">
        <v>76</v>
      </c>
      <c r="R79">
        <v>468</v>
      </c>
      <c r="S79">
        <v>110</v>
      </c>
      <c r="T79">
        <v>19</v>
      </c>
      <c r="U79">
        <v>24</v>
      </c>
      <c r="V79">
        <f t="shared" si="23"/>
        <v>153</v>
      </c>
      <c r="X79">
        <f t="shared" si="24"/>
        <v>1.7826901769950609E-3</v>
      </c>
      <c r="Y79">
        <f t="shared" si="42"/>
        <v>0.77587071154734133</v>
      </c>
      <c r="Z79">
        <f t="shared" si="43"/>
        <v>-0.22780665105815956</v>
      </c>
      <c r="AA79">
        <f t="shared" si="44"/>
        <v>-0.33667837715677251</v>
      </c>
      <c r="AB79">
        <f t="shared" si="25"/>
        <v>-0.64473098488949176</v>
      </c>
      <c r="AC79">
        <f t="shared" si="26"/>
        <v>-1.1396352573721913</v>
      </c>
      <c r="AD79">
        <f t="shared" si="27"/>
        <v>1.4294171798869826</v>
      </c>
      <c r="AE79">
        <f t="shared" si="28"/>
        <v>-2.7937246232418715</v>
      </c>
      <c r="AF79">
        <f t="shared" si="29"/>
        <v>3.9041467210125802E-3</v>
      </c>
      <c r="AG79">
        <f t="shared" si="30"/>
        <v>-9.7546956616990643E-3</v>
      </c>
      <c r="AH79">
        <f t="shared" si="31"/>
        <v>-0.7342469696969971</v>
      </c>
      <c r="AI79">
        <f t="shared" si="32"/>
        <v>1.3727085687340177</v>
      </c>
      <c r="AJ79">
        <f t="shared" si="33"/>
        <v>-9.311431896856015E-3</v>
      </c>
      <c r="AK79">
        <f t="shared" si="34"/>
        <v>-0.102135461747845</v>
      </c>
      <c r="AL79">
        <f t="shared" si="35"/>
        <v>0</v>
      </c>
      <c r="AM79">
        <f t="shared" si="36"/>
        <v>0</v>
      </c>
      <c r="AN79">
        <f t="shared" si="37"/>
        <v>0</v>
      </c>
      <c r="AO79">
        <f t="shared" si="38"/>
        <v>0</v>
      </c>
      <c r="AP79">
        <f t="shared" si="39"/>
        <v>0</v>
      </c>
      <c r="AQ79">
        <f t="shared" si="40"/>
        <v>0</v>
      </c>
      <c r="AR79">
        <f t="shared" si="41"/>
        <v>0</v>
      </c>
    </row>
    <row r="80" spans="1:44" x14ac:dyDescent="0.25">
      <c r="A80" s="15">
        <v>42460</v>
      </c>
      <c r="B80">
        <v>100.133489818812</v>
      </c>
      <c r="C80">
        <v>101.63112738985866</v>
      </c>
      <c r="D80">
        <v>99.608929671352641</v>
      </c>
      <c r="E80">
        <v>98.872707165271251</v>
      </c>
      <c r="F80">
        <v>98.164825487484862</v>
      </c>
      <c r="G80">
        <v>97.542297449576765</v>
      </c>
      <c r="H80">
        <v>102.86857682741932</v>
      </c>
      <c r="I80">
        <v>95.365136992549097</v>
      </c>
      <c r="J80">
        <v>100.093931219314</v>
      </c>
      <c r="K80">
        <v>0.72125814315421499</v>
      </c>
      <c r="L80">
        <v>86.998107692307698</v>
      </c>
      <c r="M80" s="16">
        <f>+'[3]VAR expectations'!C104</f>
        <v>2.7984394444998073</v>
      </c>
      <c r="N80">
        <v>-0.425228377492884</v>
      </c>
      <c r="O80">
        <v>-0.196273681624174</v>
      </c>
      <c r="P80">
        <v>305</v>
      </c>
      <c r="Q80">
        <v>67</v>
      </c>
      <c r="R80">
        <v>483</v>
      </c>
      <c r="S80">
        <v>103</v>
      </c>
      <c r="T80">
        <v>19</v>
      </c>
      <c r="U80">
        <v>23</v>
      </c>
      <c r="V80">
        <f t="shared" si="23"/>
        <v>145</v>
      </c>
      <c r="X80">
        <f t="shared" si="24"/>
        <v>1.6894029603236049E-3</v>
      </c>
      <c r="Y80">
        <f t="shared" si="42"/>
        <v>0.59284672225233237</v>
      </c>
      <c r="Z80">
        <f t="shared" si="43"/>
        <v>-0.16590728179312464</v>
      </c>
      <c r="AA80">
        <f t="shared" si="44"/>
        <v>-0.6860922810150214</v>
      </c>
      <c r="AB80">
        <f t="shared" si="25"/>
        <v>-0.9859452932396664</v>
      </c>
      <c r="AC80">
        <f t="shared" si="26"/>
        <v>-1.1235591762001889</v>
      </c>
      <c r="AD80">
        <f t="shared" si="27"/>
        <v>1.1139820712450046</v>
      </c>
      <c r="AE80">
        <f t="shared" si="28"/>
        <v>-1.8004768628142358</v>
      </c>
      <c r="AF80">
        <f t="shared" si="29"/>
        <v>-5.050864399700572E-2</v>
      </c>
      <c r="AG80">
        <f t="shared" si="30"/>
        <v>1.6180423012343015E-2</v>
      </c>
      <c r="AH80">
        <f t="shared" si="31"/>
        <v>-5.1364498834498988</v>
      </c>
      <c r="AI80">
        <f t="shared" si="32"/>
        <v>1.5079157354711594</v>
      </c>
      <c r="AJ80">
        <f t="shared" si="33"/>
        <v>0.19271519811736704</v>
      </c>
      <c r="AK80">
        <f t="shared" si="34"/>
        <v>2.2556205428054005E-2</v>
      </c>
      <c r="AL80">
        <f t="shared" si="35"/>
        <v>2</v>
      </c>
      <c r="AM80">
        <f t="shared" si="36"/>
        <v>-9</v>
      </c>
      <c r="AN80">
        <f t="shared" si="37"/>
        <v>15</v>
      </c>
      <c r="AO80">
        <f t="shared" si="38"/>
        <v>-7</v>
      </c>
      <c r="AP80">
        <f t="shared" si="39"/>
        <v>0</v>
      </c>
      <c r="AQ80">
        <f t="shared" si="40"/>
        <v>-1</v>
      </c>
      <c r="AR80">
        <f t="shared" si="41"/>
        <v>-8</v>
      </c>
    </row>
    <row r="81" spans="1:44" x14ac:dyDescent="0.25">
      <c r="A81" s="15">
        <v>42551</v>
      </c>
      <c r="B81">
        <v>100.31947375560632</v>
      </c>
      <c r="C81">
        <v>102.171692471244</v>
      </c>
      <c r="D81">
        <v>99.2159855091666</v>
      </c>
      <c r="E81">
        <v>98.48501779648133</v>
      </c>
      <c r="F81">
        <v>97.580678786642167</v>
      </c>
      <c r="G81">
        <v>96.31966917445807</v>
      </c>
      <c r="H81">
        <v>104.016084212427</v>
      </c>
      <c r="I81">
        <v>96.8491934681375</v>
      </c>
      <c r="J81">
        <v>100.33085845991801</v>
      </c>
      <c r="K81">
        <v>0.73626310989779298</v>
      </c>
      <c r="L81">
        <v>85.581083076923093</v>
      </c>
      <c r="M81" s="16">
        <f>+'[3]VAR expectations'!C105</f>
        <v>2.5464188172083313</v>
      </c>
      <c r="N81">
        <v>-0.37357259263352899</v>
      </c>
      <c r="O81">
        <v>0.16448627630259699</v>
      </c>
      <c r="P81">
        <v>305</v>
      </c>
      <c r="Q81">
        <v>67</v>
      </c>
      <c r="R81">
        <v>483</v>
      </c>
      <c r="S81">
        <v>103</v>
      </c>
      <c r="T81">
        <v>19</v>
      </c>
      <c r="U81">
        <v>23</v>
      </c>
      <c r="V81">
        <f t="shared" si="23"/>
        <v>145</v>
      </c>
      <c r="X81">
        <f t="shared" si="24"/>
        <v>0.18598393679432945</v>
      </c>
      <c r="Y81">
        <f t="shared" si="42"/>
        <v>0.54056508138533843</v>
      </c>
      <c r="Z81">
        <f t="shared" si="43"/>
        <v>-0.39294416218604056</v>
      </c>
      <c r="AA81">
        <f t="shared" si="44"/>
        <v>-0.38768936878992122</v>
      </c>
      <c r="AB81">
        <f t="shared" si="25"/>
        <v>-0.5841467008426946</v>
      </c>
      <c r="AC81">
        <f t="shared" si="26"/>
        <v>-1.2226282751186943</v>
      </c>
      <c r="AD81">
        <f t="shared" si="27"/>
        <v>1.1475073850076853</v>
      </c>
      <c r="AE81">
        <f t="shared" si="28"/>
        <v>1.4840564755884031</v>
      </c>
      <c r="AF81">
        <f t="shared" si="29"/>
        <v>0.23692724060400394</v>
      </c>
      <c r="AG81">
        <f t="shared" si="30"/>
        <v>1.5004966743577985E-2</v>
      </c>
      <c r="AH81">
        <f t="shared" si="31"/>
        <v>-1.4170246153846051</v>
      </c>
      <c r="AI81">
        <f t="shared" si="32"/>
        <v>1.1383092122965399</v>
      </c>
      <c r="AJ81">
        <f t="shared" si="33"/>
        <v>5.1655784859355014E-2</v>
      </c>
      <c r="AK81">
        <f t="shared" si="34"/>
        <v>0.36075995792677096</v>
      </c>
      <c r="AL81">
        <f t="shared" si="35"/>
        <v>0</v>
      </c>
      <c r="AM81">
        <f t="shared" si="36"/>
        <v>0</v>
      </c>
      <c r="AN81">
        <f t="shared" si="37"/>
        <v>0</v>
      </c>
      <c r="AO81">
        <f t="shared" si="38"/>
        <v>0</v>
      </c>
      <c r="AP81">
        <f t="shared" si="39"/>
        <v>0</v>
      </c>
      <c r="AQ81">
        <f t="shared" si="40"/>
        <v>0</v>
      </c>
      <c r="AR81">
        <f t="shared" si="41"/>
        <v>0</v>
      </c>
    </row>
    <row r="82" spans="1:44" x14ac:dyDescent="0.25">
      <c r="A82" s="15">
        <v>42643</v>
      </c>
      <c r="B82">
        <v>100.82481509832233</v>
      </c>
      <c r="C82">
        <v>102.97930867263966</v>
      </c>
      <c r="D82">
        <v>99.172353616571925</v>
      </c>
      <c r="E82">
        <v>98.706664288254828</v>
      </c>
      <c r="F82">
        <v>97.440009421386776</v>
      </c>
      <c r="G82">
        <v>96.302258368281045</v>
      </c>
      <c r="H82">
        <v>105.933670642178</v>
      </c>
      <c r="I82">
        <v>97.784261523339822</v>
      </c>
      <c r="J82">
        <v>100.84211070442799</v>
      </c>
      <c r="K82">
        <v>0.766086099222828</v>
      </c>
      <c r="L82">
        <v>78.850371212121203</v>
      </c>
      <c r="M82" s="16">
        <f>+'[3]VAR expectations'!C106</f>
        <v>2.5748216030053293</v>
      </c>
      <c r="N82">
        <v>-0.16392502505228099</v>
      </c>
      <c r="O82">
        <v>9.3194942011814802E-2</v>
      </c>
      <c r="P82">
        <v>305</v>
      </c>
      <c r="Q82">
        <v>67</v>
      </c>
      <c r="R82">
        <v>483</v>
      </c>
      <c r="S82">
        <v>103</v>
      </c>
      <c r="T82">
        <v>19</v>
      </c>
      <c r="U82">
        <v>23</v>
      </c>
      <c r="V82">
        <f t="shared" si="23"/>
        <v>145</v>
      </c>
      <c r="X82">
        <f t="shared" si="24"/>
        <v>0.50534134271600806</v>
      </c>
      <c r="Y82">
        <f t="shared" si="42"/>
        <v>0.80761620139566048</v>
      </c>
      <c r="Z82">
        <f t="shared" si="43"/>
        <v>-4.3631892594675037E-2</v>
      </c>
      <c r="AA82">
        <f t="shared" si="44"/>
        <v>0.22164649177349816</v>
      </c>
      <c r="AB82">
        <f t="shared" si="25"/>
        <v>-0.1406693652553912</v>
      </c>
      <c r="AC82">
        <f t="shared" si="26"/>
        <v>-1.7410806177025506E-2</v>
      </c>
      <c r="AD82">
        <f t="shared" si="27"/>
        <v>1.9175864297509975</v>
      </c>
      <c r="AE82">
        <f t="shared" si="28"/>
        <v>0.93506805520232206</v>
      </c>
      <c r="AF82">
        <f t="shared" si="29"/>
        <v>0.51125224450998985</v>
      </c>
      <c r="AG82">
        <f t="shared" si="30"/>
        <v>2.9822989325035021E-2</v>
      </c>
      <c r="AH82">
        <f t="shared" si="31"/>
        <v>-6.73071186480189</v>
      </c>
      <c r="AI82">
        <f t="shared" si="32"/>
        <v>1.0393671034197993</v>
      </c>
      <c r="AJ82">
        <f t="shared" si="33"/>
        <v>0.209647567581248</v>
      </c>
      <c r="AK82">
        <f t="shared" si="34"/>
        <v>-7.1291334290782188E-2</v>
      </c>
      <c r="AL82">
        <f t="shared" si="35"/>
        <v>0</v>
      </c>
      <c r="AM82">
        <f t="shared" si="36"/>
        <v>0</v>
      </c>
      <c r="AN82">
        <f t="shared" si="37"/>
        <v>0</v>
      </c>
      <c r="AO82">
        <f t="shared" si="38"/>
        <v>0</v>
      </c>
      <c r="AP82">
        <f t="shared" si="39"/>
        <v>0</v>
      </c>
      <c r="AQ82">
        <f t="shared" si="40"/>
        <v>0</v>
      </c>
      <c r="AR82">
        <f t="shared" si="41"/>
        <v>0</v>
      </c>
    </row>
    <row r="83" spans="1:44" x14ac:dyDescent="0.25">
      <c r="A83" s="15">
        <v>42735</v>
      </c>
      <c r="B83">
        <v>101.35186664603434</v>
      </c>
      <c r="C83">
        <v>103.43266050427299</v>
      </c>
      <c r="D83">
        <v>99.731752332473789</v>
      </c>
      <c r="E83">
        <v>98.872277310440268</v>
      </c>
      <c r="F83">
        <v>97.339348637610328</v>
      </c>
      <c r="G83">
        <v>97.007124293648772</v>
      </c>
      <c r="H83">
        <v>106.76438524670732</v>
      </c>
      <c r="I83">
        <v>100.00842211959575</v>
      </c>
      <c r="J83">
        <v>101.37727529972901</v>
      </c>
      <c r="K83">
        <v>0.78559038900338896</v>
      </c>
      <c r="L83">
        <v>76.623536923076898</v>
      </c>
      <c r="M83" s="16">
        <f>+'[3]VAR expectations'!C107</f>
        <v>2.8319255146371365</v>
      </c>
      <c r="N83">
        <v>0.19889993586245699</v>
      </c>
      <c r="O83">
        <v>0.144100722711589</v>
      </c>
      <c r="P83">
        <v>305</v>
      </c>
      <c r="Q83">
        <v>67</v>
      </c>
      <c r="R83">
        <v>483</v>
      </c>
      <c r="S83">
        <v>103</v>
      </c>
      <c r="T83">
        <v>19</v>
      </c>
      <c r="U83">
        <v>23</v>
      </c>
      <c r="V83">
        <f t="shared" si="23"/>
        <v>145</v>
      </c>
      <c r="X83">
        <f t="shared" si="24"/>
        <v>0.52705154771200569</v>
      </c>
      <c r="Y83">
        <f t="shared" si="42"/>
        <v>0.45335183163332715</v>
      </c>
      <c r="Z83">
        <f t="shared" si="43"/>
        <v>0.55939871590186385</v>
      </c>
      <c r="AA83">
        <f t="shared" si="44"/>
        <v>0.16561302218543972</v>
      </c>
      <c r="AB83">
        <f t="shared" si="25"/>
        <v>-0.10066078377644772</v>
      </c>
      <c r="AC83">
        <f t="shared" si="26"/>
        <v>0.70486592536772719</v>
      </c>
      <c r="AD83">
        <f t="shared" si="27"/>
        <v>0.83071460452931944</v>
      </c>
      <c r="AE83">
        <f t="shared" si="28"/>
        <v>2.2241605962559277</v>
      </c>
      <c r="AF83">
        <f t="shared" si="29"/>
        <v>0.53516459530101201</v>
      </c>
      <c r="AG83">
        <f t="shared" si="30"/>
        <v>1.9504289780560957E-2</v>
      </c>
      <c r="AH83">
        <f t="shared" si="31"/>
        <v>-2.2268342890443051</v>
      </c>
      <c r="AI83">
        <f t="shared" si="32"/>
        <v>1.0658252447136556</v>
      </c>
      <c r="AJ83">
        <f t="shared" si="33"/>
        <v>0.36282496091473798</v>
      </c>
      <c r="AK83">
        <f t="shared" si="34"/>
        <v>5.0905780699774195E-2</v>
      </c>
      <c r="AL83">
        <f t="shared" si="35"/>
        <v>0</v>
      </c>
      <c r="AM83">
        <f t="shared" si="36"/>
        <v>0</v>
      </c>
      <c r="AN83">
        <f t="shared" si="37"/>
        <v>0</v>
      </c>
      <c r="AO83">
        <f t="shared" si="38"/>
        <v>0</v>
      </c>
      <c r="AP83">
        <f t="shared" si="39"/>
        <v>0</v>
      </c>
      <c r="AQ83">
        <f t="shared" si="40"/>
        <v>0</v>
      </c>
      <c r="AR83">
        <f t="shared" si="41"/>
        <v>0</v>
      </c>
    </row>
    <row r="84" spans="1:44" x14ac:dyDescent="0.25">
      <c r="A84" s="15">
        <v>42825</v>
      </c>
      <c r="B84">
        <v>102.29072148417767</v>
      </c>
      <c r="C84">
        <v>104.16574844695931</v>
      </c>
      <c r="D84">
        <v>100.32431772350587</v>
      </c>
      <c r="E84">
        <v>100.01716640617356</v>
      </c>
      <c r="F84">
        <v>98.469796587441408</v>
      </c>
      <c r="G84">
        <v>97.889312835343688</v>
      </c>
      <c r="H84">
        <v>108.38779638595433</v>
      </c>
      <c r="I84">
        <v>103.5530457314</v>
      </c>
      <c r="J84">
        <v>102.233675240322</v>
      </c>
      <c r="K84">
        <v>0.79643989370686996</v>
      </c>
      <c r="L84">
        <v>77.053801538461499</v>
      </c>
      <c r="M84" s="16">
        <f>+'[3]VAR expectations'!C108</f>
        <v>2.2293252935517471</v>
      </c>
      <c r="N84">
        <v>0.55056420967961694</v>
      </c>
      <c r="O84">
        <v>0.148333381346754</v>
      </c>
      <c r="P84">
        <v>313.33333333333331</v>
      </c>
      <c r="Q84">
        <v>66.333333333333329</v>
      </c>
      <c r="R84">
        <v>475.33333333333331</v>
      </c>
      <c r="S84">
        <v>102.66666666666667</v>
      </c>
      <c r="T84">
        <v>19.666666666666668</v>
      </c>
      <c r="U84">
        <v>22.666666666666668</v>
      </c>
      <c r="V84">
        <f t="shared" si="23"/>
        <v>145</v>
      </c>
      <c r="X84">
        <f t="shared" si="24"/>
        <v>0.93885483814332815</v>
      </c>
      <c r="Y84">
        <f t="shared" si="42"/>
        <v>0.73308794268632482</v>
      </c>
      <c r="Z84">
        <f t="shared" si="43"/>
        <v>0.59256539103208183</v>
      </c>
      <c r="AA84">
        <f t="shared" si="44"/>
        <v>1.1448890957332907</v>
      </c>
      <c r="AB84">
        <f t="shared" si="25"/>
        <v>1.1304479498310798</v>
      </c>
      <c r="AC84">
        <f t="shared" si="26"/>
        <v>0.88218854169491578</v>
      </c>
      <c r="AD84">
        <f t="shared" si="27"/>
        <v>1.6234111392470112</v>
      </c>
      <c r="AE84">
        <f t="shared" si="28"/>
        <v>3.5446236118042549</v>
      </c>
      <c r="AF84">
        <f t="shared" si="29"/>
        <v>0.8563999405929934</v>
      </c>
      <c r="AG84">
        <f t="shared" si="30"/>
        <v>1.0849504703481005E-2</v>
      </c>
      <c r="AH84">
        <f t="shared" si="31"/>
        <v>0.43026461538460126</v>
      </c>
      <c r="AI84" s="16">
        <f>M84-M222</f>
        <v>-0.20000886839226251</v>
      </c>
      <c r="AJ84">
        <f t="shared" si="33"/>
        <v>0.35166427381715992</v>
      </c>
      <c r="AK84">
        <f t="shared" si="34"/>
        <v>4.2326586351650042E-3</v>
      </c>
      <c r="AL84">
        <f t="shared" si="35"/>
        <v>8.3333333333333144</v>
      </c>
      <c r="AM84">
        <f t="shared" si="36"/>
        <v>-0.6666666666666714</v>
      </c>
      <c r="AN84">
        <f t="shared" si="37"/>
        <v>-7.6666666666666856</v>
      </c>
      <c r="AO84">
        <f t="shared" si="38"/>
        <v>-0.3333333333333286</v>
      </c>
      <c r="AP84">
        <f t="shared" si="39"/>
        <v>0.66666666666666785</v>
      </c>
      <c r="AQ84">
        <f t="shared" si="40"/>
        <v>-0.33333333333333215</v>
      </c>
      <c r="AR84">
        <f t="shared" si="41"/>
        <v>0</v>
      </c>
    </row>
    <row r="85" spans="1:44" x14ac:dyDescent="0.25">
      <c r="A85" s="15">
        <v>42916</v>
      </c>
      <c r="B85">
        <v>103.078107156494</v>
      </c>
      <c r="C85">
        <v>105.061771391146</v>
      </c>
      <c r="D85">
        <v>101.16649714443766</v>
      </c>
      <c r="E85">
        <v>101.23327770850166</v>
      </c>
      <c r="F85">
        <v>99.492434787397642</v>
      </c>
      <c r="G85">
        <v>99.075892579948189</v>
      </c>
      <c r="H85">
        <v>110.413144859841</v>
      </c>
      <c r="I85">
        <v>102.40742771068601</v>
      </c>
      <c r="J85">
        <v>103.090096344523</v>
      </c>
      <c r="K85">
        <v>0.79618408814021602</v>
      </c>
      <c r="L85">
        <v>77.968176923076896</v>
      </c>
      <c r="M85" s="16">
        <f>+'[3]VAR expectations'!C109</f>
        <v>2.056924231171823</v>
      </c>
      <c r="N85">
        <v>0.38598699929055602</v>
      </c>
      <c r="O85">
        <v>3.52988700838464E-3</v>
      </c>
      <c r="P85">
        <v>312</v>
      </c>
      <c r="Q85">
        <v>67</v>
      </c>
      <c r="R85">
        <v>475</v>
      </c>
      <c r="S85">
        <v>103</v>
      </c>
      <c r="T85">
        <v>20</v>
      </c>
      <c r="U85">
        <v>23</v>
      </c>
      <c r="V85">
        <f t="shared" si="23"/>
        <v>146</v>
      </c>
      <c r="X85">
        <f t="shared" si="24"/>
        <v>0.78738567231633283</v>
      </c>
      <c r="Y85">
        <f t="shared" si="42"/>
        <v>0.89602294418668293</v>
      </c>
      <c r="Z85">
        <f t="shared" si="43"/>
        <v>0.84217942093178522</v>
      </c>
      <c r="AA85">
        <f t="shared" si="44"/>
        <v>1.2161113023281018</v>
      </c>
      <c r="AB85">
        <f t="shared" si="25"/>
        <v>1.0226381999562335</v>
      </c>
      <c r="AC85">
        <f t="shared" si="26"/>
        <v>1.1865797446045008</v>
      </c>
      <c r="AD85">
        <f t="shared" si="27"/>
        <v>2.0253484738866661</v>
      </c>
      <c r="AE85">
        <f t="shared" si="28"/>
        <v>-1.1456180207139965</v>
      </c>
      <c r="AF85">
        <f t="shared" si="29"/>
        <v>0.85642110420100437</v>
      </c>
      <c r="AG85">
        <f t="shared" si="30"/>
        <v>-2.5580556665394383E-4</v>
      </c>
      <c r="AH85">
        <f t="shared" si="31"/>
        <v>0.91437538461539702</v>
      </c>
      <c r="AI85">
        <f t="shared" si="32"/>
        <v>-0.52077162100622054</v>
      </c>
      <c r="AJ85">
        <f t="shared" si="33"/>
        <v>-0.16457721038906092</v>
      </c>
      <c r="AK85">
        <f t="shared" si="34"/>
        <v>-0.14480349433836937</v>
      </c>
      <c r="AL85">
        <f t="shared" si="35"/>
        <v>-1.3333333333333144</v>
      </c>
      <c r="AM85">
        <f t="shared" si="36"/>
        <v>0.6666666666666714</v>
      </c>
      <c r="AN85">
        <f t="shared" si="37"/>
        <v>-0.33333333333331439</v>
      </c>
      <c r="AO85">
        <f t="shared" si="38"/>
        <v>0.3333333333333286</v>
      </c>
      <c r="AP85">
        <f t="shared" si="39"/>
        <v>0.33333333333333215</v>
      </c>
      <c r="AQ85">
        <f t="shared" si="40"/>
        <v>0.33333333333333215</v>
      </c>
      <c r="AR85">
        <f t="shared" si="41"/>
        <v>1</v>
      </c>
    </row>
    <row r="86" spans="1:44" x14ac:dyDescent="0.25">
      <c r="A86" s="15">
        <v>43008</v>
      </c>
      <c r="B86">
        <v>103.64314014108032</v>
      </c>
      <c r="C86">
        <v>105.71176823488101</v>
      </c>
      <c r="D86">
        <v>101.61593641104533</v>
      </c>
      <c r="E86">
        <v>101.81678087546034</v>
      </c>
      <c r="F86">
        <v>99.909845665063088</v>
      </c>
      <c r="G86">
        <v>99.60222576777214</v>
      </c>
      <c r="H86">
        <v>111.81790391896266</v>
      </c>
      <c r="I86">
        <v>102.44660614568433</v>
      </c>
      <c r="J86">
        <v>103.66947598665099</v>
      </c>
      <c r="K86">
        <v>0.79936167572472205</v>
      </c>
      <c r="L86">
        <v>76.548027692307699</v>
      </c>
      <c r="M86" s="16">
        <f>+'[3]VAR expectations'!C110</f>
        <v>2.1248729237613553</v>
      </c>
      <c r="N86">
        <v>0.33037874466038097</v>
      </c>
      <c r="O86">
        <v>3.7966343152193403E-2</v>
      </c>
      <c r="P86">
        <v>312</v>
      </c>
      <c r="Q86">
        <v>67</v>
      </c>
      <c r="R86">
        <v>475</v>
      </c>
      <c r="S86">
        <v>103</v>
      </c>
      <c r="T86">
        <v>20</v>
      </c>
      <c r="U86">
        <v>23</v>
      </c>
      <c r="V86">
        <f t="shared" si="23"/>
        <v>146</v>
      </c>
      <c r="X86">
        <f t="shared" si="24"/>
        <v>0.56503298458632401</v>
      </c>
      <c r="Y86">
        <f t="shared" si="42"/>
        <v>0.64999684373501054</v>
      </c>
      <c r="Z86">
        <f t="shared" si="43"/>
        <v>0.4494392666076692</v>
      </c>
      <c r="AA86">
        <f t="shared" si="44"/>
        <v>0.58350316695867832</v>
      </c>
      <c r="AB86">
        <f t="shared" si="25"/>
        <v>0.41741087766544638</v>
      </c>
      <c r="AC86">
        <f t="shared" si="26"/>
        <v>0.52633318782395122</v>
      </c>
      <c r="AD86">
        <f t="shared" si="27"/>
        <v>1.404759059121659</v>
      </c>
      <c r="AE86">
        <f t="shared" si="28"/>
        <v>3.9178434998319744E-2</v>
      </c>
      <c r="AF86">
        <f t="shared" si="29"/>
        <v>0.57937964212798931</v>
      </c>
      <c r="AG86">
        <f t="shared" si="30"/>
        <v>3.1775875845060364E-3</v>
      </c>
      <c r="AH86">
        <f t="shared" si="31"/>
        <v>-1.4201492307691979</v>
      </c>
      <c r="AI86">
        <f t="shared" si="32"/>
        <v>-0.4565400167153153</v>
      </c>
      <c r="AJ86">
        <f t="shared" si="33"/>
        <v>-5.5608254630175047E-2</v>
      </c>
      <c r="AK86">
        <f t="shared" si="34"/>
        <v>3.4436456143808761E-2</v>
      </c>
      <c r="AL86">
        <f t="shared" si="35"/>
        <v>0</v>
      </c>
      <c r="AM86">
        <f t="shared" si="36"/>
        <v>0</v>
      </c>
      <c r="AN86">
        <f t="shared" si="37"/>
        <v>0</v>
      </c>
      <c r="AO86">
        <f t="shared" si="38"/>
        <v>0</v>
      </c>
      <c r="AP86">
        <f t="shared" si="39"/>
        <v>0</v>
      </c>
      <c r="AQ86">
        <f t="shared" si="40"/>
        <v>0</v>
      </c>
      <c r="AR86">
        <f t="shared" si="41"/>
        <v>0</v>
      </c>
    </row>
    <row r="87" spans="1:44" x14ac:dyDescent="0.25">
      <c r="A87" s="15">
        <v>43100</v>
      </c>
      <c r="B87">
        <v>104.42514916507599</v>
      </c>
      <c r="C87">
        <v>106.23712720059832</v>
      </c>
      <c r="D87">
        <v>102.24479571733666</v>
      </c>
      <c r="E87">
        <v>103.07894664460666</v>
      </c>
      <c r="F87">
        <v>101.25666960001233</v>
      </c>
      <c r="G87">
        <v>99.75402409166152</v>
      </c>
      <c r="H87">
        <v>113.51340915161866</v>
      </c>
      <c r="I87">
        <v>105.162171100789</v>
      </c>
      <c r="J87">
        <v>104.455453723315</v>
      </c>
      <c r="K87">
        <v>0.80579439262368302</v>
      </c>
      <c r="L87">
        <v>77.708216923076904</v>
      </c>
      <c r="M87" s="16">
        <f>+'[3]VAR expectations'!C111</f>
        <v>1.7035599242558022</v>
      </c>
      <c r="N87">
        <v>0.33802634456306002</v>
      </c>
      <c r="O87">
        <v>0.14910290843450899</v>
      </c>
      <c r="P87">
        <v>312</v>
      </c>
      <c r="Q87">
        <v>67</v>
      </c>
      <c r="R87">
        <v>475</v>
      </c>
      <c r="S87">
        <v>103</v>
      </c>
      <c r="T87">
        <v>20</v>
      </c>
      <c r="U87">
        <v>23</v>
      </c>
      <c r="V87">
        <f t="shared" si="23"/>
        <v>146</v>
      </c>
      <c r="X87">
        <f t="shared" si="24"/>
        <v>0.78200902399566985</v>
      </c>
      <c r="Y87">
        <f t="shared" si="42"/>
        <v>0.52535896571731655</v>
      </c>
      <c r="Z87">
        <f t="shared" si="43"/>
        <v>0.62885930629133213</v>
      </c>
      <c r="AA87">
        <f t="shared" si="44"/>
        <v>1.2621657691463213</v>
      </c>
      <c r="AB87">
        <f t="shared" si="25"/>
        <v>1.3468239349492421</v>
      </c>
      <c r="AC87">
        <f t="shared" si="26"/>
        <v>0.15179832388938053</v>
      </c>
      <c r="AD87">
        <f t="shared" si="27"/>
        <v>1.6955052326560036</v>
      </c>
      <c r="AE87">
        <f t="shared" si="28"/>
        <v>2.7155649551046679</v>
      </c>
      <c r="AF87">
        <f t="shared" si="29"/>
        <v>0.78597773666400883</v>
      </c>
      <c r="AG87">
        <f t="shared" si="30"/>
        <v>6.4327168989609662E-3</v>
      </c>
      <c r="AH87">
        <f t="shared" si="31"/>
        <v>1.1601892307692054</v>
      </c>
      <c r="AI87">
        <f t="shared" si="32"/>
        <v>-0.84174047569541144</v>
      </c>
      <c r="AJ87">
        <f t="shared" si="33"/>
        <v>7.6475999026790475E-3</v>
      </c>
      <c r="AK87">
        <f t="shared" si="34"/>
        <v>0.11113656528231558</v>
      </c>
      <c r="AL87">
        <f t="shared" si="35"/>
        <v>0</v>
      </c>
      <c r="AM87">
        <f t="shared" si="36"/>
        <v>0</v>
      </c>
      <c r="AN87">
        <f t="shared" si="37"/>
        <v>0</v>
      </c>
      <c r="AO87">
        <f t="shared" si="38"/>
        <v>0</v>
      </c>
      <c r="AP87">
        <f t="shared" si="39"/>
        <v>0</v>
      </c>
      <c r="AQ87">
        <f t="shared" si="40"/>
        <v>0</v>
      </c>
      <c r="AR87">
        <f t="shared" si="41"/>
        <v>0</v>
      </c>
    </row>
    <row r="88" spans="1:44" x14ac:dyDescent="0.25">
      <c r="A88" s="15">
        <v>43190</v>
      </c>
      <c r="B88">
        <v>105.07830633175031</v>
      </c>
      <c r="C88">
        <v>106.84352480592867</v>
      </c>
      <c r="D88">
        <v>102.60423698833932</v>
      </c>
      <c r="E88">
        <v>103.73972690662868</v>
      </c>
      <c r="F88">
        <v>101.67692960922902</v>
      </c>
      <c r="G88">
        <v>99.91807672034507</v>
      </c>
      <c r="H88">
        <v>116.01780429054334</v>
      </c>
      <c r="I88">
        <v>107.57945237941033</v>
      </c>
      <c r="J88">
        <v>104.998311713889</v>
      </c>
      <c r="K88">
        <v>0.81529753488664503</v>
      </c>
      <c r="L88">
        <v>79.033741538461499</v>
      </c>
      <c r="M88" s="16">
        <f>+'[3]VAR expectations'!C112</f>
        <v>1.1817637648378063</v>
      </c>
      <c r="N88">
        <v>0.24733463127710101</v>
      </c>
      <c r="O88">
        <v>5.4503903268826599E-2</v>
      </c>
      <c r="P88">
        <v>311.66666666666669</v>
      </c>
      <c r="Q88">
        <v>64.666666666666671</v>
      </c>
      <c r="R88">
        <v>481</v>
      </c>
      <c r="S88">
        <v>101</v>
      </c>
      <c r="T88">
        <v>19.666666666666668</v>
      </c>
      <c r="U88">
        <v>22</v>
      </c>
      <c r="V88">
        <f t="shared" si="23"/>
        <v>142.66666666666669</v>
      </c>
      <c r="X88">
        <f t="shared" si="24"/>
        <v>0.653157166674319</v>
      </c>
      <c r="Y88">
        <f t="shared" si="42"/>
        <v>0.60639760533034348</v>
      </c>
      <c r="Z88">
        <f t="shared" si="43"/>
        <v>0.35944127100266599</v>
      </c>
      <c r="AA88">
        <f t="shared" si="44"/>
        <v>0.66078026202201556</v>
      </c>
      <c r="AB88">
        <f t="shared" si="25"/>
        <v>0.42026000921669038</v>
      </c>
      <c r="AC88">
        <f t="shared" si="26"/>
        <v>0.16405262868354953</v>
      </c>
      <c r="AD88">
        <f t="shared" si="27"/>
        <v>2.5043951389246786</v>
      </c>
      <c r="AE88">
        <f t="shared" si="28"/>
        <v>2.4172812786213314</v>
      </c>
      <c r="AF88">
        <f t="shared" si="29"/>
        <v>0.54285799057399231</v>
      </c>
      <c r="AG88">
        <f t="shared" si="30"/>
        <v>9.5031422629620055E-3</v>
      </c>
      <c r="AH88">
        <f t="shared" si="31"/>
        <v>1.3255246153845945</v>
      </c>
      <c r="AI88">
        <f t="shared" si="32"/>
        <v>-1.535257442414552</v>
      </c>
      <c r="AJ88">
        <f t="shared" si="33"/>
        <v>-9.0691713285959014E-2</v>
      </c>
      <c r="AK88">
        <f t="shared" si="34"/>
        <v>-9.4599005165682398E-2</v>
      </c>
      <c r="AL88">
        <f t="shared" si="35"/>
        <v>-0.33333333333331439</v>
      </c>
      <c r="AM88">
        <f t="shared" si="36"/>
        <v>-2.3333333333333286</v>
      </c>
      <c r="AN88">
        <f t="shared" si="37"/>
        <v>6</v>
      </c>
      <c r="AO88">
        <f t="shared" si="38"/>
        <v>-2</v>
      </c>
      <c r="AP88">
        <f t="shared" si="39"/>
        <v>-0.33333333333333215</v>
      </c>
      <c r="AQ88">
        <f t="shared" si="40"/>
        <v>-1</v>
      </c>
      <c r="AR88">
        <f t="shared" si="41"/>
        <v>-3.3333333333333144</v>
      </c>
    </row>
    <row r="89" spans="1:44" x14ac:dyDescent="0.25">
      <c r="A89" s="15">
        <v>43281</v>
      </c>
      <c r="B89">
        <v>105.56474582955633</v>
      </c>
      <c r="C89">
        <v>107.41384559290634</v>
      </c>
      <c r="D89">
        <v>102.91320704023001</v>
      </c>
      <c r="E89">
        <v>104.06474181882066</v>
      </c>
      <c r="F89">
        <v>101.77099681092902</v>
      </c>
      <c r="G89">
        <v>99.720037234909057</v>
      </c>
      <c r="H89">
        <v>118.05846295492934</v>
      </c>
      <c r="I89">
        <v>108.69293740124967</v>
      </c>
      <c r="J89">
        <v>105.59874310155099</v>
      </c>
      <c r="K89">
        <v>0.81863826660980799</v>
      </c>
      <c r="L89">
        <v>79.101027692307696</v>
      </c>
      <c r="M89" s="16">
        <f>+'[3]VAR expectations'!C113</f>
        <v>1.1947961687177484</v>
      </c>
      <c r="N89">
        <v>0.40714614504868402</v>
      </c>
      <c r="O89">
        <v>0.16437025473436201</v>
      </c>
      <c r="P89">
        <v>311</v>
      </c>
      <c r="Q89">
        <v>65</v>
      </c>
      <c r="R89">
        <v>481</v>
      </c>
      <c r="S89">
        <v>101</v>
      </c>
      <c r="T89">
        <v>20</v>
      </c>
      <c r="U89">
        <v>22</v>
      </c>
      <c r="V89">
        <f t="shared" si="23"/>
        <v>143</v>
      </c>
      <c r="X89">
        <f t="shared" si="24"/>
        <v>0.48643949780601758</v>
      </c>
      <c r="Y89">
        <f t="shared" si="42"/>
        <v>0.57032078697767474</v>
      </c>
      <c r="Z89">
        <f t="shared" si="43"/>
        <v>0.30897005189068238</v>
      </c>
      <c r="AA89">
        <f t="shared" si="44"/>
        <v>0.32501491219198897</v>
      </c>
      <c r="AB89">
        <f t="shared" si="25"/>
        <v>9.4067201699999714E-2</v>
      </c>
      <c r="AC89">
        <f t="shared" si="26"/>
        <v>-0.1980394854360128</v>
      </c>
      <c r="AD89">
        <f t="shared" si="27"/>
        <v>2.040658664386001</v>
      </c>
      <c r="AE89">
        <f t="shared" si="28"/>
        <v>1.1134850218393382</v>
      </c>
      <c r="AF89">
        <f t="shared" si="29"/>
        <v>0.60043138766199888</v>
      </c>
      <c r="AG89">
        <f t="shared" si="30"/>
        <v>3.3407317231629596E-3</v>
      </c>
      <c r="AH89">
        <f t="shared" si="31"/>
        <v>6.7286153846197294E-2</v>
      </c>
      <c r="AI89">
        <f t="shared" si="32"/>
        <v>-1.244882513135074</v>
      </c>
      <c r="AJ89">
        <f t="shared" si="33"/>
        <v>0.15981151377158301</v>
      </c>
      <c r="AK89">
        <f t="shared" si="34"/>
        <v>0.10986635146553542</v>
      </c>
      <c r="AL89">
        <f t="shared" si="35"/>
        <v>-0.66666666666668561</v>
      </c>
      <c r="AM89">
        <f t="shared" si="36"/>
        <v>0.3333333333333286</v>
      </c>
      <c r="AN89">
        <f t="shared" si="37"/>
        <v>0</v>
      </c>
      <c r="AO89">
        <f t="shared" si="38"/>
        <v>0</v>
      </c>
      <c r="AP89">
        <f t="shared" si="39"/>
        <v>0.33333333333333215</v>
      </c>
      <c r="AQ89">
        <f t="shared" si="40"/>
        <v>0</v>
      </c>
      <c r="AR89">
        <f t="shared" si="41"/>
        <v>0.33333333333331439</v>
      </c>
    </row>
    <row r="90" spans="1:44" x14ac:dyDescent="0.25">
      <c r="A90" s="15">
        <v>43373</v>
      </c>
      <c r="B90">
        <v>106.24111830317599</v>
      </c>
      <c r="C90">
        <v>108.25622904895333</v>
      </c>
      <c r="D90">
        <v>102.849024366881</v>
      </c>
      <c r="E90">
        <v>104.47243524284534</v>
      </c>
      <c r="F90">
        <v>101.96865580305767</v>
      </c>
      <c r="G90">
        <v>99.976991198166061</v>
      </c>
      <c r="H90">
        <v>119.75310510822634</v>
      </c>
      <c r="I90">
        <v>111.74228545577701</v>
      </c>
      <c r="J90">
        <v>106.264776934575</v>
      </c>
      <c r="K90">
        <v>0.827664917308371</v>
      </c>
      <c r="L90">
        <v>77.813970769230806</v>
      </c>
      <c r="M90" s="16">
        <f>+'[3]VAR expectations'!C114</f>
        <v>1.4668407504949574</v>
      </c>
      <c r="N90">
        <v>0.59026787322204399</v>
      </c>
      <c r="O90">
        <v>0.21968415645398701</v>
      </c>
      <c r="P90">
        <v>311</v>
      </c>
      <c r="Q90">
        <v>65</v>
      </c>
      <c r="R90">
        <v>481</v>
      </c>
      <c r="S90">
        <v>101</v>
      </c>
      <c r="T90">
        <v>20</v>
      </c>
      <c r="U90">
        <v>22</v>
      </c>
      <c r="V90">
        <f t="shared" si="23"/>
        <v>143</v>
      </c>
      <c r="X90">
        <f t="shared" si="24"/>
        <v>0.67637247361966502</v>
      </c>
      <c r="Y90">
        <f t="shared" si="42"/>
        <v>0.8423834560469885</v>
      </c>
      <c r="Z90">
        <f t="shared" si="43"/>
        <v>-6.4182673349009178E-2</v>
      </c>
      <c r="AA90">
        <f t="shared" si="44"/>
        <v>0.40769342402467146</v>
      </c>
      <c r="AB90">
        <f t="shared" si="25"/>
        <v>0.19765899212865179</v>
      </c>
      <c r="AC90">
        <f t="shared" si="26"/>
        <v>0.25695396325700415</v>
      </c>
      <c r="AD90">
        <f t="shared" si="27"/>
        <v>1.6946421532969964</v>
      </c>
      <c r="AE90">
        <f t="shared" si="28"/>
        <v>3.0493480545273428</v>
      </c>
      <c r="AF90">
        <f t="shared" si="29"/>
        <v>0.66603383302400232</v>
      </c>
      <c r="AG90">
        <f t="shared" si="30"/>
        <v>9.0266506985630102E-3</v>
      </c>
      <c r="AH90">
        <f t="shared" si="31"/>
        <v>-1.2870569230768893</v>
      </c>
      <c r="AI90">
        <f t="shared" si="32"/>
        <v>-1.0191696280154023</v>
      </c>
      <c r="AJ90">
        <f t="shared" si="33"/>
        <v>0.18312172817335998</v>
      </c>
      <c r="AK90">
        <f t="shared" si="34"/>
        <v>5.5313901719624997E-2</v>
      </c>
      <c r="AL90">
        <f t="shared" si="35"/>
        <v>0</v>
      </c>
      <c r="AM90">
        <f t="shared" si="36"/>
        <v>0</v>
      </c>
      <c r="AN90">
        <f t="shared" si="37"/>
        <v>0</v>
      </c>
      <c r="AO90">
        <f t="shared" si="38"/>
        <v>0</v>
      </c>
      <c r="AP90">
        <f t="shared" si="39"/>
        <v>0</v>
      </c>
      <c r="AQ90">
        <f t="shared" si="40"/>
        <v>0</v>
      </c>
      <c r="AR90">
        <f t="shared" si="41"/>
        <v>0</v>
      </c>
    </row>
    <row r="91" spans="1:44" x14ac:dyDescent="0.25">
      <c r="A91" s="15">
        <v>43465</v>
      </c>
      <c r="B91">
        <v>106.79819467718634</v>
      </c>
      <c r="C91">
        <v>108.863811690649</v>
      </c>
      <c r="D91">
        <v>103.19250248918267</v>
      </c>
      <c r="E91">
        <v>104.96451236826</v>
      </c>
      <c r="F91">
        <v>101.96227264327433</v>
      </c>
      <c r="G91">
        <v>100.266200933883</v>
      </c>
      <c r="H91">
        <v>122.71904686377233</v>
      </c>
      <c r="I91">
        <v>113.99764934990235</v>
      </c>
      <c r="J91">
        <v>106.82547362140301</v>
      </c>
      <c r="K91">
        <v>0.82610064085679102</v>
      </c>
      <c r="L91">
        <v>77.843365151515201</v>
      </c>
      <c r="M91" s="16">
        <f>+'[3]VAR expectations'!C115</f>
        <v>1.2905237090286479</v>
      </c>
      <c r="N91">
        <v>0.53549829449636599</v>
      </c>
      <c r="O91">
        <v>9.5964640682364502E-2</v>
      </c>
      <c r="P91">
        <v>311</v>
      </c>
      <c r="Q91">
        <v>65</v>
      </c>
      <c r="R91">
        <v>481</v>
      </c>
      <c r="S91">
        <v>101</v>
      </c>
      <c r="T91">
        <v>20</v>
      </c>
      <c r="U91">
        <v>22</v>
      </c>
      <c r="V91">
        <f t="shared" si="23"/>
        <v>143</v>
      </c>
      <c r="X91">
        <f t="shared" si="24"/>
        <v>0.55707637401035015</v>
      </c>
      <c r="Y91">
        <f t="shared" si="42"/>
        <v>0.60758264169567155</v>
      </c>
      <c r="Z91">
        <f t="shared" si="43"/>
        <v>0.34347812230167563</v>
      </c>
      <c r="AA91">
        <f t="shared" si="44"/>
        <v>0.49207712541466719</v>
      </c>
      <c r="AB91">
        <f t="shared" si="25"/>
        <v>-6.3831597833399201E-3</v>
      </c>
      <c r="AC91">
        <f t="shared" si="26"/>
        <v>0.28920973571693764</v>
      </c>
      <c r="AD91">
        <f t="shared" si="27"/>
        <v>2.9659417555459981</v>
      </c>
      <c r="AE91">
        <f t="shared" si="28"/>
        <v>2.2553638941253382</v>
      </c>
      <c r="AF91">
        <f t="shared" si="29"/>
        <v>0.56069668682800966</v>
      </c>
      <c r="AG91">
        <f t="shared" si="30"/>
        <v>-1.5642764515799712E-3</v>
      </c>
      <c r="AH91">
        <f t="shared" si="31"/>
        <v>2.9394382284394283E-2</v>
      </c>
      <c r="AI91">
        <f t="shared" si="32"/>
        <v>-1.3854123803192839</v>
      </c>
      <c r="AJ91">
        <f t="shared" si="33"/>
        <v>-5.4769578725678003E-2</v>
      </c>
      <c r="AK91">
        <f t="shared" si="34"/>
        <v>-0.1237195157716225</v>
      </c>
      <c r="AL91">
        <f t="shared" si="35"/>
        <v>0</v>
      </c>
      <c r="AM91">
        <f t="shared" si="36"/>
        <v>0</v>
      </c>
      <c r="AN91">
        <f t="shared" si="37"/>
        <v>0</v>
      </c>
      <c r="AO91">
        <f t="shared" si="38"/>
        <v>0</v>
      </c>
      <c r="AP91">
        <f t="shared" si="39"/>
        <v>0</v>
      </c>
      <c r="AQ91">
        <f t="shared" si="40"/>
        <v>0</v>
      </c>
      <c r="AR91">
        <f t="shared" si="41"/>
        <v>0</v>
      </c>
    </row>
    <row r="92" spans="1:44" x14ac:dyDescent="0.25">
      <c r="A92" s="15">
        <v>43555</v>
      </c>
      <c r="B92">
        <v>107.07065987406367</v>
      </c>
      <c r="C92">
        <v>109.50362203026934</v>
      </c>
      <c r="D92">
        <v>103.54776466208834</v>
      </c>
      <c r="E92">
        <v>105.88237163900699</v>
      </c>
      <c r="F92">
        <v>102.66410131178965</v>
      </c>
      <c r="G92">
        <v>100.896818387238</v>
      </c>
      <c r="H92">
        <v>125.21584018877734</v>
      </c>
      <c r="I92">
        <v>109.33760901339868</v>
      </c>
      <c r="J92">
        <v>106.96537965736999</v>
      </c>
      <c r="K92">
        <v>0.82186357580014402</v>
      </c>
      <c r="L92">
        <v>78.730029687499993</v>
      </c>
      <c r="M92" s="16">
        <f>+'[3]VAR expectations'!C116</f>
        <v>1.4081096049117914</v>
      </c>
      <c r="N92">
        <v>0.111501420298973</v>
      </c>
      <c r="O92">
        <v>-0.324727992496813</v>
      </c>
      <c r="P92">
        <v>318.33333333333331</v>
      </c>
      <c r="Q92">
        <v>61.666666666666664</v>
      </c>
      <c r="R92">
        <v>480</v>
      </c>
      <c r="S92">
        <v>100</v>
      </c>
      <c r="T92">
        <v>19</v>
      </c>
      <c r="U92">
        <v>21</v>
      </c>
      <c r="V92">
        <f t="shared" si="23"/>
        <v>140</v>
      </c>
      <c r="X92">
        <f t="shared" si="24"/>
        <v>0.27246519687732018</v>
      </c>
      <c r="Y92">
        <f t="shared" si="42"/>
        <v>0.63981033962033962</v>
      </c>
      <c r="Z92">
        <f t="shared" si="43"/>
        <v>0.35526217290566819</v>
      </c>
      <c r="AA92">
        <f t="shared" si="44"/>
        <v>0.91785927074698748</v>
      </c>
      <c r="AB92">
        <f t="shared" si="25"/>
        <v>0.70182866851531855</v>
      </c>
      <c r="AC92">
        <f t="shared" si="26"/>
        <v>0.63061745335500063</v>
      </c>
      <c r="AD92">
        <f t="shared" si="27"/>
        <v>2.496793325005001</v>
      </c>
      <c r="AE92">
        <f t="shared" si="28"/>
        <v>-4.6600403365036698</v>
      </c>
      <c r="AF92">
        <f t="shared" si="29"/>
        <v>0.13990603596698747</v>
      </c>
      <c r="AG92">
        <f t="shared" si="30"/>
        <v>-4.2370650566470047E-3</v>
      </c>
      <c r="AH92">
        <f t="shared" si="31"/>
        <v>0.88666453598479222</v>
      </c>
      <c r="AI92">
        <f t="shared" si="32"/>
        <v>-1.3059493458232923</v>
      </c>
      <c r="AJ92">
        <f t="shared" si="33"/>
        <v>-0.42399687419739296</v>
      </c>
      <c r="AK92">
        <f t="shared" si="34"/>
        <v>-0.42069263317917749</v>
      </c>
      <c r="AL92">
        <f t="shared" si="35"/>
        <v>7.3333333333333144</v>
      </c>
      <c r="AM92">
        <f t="shared" si="36"/>
        <v>-3.3333333333333357</v>
      </c>
      <c r="AN92">
        <f t="shared" si="37"/>
        <v>-1</v>
      </c>
      <c r="AO92">
        <f t="shared" si="38"/>
        <v>-1</v>
      </c>
      <c r="AP92">
        <f t="shared" si="39"/>
        <v>-1</v>
      </c>
      <c r="AQ92">
        <f t="shared" si="40"/>
        <v>-1</v>
      </c>
      <c r="AR92">
        <f t="shared" si="41"/>
        <v>-3</v>
      </c>
    </row>
    <row r="93" spans="1:44" x14ac:dyDescent="0.25">
      <c r="A93" s="15">
        <v>43646</v>
      </c>
      <c r="B93">
        <v>107.70041211587333</v>
      </c>
      <c r="C93">
        <v>110.25025651536366</v>
      </c>
      <c r="D93">
        <v>103.31881835658901</v>
      </c>
      <c r="E93">
        <v>105.96247233678935</v>
      </c>
      <c r="F93">
        <v>102.90181489149199</v>
      </c>
      <c r="G93">
        <v>100.39083237761901</v>
      </c>
      <c r="H93">
        <v>125.29006150804834</v>
      </c>
      <c r="I93">
        <v>115.30591783247799</v>
      </c>
      <c r="J93">
        <v>107.77555903789001</v>
      </c>
      <c r="K93">
        <v>0.82949036029431999</v>
      </c>
      <c r="L93">
        <v>78.457547692307699</v>
      </c>
      <c r="M93" s="16">
        <f>+'[3]VAR expectations'!C117</f>
        <v>1.5354544995855299</v>
      </c>
      <c r="N93">
        <v>0.40244228624181999</v>
      </c>
      <c r="O93">
        <v>0.450193982701309</v>
      </c>
      <c r="P93">
        <v>318</v>
      </c>
      <c r="Q93">
        <v>61</v>
      </c>
      <c r="R93">
        <v>481</v>
      </c>
      <c r="S93">
        <v>100</v>
      </c>
      <c r="T93">
        <v>19</v>
      </c>
      <c r="U93">
        <v>21</v>
      </c>
      <c r="V93">
        <f t="shared" si="23"/>
        <v>140</v>
      </c>
      <c r="X93">
        <f t="shared" si="24"/>
        <v>0.62975224180966904</v>
      </c>
      <c r="Y93">
        <f t="shared" si="42"/>
        <v>0.74663448509431873</v>
      </c>
      <c r="Z93">
        <f t="shared" si="43"/>
        <v>-0.22894630549933481</v>
      </c>
      <c r="AA93">
        <f t="shared" si="44"/>
        <v>8.0100697782356178E-2</v>
      </c>
      <c r="AB93">
        <f t="shared" si="25"/>
        <v>0.23771357970234419</v>
      </c>
      <c r="AC93">
        <f t="shared" si="26"/>
        <v>-0.50598600961899365</v>
      </c>
      <c r="AD93">
        <f t="shared" si="27"/>
        <v>7.4221319271003949E-2</v>
      </c>
      <c r="AE93">
        <f t="shared" si="28"/>
        <v>5.9683088190793114</v>
      </c>
      <c r="AF93">
        <f t="shared" si="29"/>
        <v>0.8101793805200117</v>
      </c>
      <c r="AG93">
        <f t="shared" si="30"/>
        <v>7.6267844941759755E-3</v>
      </c>
      <c r="AH93">
        <f t="shared" si="31"/>
        <v>-0.27248199519229388</v>
      </c>
      <c r="AI93">
        <f t="shared" si="32"/>
        <v>-1.1976819497876896</v>
      </c>
      <c r="AJ93">
        <f t="shared" si="33"/>
        <v>0.29094086594284696</v>
      </c>
      <c r="AK93">
        <f t="shared" si="34"/>
        <v>0.774921975198122</v>
      </c>
      <c r="AL93">
        <f t="shared" si="35"/>
        <v>-0.33333333333331439</v>
      </c>
      <c r="AM93">
        <f t="shared" si="36"/>
        <v>-0.6666666666666643</v>
      </c>
      <c r="AN93">
        <f t="shared" si="37"/>
        <v>1</v>
      </c>
      <c r="AO93">
        <f t="shared" si="38"/>
        <v>0</v>
      </c>
      <c r="AP93">
        <f t="shared" si="39"/>
        <v>0</v>
      </c>
      <c r="AQ93">
        <f t="shared" si="40"/>
        <v>0</v>
      </c>
      <c r="AR93">
        <f t="shared" si="41"/>
        <v>0</v>
      </c>
    </row>
    <row r="94" spans="1:44" x14ac:dyDescent="0.25">
      <c r="A94" s="15">
        <v>43738</v>
      </c>
      <c r="B94">
        <v>108.19067065768434</v>
      </c>
      <c r="C94">
        <v>110.88186438031533</v>
      </c>
      <c r="D94">
        <v>103.48744032378632</v>
      </c>
      <c r="E94">
        <v>106.69509169850033</v>
      </c>
      <c r="F94">
        <v>103.62425680879767</v>
      </c>
      <c r="G94">
        <v>100.92432301925366</v>
      </c>
      <c r="H94">
        <v>126.24912389103433</v>
      </c>
      <c r="I94">
        <v>114.875297330347</v>
      </c>
      <c r="J94">
        <v>108.20201446995</v>
      </c>
      <c r="K94">
        <v>0.84436390000637895</v>
      </c>
      <c r="L94">
        <v>75.795746969697007</v>
      </c>
      <c r="M94" s="16">
        <f>+'[3]VAR expectations'!C118</f>
        <v>1.7661002699234809</v>
      </c>
      <c r="N94">
        <v>0.17462163035891601</v>
      </c>
      <c r="O94">
        <v>-8.21163442679727E-3</v>
      </c>
      <c r="P94">
        <v>318</v>
      </c>
      <c r="Q94">
        <v>61</v>
      </c>
      <c r="R94">
        <v>481</v>
      </c>
      <c r="S94">
        <v>100</v>
      </c>
      <c r="T94">
        <v>19</v>
      </c>
      <c r="U94">
        <v>21</v>
      </c>
      <c r="V94">
        <f t="shared" si="23"/>
        <v>140</v>
      </c>
      <c r="X94">
        <f t="shared" si="24"/>
        <v>0.49025854181100215</v>
      </c>
      <c r="Y94">
        <f t="shared" si="42"/>
        <v>0.63160786495167542</v>
      </c>
      <c r="Z94">
        <f t="shared" si="43"/>
        <v>0.1686219671973106</v>
      </c>
      <c r="AA94">
        <f t="shared" si="44"/>
        <v>0.73261936171098796</v>
      </c>
      <c r="AB94">
        <f t="shared" si="25"/>
        <v>0.72244191730567309</v>
      </c>
      <c r="AC94">
        <f t="shared" si="26"/>
        <v>0.53349064163465698</v>
      </c>
      <c r="AD94">
        <f t="shared" si="27"/>
        <v>0.95906238298599078</v>
      </c>
      <c r="AE94">
        <f t="shared" si="28"/>
        <v>-0.43062050213099212</v>
      </c>
      <c r="AF94">
        <f t="shared" si="29"/>
        <v>0.42645543205999559</v>
      </c>
      <c r="AG94">
        <f t="shared" si="30"/>
        <v>1.4873539712058959E-2</v>
      </c>
      <c r="AH94">
        <f t="shared" si="31"/>
        <v>-2.6618007226106926</v>
      </c>
      <c r="AI94">
        <f t="shared" si="32"/>
        <v>-0.85514228193883635</v>
      </c>
      <c r="AJ94">
        <f t="shared" si="33"/>
        <v>-0.22782065588290398</v>
      </c>
      <c r="AK94">
        <f t="shared" si="34"/>
        <v>-0.45840561712810629</v>
      </c>
      <c r="AL94">
        <f t="shared" si="35"/>
        <v>0</v>
      </c>
      <c r="AM94">
        <f t="shared" si="36"/>
        <v>0</v>
      </c>
      <c r="AN94">
        <f t="shared" si="37"/>
        <v>0</v>
      </c>
      <c r="AO94">
        <f t="shared" si="38"/>
        <v>0</v>
      </c>
      <c r="AP94">
        <f t="shared" si="39"/>
        <v>0</v>
      </c>
      <c r="AQ94">
        <f t="shared" si="40"/>
        <v>0</v>
      </c>
      <c r="AR94">
        <f t="shared" si="41"/>
        <v>0</v>
      </c>
    </row>
    <row r="95" spans="1:44" x14ac:dyDescent="0.25">
      <c r="A95" s="15">
        <v>43830</v>
      </c>
      <c r="B95">
        <v>108.30435827001334</v>
      </c>
      <c r="C95">
        <v>111.43137794905333</v>
      </c>
      <c r="D95">
        <v>103.65087563153101</v>
      </c>
      <c r="E95">
        <v>106.92037383554499</v>
      </c>
      <c r="F95">
        <v>103.70219769545167</v>
      </c>
      <c r="G95">
        <v>101.56593504136465</v>
      </c>
      <c r="H95">
        <v>126.31113155636866</v>
      </c>
      <c r="I95">
        <v>112.10913678380966</v>
      </c>
      <c r="J95">
        <v>108.323574868143</v>
      </c>
      <c r="K95">
        <v>0.82504169474928601</v>
      </c>
      <c r="L95">
        <v>79.403969696969696</v>
      </c>
      <c r="M95" s="16">
        <f>+'[3]VAR expectations'!C119</f>
        <v>2.4293341619440096</v>
      </c>
      <c r="N95">
        <v>-0.11693353700046701</v>
      </c>
      <c r="O95">
        <v>-0.19324283466898201</v>
      </c>
      <c r="P95">
        <v>318</v>
      </c>
      <c r="Q95">
        <v>61</v>
      </c>
      <c r="R95">
        <v>481</v>
      </c>
      <c r="S95">
        <v>100</v>
      </c>
      <c r="T95">
        <v>19</v>
      </c>
      <c r="U95">
        <v>21</v>
      </c>
      <c r="V95">
        <f t="shared" si="23"/>
        <v>140</v>
      </c>
      <c r="X95">
        <f t="shared" si="24"/>
        <v>0.11368761232900226</v>
      </c>
      <c r="Y95">
        <f t="shared" si="42"/>
        <v>0.54951356873799284</v>
      </c>
      <c r="Z95">
        <f t="shared" si="43"/>
        <v>0.16343530774469173</v>
      </c>
      <c r="AA95">
        <f t="shared" si="44"/>
        <v>0.22528213704465827</v>
      </c>
      <c r="AB95">
        <f t="shared" si="25"/>
        <v>7.7940886654005226E-2</v>
      </c>
      <c r="AC95">
        <f t="shared" si="26"/>
        <v>0.64161202211099067</v>
      </c>
      <c r="AD95">
        <f t="shared" si="27"/>
        <v>6.2007665334334661E-2</v>
      </c>
      <c r="AE95">
        <f t="shared" si="28"/>
        <v>-2.7661605465373356</v>
      </c>
      <c r="AF95">
        <f t="shared" si="29"/>
        <v>0.12156039819299735</v>
      </c>
      <c r="AG95">
        <f t="shared" si="30"/>
        <v>-1.9322205257092939E-2</v>
      </c>
      <c r="AH95">
        <f t="shared" si="31"/>
        <v>3.6082227272726897</v>
      </c>
      <c r="AI95">
        <f t="shared" si="32"/>
        <v>-0.54884042232307184</v>
      </c>
      <c r="AJ95">
        <f t="shared" si="33"/>
        <v>-0.29155516735938303</v>
      </c>
      <c r="AK95">
        <f t="shared" si="34"/>
        <v>-0.18503120024218475</v>
      </c>
      <c r="AL95">
        <f t="shared" si="35"/>
        <v>0</v>
      </c>
      <c r="AM95">
        <f t="shared" si="36"/>
        <v>0</v>
      </c>
      <c r="AN95">
        <f t="shared" si="37"/>
        <v>0</v>
      </c>
      <c r="AO95">
        <f t="shared" si="38"/>
        <v>0</v>
      </c>
      <c r="AP95">
        <f t="shared" si="39"/>
        <v>0</v>
      </c>
      <c r="AQ95">
        <f t="shared" si="40"/>
        <v>0</v>
      </c>
      <c r="AR95">
        <f t="shared" si="41"/>
        <v>0</v>
      </c>
    </row>
    <row r="96" spans="1:44" x14ac:dyDescent="0.25">
      <c r="A96" s="15">
        <v>43921</v>
      </c>
      <c r="B96">
        <v>108.90634649909633</v>
      </c>
      <c r="C96">
        <v>112.20774949701099</v>
      </c>
      <c r="D96">
        <v>103.98833715920932</v>
      </c>
      <c r="E96">
        <v>107.27607337307568</v>
      </c>
      <c r="F96">
        <v>104.05376184878433</v>
      </c>
      <c r="G96">
        <v>101.86987851832366</v>
      </c>
      <c r="H96">
        <v>126.67811277124234</v>
      </c>
      <c r="I96">
        <v>112.88803408675399</v>
      </c>
      <c r="J96">
        <v>108.769487200033</v>
      </c>
      <c r="K96">
        <v>0.81896626934969596</v>
      </c>
      <c r="L96">
        <v>79.231538461538506</v>
      </c>
      <c r="M96" s="16">
        <f>+'[3]VAR expectations'!C120</f>
        <v>2.5776958521780435</v>
      </c>
      <c r="N96">
        <v>0.18927622328845001</v>
      </c>
      <c r="O96">
        <v>-5.2128643277585103E-2</v>
      </c>
      <c r="P96">
        <v>308.33333333333331</v>
      </c>
      <c r="Q96">
        <v>63.666666666666664</v>
      </c>
      <c r="R96">
        <v>489.33333333333331</v>
      </c>
      <c r="S96">
        <v>99</v>
      </c>
      <c r="T96">
        <v>19.666666666666668</v>
      </c>
      <c r="U96">
        <v>20</v>
      </c>
      <c r="V96">
        <f t="shared" si="23"/>
        <v>138.66666666666669</v>
      </c>
      <c r="X96">
        <f t="shared" si="24"/>
        <v>0.60198822908299121</v>
      </c>
      <c r="Y96">
        <f t="shared" si="42"/>
        <v>0.77637154795766605</v>
      </c>
      <c r="Z96">
        <f t="shared" si="43"/>
        <v>0.33746152767831461</v>
      </c>
      <c r="AA96">
        <f t="shared" si="44"/>
        <v>0.35569953753068262</v>
      </c>
      <c r="AB96">
        <f t="shared" si="25"/>
        <v>0.35156415333266011</v>
      </c>
      <c r="AC96">
        <f t="shared" si="26"/>
        <v>0.30394347695900592</v>
      </c>
      <c r="AD96">
        <f t="shared" si="27"/>
        <v>0.3669812148736753</v>
      </c>
      <c r="AE96">
        <f t="shared" si="28"/>
        <v>0.77889730294432979</v>
      </c>
      <c r="AF96">
        <f t="shared" si="29"/>
        <v>0.44591233188999979</v>
      </c>
      <c r="AG96">
        <f t="shared" si="30"/>
        <v>-6.0754253995900509E-3</v>
      </c>
      <c r="AH96">
        <f t="shared" si="31"/>
        <v>-0.17243123543119054</v>
      </c>
      <c r="AI96">
        <f t="shared" si="32"/>
        <v>7.437618662049772E-2</v>
      </c>
      <c r="AJ96">
        <f t="shared" si="33"/>
        <v>0.306209760288917</v>
      </c>
      <c r="AK96">
        <f t="shared" si="34"/>
        <v>0.14111419139139691</v>
      </c>
      <c r="AL96">
        <f t="shared" si="35"/>
        <v>-9.6666666666666856</v>
      </c>
      <c r="AM96">
        <f t="shared" si="36"/>
        <v>2.6666666666666643</v>
      </c>
      <c r="AN96">
        <f t="shared" si="37"/>
        <v>8.3333333333333144</v>
      </c>
      <c r="AO96">
        <f t="shared" si="38"/>
        <v>-1</v>
      </c>
      <c r="AP96">
        <f t="shared" si="39"/>
        <v>0.66666666666666785</v>
      </c>
      <c r="AQ96">
        <f t="shared" si="40"/>
        <v>-1</v>
      </c>
      <c r="AR96">
        <f t="shared" si="41"/>
        <v>-1.3333333333333144</v>
      </c>
    </row>
    <row r="97" spans="1:44" x14ac:dyDescent="0.25">
      <c r="A97" s="15">
        <v>44012</v>
      </c>
      <c r="B97">
        <v>108.303362615308</v>
      </c>
      <c r="C97">
        <v>112.324651874241</v>
      </c>
      <c r="D97">
        <v>103.80857337539202</v>
      </c>
      <c r="E97">
        <v>107.74754140122501</v>
      </c>
      <c r="F97">
        <v>104.34346429090067</v>
      </c>
      <c r="G97">
        <v>102.44296494218133</v>
      </c>
      <c r="H97">
        <v>128.61565162153101</v>
      </c>
      <c r="I97">
        <v>102.54472067931165</v>
      </c>
      <c r="J97">
        <v>108.439368781261</v>
      </c>
      <c r="K97">
        <v>0.80862292439016603</v>
      </c>
      <c r="L97">
        <v>77.416984615384607</v>
      </c>
      <c r="M97" s="16">
        <f>+'[3]VAR expectations'!C121</f>
        <v>2.5814129404766706</v>
      </c>
      <c r="N97">
        <v>-0.70211571573449605</v>
      </c>
      <c r="O97">
        <v>-0.45655752598020999</v>
      </c>
      <c r="P97">
        <v>307</v>
      </c>
      <c r="Q97">
        <v>64</v>
      </c>
      <c r="R97">
        <v>490</v>
      </c>
      <c r="S97">
        <v>99</v>
      </c>
      <c r="T97">
        <v>20</v>
      </c>
      <c r="U97">
        <v>20</v>
      </c>
      <c r="V97">
        <f t="shared" si="23"/>
        <v>139</v>
      </c>
      <c r="X97">
        <f t="shared" si="24"/>
        <v>-0.60298388378832612</v>
      </c>
      <c r="Y97">
        <f t="shared" si="42"/>
        <v>0.11690237723000507</v>
      </c>
      <c r="Z97">
        <f t="shared" si="43"/>
        <v>-0.1797637838173074</v>
      </c>
      <c r="AA97">
        <f t="shared" si="44"/>
        <v>0.47146802814933153</v>
      </c>
      <c r="AB97">
        <f t="shared" si="25"/>
        <v>0.28970244211633656</v>
      </c>
      <c r="AC97">
        <f t="shared" si="26"/>
        <v>0.57308642385767428</v>
      </c>
      <c r="AD97">
        <f t="shared" si="27"/>
        <v>1.937538850288675</v>
      </c>
      <c r="AE97">
        <f t="shared" si="28"/>
        <v>-10.343313407442338</v>
      </c>
      <c r="AF97">
        <f t="shared" si="29"/>
        <v>-0.33011841877200254</v>
      </c>
      <c r="AG97">
        <f t="shared" si="30"/>
        <v>-1.0343344959529932E-2</v>
      </c>
      <c r="AH97">
        <f t="shared" si="31"/>
        <v>-1.814553846153899</v>
      </c>
      <c r="AI97">
        <f t="shared" si="32"/>
        <v>-9.3944018985157918E-2</v>
      </c>
      <c r="AJ97">
        <f t="shared" si="33"/>
        <v>-0.89139193902294611</v>
      </c>
      <c r="AK97">
        <f t="shared" si="34"/>
        <v>-0.40442888270262489</v>
      </c>
      <c r="AL97">
        <f t="shared" si="35"/>
        <v>-1.3333333333333144</v>
      </c>
      <c r="AM97">
        <f t="shared" si="36"/>
        <v>0.3333333333333357</v>
      </c>
      <c r="AN97">
        <f t="shared" si="37"/>
        <v>0.66666666666668561</v>
      </c>
      <c r="AO97">
        <f t="shared" si="38"/>
        <v>0</v>
      </c>
      <c r="AP97">
        <f t="shared" si="39"/>
        <v>0.33333333333333215</v>
      </c>
      <c r="AQ97">
        <f t="shared" si="40"/>
        <v>0</v>
      </c>
      <c r="AR97">
        <f t="shared" si="41"/>
        <v>0.33333333333331439</v>
      </c>
    </row>
    <row r="98" spans="1:44" x14ac:dyDescent="0.25">
      <c r="A98" s="15">
        <v>44104</v>
      </c>
      <c r="B98">
        <v>108.84607786104732</v>
      </c>
      <c r="C98">
        <v>112.44563472779366</v>
      </c>
      <c r="D98">
        <v>104.624947573298</v>
      </c>
      <c r="E98">
        <v>107.63909292525334</v>
      </c>
      <c r="F98">
        <v>103.96241815718167</v>
      </c>
      <c r="G98">
        <v>101.79012873180933</v>
      </c>
      <c r="H98">
        <v>130.62274333271469</v>
      </c>
      <c r="I98">
        <v>104.98447309946266</v>
      </c>
      <c r="J98">
        <v>108.829736313296</v>
      </c>
      <c r="K98">
        <v>0.810392277477061</v>
      </c>
      <c r="L98">
        <v>77.450487878787897</v>
      </c>
      <c r="M98" s="16">
        <f>+'[3]VAR expectations'!C122</f>
        <v>2.5453003999512136</v>
      </c>
      <c r="N98">
        <v>-0.57563884899936701</v>
      </c>
      <c r="O98">
        <v>0.118900887754049</v>
      </c>
      <c r="P98">
        <v>307</v>
      </c>
      <c r="Q98">
        <v>64</v>
      </c>
      <c r="R98">
        <v>490</v>
      </c>
      <c r="S98">
        <v>99</v>
      </c>
      <c r="T98">
        <v>20</v>
      </c>
      <c r="U98">
        <v>20</v>
      </c>
      <c r="V98">
        <f t="shared" si="23"/>
        <v>139</v>
      </c>
      <c r="X98">
        <f t="shared" si="24"/>
        <v>0.54271524573931629</v>
      </c>
      <c r="Y98">
        <f t="shared" si="42"/>
        <v>0.12098285355266114</v>
      </c>
      <c r="Z98">
        <f t="shared" si="43"/>
        <v>0.81637419790598642</v>
      </c>
      <c r="AA98">
        <f t="shared" si="44"/>
        <v>-0.10844847597167018</v>
      </c>
      <c r="AB98">
        <f t="shared" si="25"/>
        <v>-0.38104613371899632</v>
      </c>
      <c r="AC98">
        <f t="shared" si="26"/>
        <v>-0.65283621037200135</v>
      </c>
      <c r="AD98">
        <f t="shared" si="27"/>
        <v>2.0070917111836764</v>
      </c>
      <c r="AE98">
        <f>I98-I236</f>
        <v>2.4397524201510095</v>
      </c>
      <c r="AF98">
        <f t="shared" si="29"/>
        <v>0.39036753203500041</v>
      </c>
      <c r="AG98">
        <f t="shared" si="30"/>
        <v>1.7693530868949647E-3</v>
      </c>
      <c r="AH98">
        <f t="shared" si="31"/>
        <v>3.3503263403289907E-2</v>
      </c>
      <c r="AI98">
        <f t="shared" si="32"/>
        <v>-0.53336466227789225</v>
      </c>
      <c r="AJ98">
        <f t="shared" si="33"/>
        <v>0.12647686673512903</v>
      </c>
      <c r="AK98">
        <f t="shared" si="34"/>
        <v>0.57545841373425899</v>
      </c>
      <c r="AL98">
        <f t="shared" si="35"/>
        <v>0</v>
      </c>
      <c r="AM98">
        <f t="shared" si="36"/>
        <v>0</v>
      </c>
      <c r="AN98">
        <f t="shared" si="37"/>
        <v>0</v>
      </c>
      <c r="AO98">
        <f t="shared" si="38"/>
        <v>0</v>
      </c>
      <c r="AP98">
        <f t="shared" si="39"/>
        <v>0</v>
      </c>
      <c r="AQ98">
        <f t="shared" si="40"/>
        <v>0</v>
      </c>
      <c r="AR98">
        <f t="shared" si="41"/>
        <v>0</v>
      </c>
    </row>
    <row r="99" spans="1:44" x14ac:dyDescent="0.25">
      <c r="A99" s="15">
        <v>44196</v>
      </c>
      <c r="B99">
        <v>108.88690430044467</v>
      </c>
      <c r="C99">
        <v>113.02038140705299</v>
      </c>
      <c r="D99">
        <v>104.88812615868066</v>
      </c>
      <c r="E99">
        <v>107.30487809386567</v>
      </c>
      <c r="F99">
        <v>103.19449116217601</v>
      </c>
      <c r="G99">
        <v>101.93470330339267</v>
      </c>
      <c r="H99">
        <v>131.91327139222167</v>
      </c>
      <c r="I99">
        <v>102.07040266952434</v>
      </c>
      <c r="J99">
        <v>108.888599619003</v>
      </c>
      <c r="K99">
        <v>0.82076763633163197</v>
      </c>
      <c r="L99">
        <v>77.959993939393897</v>
      </c>
      <c r="M99" s="16">
        <f>+'[3]VAR expectations'!C123</f>
        <v>2.7170212072523583</v>
      </c>
      <c r="N99">
        <v>-0.57586475394540204</v>
      </c>
      <c r="O99">
        <v>-0.193774322000975</v>
      </c>
      <c r="P99">
        <v>307</v>
      </c>
      <c r="Q99">
        <v>64</v>
      </c>
      <c r="R99">
        <v>490</v>
      </c>
      <c r="S99">
        <v>99</v>
      </c>
      <c r="T99">
        <v>20</v>
      </c>
      <c r="U99">
        <v>20</v>
      </c>
      <c r="V99">
        <f t="shared" si="23"/>
        <v>139</v>
      </c>
      <c r="X99">
        <f t="shared" si="24"/>
        <v>4.0826439397349645E-2</v>
      </c>
      <c r="Y99">
        <f t="shared" si="42"/>
        <v>0.57474667925933431</v>
      </c>
      <c r="Z99">
        <f t="shared" si="43"/>
        <v>0.26317858538266137</v>
      </c>
      <c r="AA99">
        <f t="shared" si="44"/>
        <v>-0.33421483138766916</v>
      </c>
      <c r="AB99">
        <f t="shared" si="25"/>
        <v>-0.76792699500566641</v>
      </c>
      <c r="AC99">
        <f t="shared" si="26"/>
        <v>0.14457457158333398</v>
      </c>
      <c r="AD99">
        <f t="shared" si="27"/>
        <v>1.2905280595069826</v>
      </c>
      <c r="AE99">
        <f t="shared" si="28"/>
        <v>-2.9140704299383202</v>
      </c>
      <c r="AF99">
        <f t="shared" si="29"/>
        <v>5.886330570700693E-2</v>
      </c>
      <c r="AG99">
        <f t="shared" si="30"/>
        <v>1.0375358854570971E-2</v>
      </c>
      <c r="AH99">
        <f t="shared" si="31"/>
        <v>0.50950606060600023</v>
      </c>
      <c r="AI99">
        <f t="shared" si="32"/>
        <v>-0.41492229172658979</v>
      </c>
      <c r="AJ99">
        <f t="shared" si="33"/>
        <v>-2.2590494603502709E-4</v>
      </c>
      <c r="AK99">
        <f t="shared" si="34"/>
        <v>-0.312675209755024</v>
      </c>
      <c r="AL99">
        <f t="shared" si="35"/>
        <v>0</v>
      </c>
      <c r="AM99">
        <f t="shared" si="36"/>
        <v>0</v>
      </c>
      <c r="AN99">
        <f t="shared" si="37"/>
        <v>0</v>
      </c>
      <c r="AO99">
        <f t="shared" si="38"/>
        <v>0</v>
      </c>
      <c r="AP99">
        <f t="shared" si="39"/>
        <v>0</v>
      </c>
      <c r="AQ99">
        <f t="shared" si="40"/>
        <v>0</v>
      </c>
      <c r="AR99">
        <f t="shared" si="41"/>
        <v>0</v>
      </c>
    </row>
    <row r="100" spans="1:44" x14ac:dyDescent="0.25">
      <c r="A100" s="15">
        <v>44286</v>
      </c>
      <c r="B100">
        <v>109.62443116872799</v>
      </c>
      <c r="C100">
        <v>114.02558918908967</v>
      </c>
      <c r="D100">
        <v>104.74841692999367</v>
      </c>
      <c r="E100">
        <v>107.48109772562434</v>
      </c>
      <c r="F100">
        <v>103.17080170780234</v>
      </c>
      <c r="G100">
        <v>102.19877984144865</v>
      </c>
      <c r="H100">
        <v>133.15248097733135</v>
      </c>
      <c r="I100">
        <v>106.37111543444666</v>
      </c>
      <c r="J100">
        <v>109.501363734799</v>
      </c>
      <c r="K100">
        <v>0.81629886389552497</v>
      </c>
      <c r="L100">
        <v>80.480732812499994</v>
      </c>
      <c r="M100" s="16">
        <f>+'[3]VAR expectations'!C124</f>
        <v>2.4396786818528224</v>
      </c>
      <c r="N100">
        <v>-0.348601630197937</v>
      </c>
      <c r="O100">
        <v>0.17080172065947599</v>
      </c>
      <c r="P100">
        <v>348.33333333333331</v>
      </c>
      <c r="Q100">
        <v>59.666666666666664</v>
      </c>
      <c r="R100">
        <v>433.33333333333331</v>
      </c>
      <c r="S100">
        <v>114</v>
      </c>
      <c r="T100">
        <v>22.666666666666668</v>
      </c>
      <c r="U100">
        <v>22</v>
      </c>
      <c r="V100">
        <f t="shared" si="23"/>
        <v>158.66666666666666</v>
      </c>
      <c r="X100">
        <f t="shared" si="24"/>
        <v>0.73752686828332514</v>
      </c>
      <c r="Y100">
        <f t="shared" si="42"/>
        <v>1.0052077820366776</v>
      </c>
      <c r="Z100">
        <f t="shared" si="43"/>
        <v>-0.13970922868699631</v>
      </c>
      <c r="AA100">
        <f t="shared" si="44"/>
        <v>0.17621963175866995</v>
      </c>
      <c r="AB100">
        <f t="shared" si="25"/>
        <v>-2.3689454373666763E-2</v>
      </c>
      <c r="AC100">
        <f t="shared" si="26"/>
        <v>0.26407653805598841</v>
      </c>
      <c r="AD100">
        <f t="shared" si="27"/>
        <v>1.2392095851096769</v>
      </c>
      <c r="AE100">
        <f t="shared" si="28"/>
        <v>4.3007127649223236</v>
      </c>
      <c r="AF100">
        <f t="shared" si="29"/>
        <v>0.6127641157959971</v>
      </c>
      <c r="AG100">
        <f t="shared" si="30"/>
        <v>-4.4687724361069936E-3</v>
      </c>
      <c r="AH100">
        <f t="shared" si="31"/>
        <v>2.5207388731060973</v>
      </c>
      <c r="AI100">
        <f t="shared" si="32"/>
        <v>-0.97487909903006731</v>
      </c>
      <c r="AJ100">
        <f t="shared" si="33"/>
        <v>0.22726312374746505</v>
      </c>
      <c r="AK100">
        <f t="shared" si="34"/>
        <v>0.36457604266045096</v>
      </c>
      <c r="AL100">
        <f t="shared" si="35"/>
        <v>41.333333333333314</v>
      </c>
      <c r="AM100">
        <f t="shared" si="36"/>
        <v>-4.3333333333333357</v>
      </c>
      <c r="AN100">
        <f t="shared" si="37"/>
        <v>-56.666666666666686</v>
      </c>
      <c r="AO100">
        <f t="shared" si="38"/>
        <v>15</v>
      </c>
      <c r="AP100">
        <f t="shared" si="39"/>
        <v>2.6666666666666679</v>
      </c>
      <c r="AQ100">
        <f t="shared" si="40"/>
        <v>2</v>
      </c>
      <c r="AR100">
        <f t="shared" si="41"/>
        <v>19.666666666666657</v>
      </c>
    </row>
    <row r="101" spans="1:44" x14ac:dyDescent="0.25">
      <c r="A101" s="15">
        <v>44377</v>
      </c>
      <c r="B101">
        <v>110.44978593428367</v>
      </c>
      <c r="C101">
        <v>114.37272770811234</v>
      </c>
      <c r="D101">
        <v>105.85979112598267</v>
      </c>
      <c r="E101">
        <v>107.77476832443467</v>
      </c>
      <c r="F101">
        <v>103.53597468448567</v>
      </c>
      <c r="G101">
        <v>103.32417392394166</v>
      </c>
      <c r="H101">
        <v>132.45914330683036</v>
      </c>
      <c r="I101">
        <v>111.47824915505699</v>
      </c>
      <c r="J101">
        <v>110.613080184569</v>
      </c>
      <c r="K101">
        <v>0.82433035561079504</v>
      </c>
      <c r="L101">
        <v>81.787815384615399</v>
      </c>
      <c r="M101" s="16">
        <f>+'[3]VAR expectations'!C125</f>
        <v>2.4860103785103598</v>
      </c>
      <c r="N101">
        <v>0.54964160198908096</v>
      </c>
      <c r="O101">
        <v>0.45347528115059499</v>
      </c>
      <c r="P101">
        <v>347</v>
      </c>
      <c r="Q101">
        <v>60</v>
      </c>
      <c r="R101">
        <v>434</v>
      </c>
      <c r="S101">
        <v>114</v>
      </c>
      <c r="T101">
        <v>23</v>
      </c>
      <c r="U101">
        <v>22</v>
      </c>
      <c r="V101">
        <f t="shared" si="23"/>
        <v>159</v>
      </c>
      <c r="X101">
        <f t="shared" si="24"/>
        <v>0.825354765555673</v>
      </c>
      <c r="Y101">
        <f t="shared" si="42"/>
        <v>0.34713851902266413</v>
      </c>
      <c r="Z101">
        <f t="shared" si="43"/>
        <v>1.1113741959890007</v>
      </c>
      <c r="AA101">
        <f t="shared" si="44"/>
        <v>0.29367059881033697</v>
      </c>
      <c r="AB101">
        <f t="shared" si="25"/>
        <v>0.3651729766833256</v>
      </c>
      <c r="AC101">
        <f t="shared" si="26"/>
        <v>1.1253940824930027</v>
      </c>
      <c r="AD101">
        <f t="shared" si="27"/>
        <v>-0.69333767050099482</v>
      </c>
      <c r="AE101">
        <f t="shared" si="28"/>
        <v>5.1071337206103209</v>
      </c>
      <c r="AF101">
        <f t="shared" si="29"/>
        <v>1.1117164497700003</v>
      </c>
      <c r="AG101">
        <f t="shared" si="30"/>
        <v>8.0314917152700671E-3</v>
      </c>
      <c r="AH101">
        <f t="shared" si="31"/>
        <v>1.3070825721154051</v>
      </c>
      <c r="AI101">
        <f t="shared" si="32"/>
        <v>-0.49617035802024745</v>
      </c>
      <c r="AJ101">
        <f t="shared" si="33"/>
        <v>0.89824323218701796</v>
      </c>
      <c r="AK101">
        <f t="shared" si="34"/>
        <v>0.28267356049111902</v>
      </c>
      <c r="AL101">
        <f t="shared" si="35"/>
        <v>-1.3333333333333144</v>
      </c>
      <c r="AM101">
        <f t="shared" si="36"/>
        <v>0.3333333333333357</v>
      </c>
      <c r="AN101">
        <f t="shared" si="37"/>
        <v>0.66666666666668561</v>
      </c>
      <c r="AO101">
        <f t="shared" si="38"/>
        <v>0</v>
      </c>
      <c r="AP101">
        <f t="shared" si="39"/>
        <v>0.33333333333333215</v>
      </c>
      <c r="AQ101">
        <f t="shared" si="40"/>
        <v>0</v>
      </c>
      <c r="AR101">
        <f t="shared" si="41"/>
        <v>0.33333333333334281</v>
      </c>
    </row>
    <row r="102" spans="1:44" x14ac:dyDescent="0.25">
      <c r="A102" s="15">
        <v>44469</v>
      </c>
      <c r="B102">
        <v>111.87199334694968</v>
      </c>
      <c r="C102">
        <v>115.143371709628</v>
      </c>
      <c r="D102">
        <v>107.74891577984067</v>
      </c>
      <c r="E102">
        <v>108.42010374180366</v>
      </c>
      <c r="F102">
        <v>104.09365584180433</v>
      </c>
      <c r="G102">
        <v>103.39592544728633</v>
      </c>
      <c r="H102">
        <v>134.15344996532698</v>
      </c>
      <c r="I102">
        <v>115.32827381164232</v>
      </c>
      <c r="J102">
        <v>111.822515807565</v>
      </c>
      <c r="K102">
        <v>0.83992954942113196</v>
      </c>
      <c r="L102">
        <v>81.774842424242394</v>
      </c>
      <c r="M102" s="16">
        <f>+'[3]VAR expectations'!C126</f>
        <v>2.6759360893479318</v>
      </c>
      <c r="N102">
        <v>0.580538015574526</v>
      </c>
      <c r="O102">
        <v>0.14217114750364401</v>
      </c>
      <c r="P102">
        <v>347</v>
      </c>
      <c r="Q102">
        <v>60</v>
      </c>
      <c r="R102">
        <v>434</v>
      </c>
      <c r="S102">
        <v>114</v>
      </c>
      <c r="T102">
        <v>23</v>
      </c>
      <c r="U102">
        <v>22</v>
      </c>
      <c r="V102">
        <f t="shared" si="23"/>
        <v>159</v>
      </c>
      <c r="X102">
        <f t="shared" si="24"/>
        <v>1.4222074126660118</v>
      </c>
      <c r="Y102">
        <f t="shared" si="42"/>
        <v>0.77064400151566304</v>
      </c>
      <c r="Z102">
        <f t="shared" si="43"/>
        <v>1.8891246538580049</v>
      </c>
      <c r="AA102">
        <f t="shared" si="44"/>
        <v>0.64533541736898314</v>
      </c>
      <c r="AB102">
        <f t="shared" si="25"/>
        <v>0.55768115731866885</v>
      </c>
      <c r="AC102">
        <f t="shared" si="26"/>
        <v>7.1751523344673274E-2</v>
      </c>
      <c r="AD102">
        <f t="shared" si="27"/>
        <v>1.6943066584966289</v>
      </c>
      <c r="AE102">
        <f t="shared" si="28"/>
        <v>3.8500246565853331</v>
      </c>
      <c r="AF102">
        <f t="shared" si="29"/>
        <v>1.2094356229959971</v>
      </c>
      <c r="AG102">
        <f t="shared" si="30"/>
        <v>1.559919381033692E-2</v>
      </c>
      <c r="AH102">
        <f t="shared" si="31"/>
        <v>-1.2972960373005549E-2</v>
      </c>
      <c r="AI102">
        <f t="shared" si="32"/>
        <v>-8.946160157753269E-2</v>
      </c>
      <c r="AJ102">
        <f t="shared" si="33"/>
        <v>3.0896413585445037E-2</v>
      </c>
      <c r="AK102">
        <f t="shared" si="34"/>
        <v>-0.31130413364695098</v>
      </c>
      <c r="AL102">
        <f t="shared" si="35"/>
        <v>0</v>
      </c>
      <c r="AM102">
        <f t="shared" si="36"/>
        <v>0</v>
      </c>
      <c r="AN102">
        <f t="shared" si="37"/>
        <v>0</v>
      </c>
      <c r="AO102">
        <f t="shared" si="38"/>
        <v>0</v>
      </c>
      <c r="AP102">
        <f t="shared" si="39"/>
        <v>0</v>
      </c>
      <c r="AQ102">
        <f t="shared" si="40"/>
        <v>0</v>
      </c>
      <c r="AR102">
        <f t="shared" si="41"/>
        <v>0</v>
      </c>
    </row>
    <row r="103" spans="1:44" x14ac:dyDescent="0.25">
      <c r="A103" s="15">
        <v>44561</v>
      </c>
      <c r="B103">
        <v>114.25306744932533</v>
      </c>
      <c r="C103">
        <v>116.76302625711266</v>
      </c>
      <c r="D103">
        <v>109.67549652028868</v>
      </c>
      <c r="E103">
        <v>110.39334148594567</v>
      </c>
      <c r="F103">
        <v>105.91460997218799</v>
      </c>
      <c r="G103">
        <v>104.10666918788034</v>
      </c>
      <c r="H103">
        <v>138.27029888760299</v>
      </c>
      <c r="I103">
        <v>126.88976627866468</v>
      </c>
      <c r="J103">
        <v>114.237890257296</v>
      </c>
      <c r="K103">
        <v>0.89390208248498604</v>
      </c>
      <c r="L103">
        <v>81.611703030303005</v>
      </c>
      <c r="M103" s="16">
        <f>+'[3]VAR expectations'!C127</f>
        <v>2.7140589507350836</v>
      </c>
      <c r="N103">
        <v>1.4272711973059899</v>
      </c>
      <c r="O103">
        <v>0.63228111747361804</v>
      </c>
      <c r="P103">
        <v>347</v>
      </c>
      <c r="Q103">
        <v>60</v>
      </c>
      <c r="R103">
        <v>434</v>
      </c>
      <c r="S103">
        <v>114</v>
      </c>
      <c r="T103">
        <v>23</v>
      </c>
      <c r="U103">
        <v>22</v>
      </c>
      <c r="V103">
        <f t="shared" si="23"/>
        <v>159</v>
      </c>
      <c r="X103">
        <f t="shared" si="24"/>
        <v>2.3810741023756492</v>
      </c>
      <c r="Y103">
        <f t="shared" si="42"/>
        <v>1.6196545474846573</v>
      </c>
      <c r="Z103">
        <f t="shared" si="43"/>
        <v>1.9265807404480029</v>
      </c>
      <c r="AA103">
        <f t="shared" si="44"/>
        <v>1.9732377441420113</v>
      </c>
      <c r="AB103">
        <f t="shared" si="25"/>
        <v>1.8209541303836545</v>
      </c>
      <c r="AC103">
        <f t="shared" si="26"/>
        <v>0.7107437405940118</v>
      </c>
      <c r="AD103">
        <f t="shared" si="27"/>
        <v>4.1168489222760059</v>
      </c>
      <c r="AE103">
        <f t="shared" si="28"/>
        <v>11.561492467022362</v>
      </c>
      <c r="AF103">
        <f t="shared" si="29"/>
        <v>2.4153744497310043</v>
      </c>
      <c r="AG103">
        <f t="shared" si="30"/>
        <v>5.3972533063854078E-2</v>
      </c>
      <c r="AH103">
        <f t="shared" si="31"/>
        <v>-0.16313939393938881</v>
      </c>
      <c r="AI103">
        <f t="shared" si="32"/>
        <v>-0.71898098699315716</v>
      </c>
      <c r="AJ103">
        <f t="shared" si="33"/>
        <v>0.84673318173146395</v>
      </c>
      <c r="AK103">
        <f t="shared" si="34"/>
        <v>0.49010996996997402</v>
      </c>
      <c r="AL103">
        <f t="shared" si="35"/>
        <v>0</v>
      </c>
      <c r="AM103">
        <f t="shared" si="36"/>
        <v>0</v>
      </c>
      <c r="AN103">
        <f t="shared" si="37"/>
        <v>0</v>
      </c>
      <c r="AO103">
        <f t="shared" si="38"/>
        <v>0</v>
      </c>
      <c r="AP103">
        <f t="shared" si="39"/>
        <v>0</v>
      </c>
      <c r="AQ103">
        <f t="shared" si="40"/>
        <v>0</v>
      </c>
      <c r="AR103">
        <f t="shared" si="41"/>
        <v>0</v>
      </c>
    </row>
    <row r="104" spans="1:44" x14ac:dyDescent="0.25">
      <c r="A104" s="15">
        <v>44651</v>
      </c>
      <c r="B104">
        <v>116.49437909453967</v>
      </c>
      <c r="C104">
        <v>118.19773272860134</v>
      </c>
      <c r="D104">
        <v>112.12398274956865</v>
      </c>
      <c r="E104">
        <v>112.63036972856032</v>
      </c>
      <c r="F104">
        <v>108.48169373394467</v>
      </c>
      <c r="G104">
        <v>104.05011901519934</v>
      </c>
      <c r="H104">
        <v>141.15794942272467</v>
      </c>
      <c r="I104">
        <v>132.05596111427903</v>
      </c>
      <c r="J104">
        <v>116.398638086178</v>
      </c>
      <c r="K104">
        <v>0.92184313282267805</v>
      </c>
      <c r="L104">
        <v>82.334651562499999</v>
      </c>
      <c r="M104" s="16">
        <f>+'[3]VAR expectations'!C128</f>
        <v>2.7331364493732195</v>
      </c>
      <c r="N104">
        <v>1.47498838130139</v>
      </c>
      <c r="O104">
        <v>0.224820323383816</v>
      </c>
      <c r="P104">
        <v>331.33333333333331</v>
      </c>
      <c r="Q104">
        <v>67</v>
      </c>
      <c r="R104">
        <v>436.66666666666669</v>
      </c>
      <c r="S104">
        <v>115.66666666666667</v>
      </c>
      <c r="T104">
        <v>26.333333333333332</v>
      </c>
      <c r="U104">
        <v>23</v>
      </c>
      <c r="V104">
        <f t="shared" si="23"/>
        <v>165</v>
      </c>
      <c r="X104">
        <f t="shared" si="24"/>
        <v>2.2413116452143385</v>
      </c>
      <c r="Y104">
        <f t="shared" si="42"/>
        <v>1.4347064714886812</v>
      </c>
      <c r="Z104">
        <f t="shared" si="43"/>
        <v>2.4484862292799789</v>
      </c>
      <c r="AA104">
        <f t="shared" si="44"/>
        <v>2.2370282426146559</v>
      </c>
      <c r="AB104">
        <f t="shared" si="25"/>
        <v>2.5670837617566775</v>
      </c>
      <c r="AC104">
        <f t="shared" si="26"/>
        <v>-5.6550172680999822E-2</v>
      </c>
      <c r="AD104">
        <f t="shared" si="27"/>
        <v>2.8876505351216792</v>
      </c>
      <c r="AE104">
        <f t="shared" si="28"/>
        <v>5.1661948356143483</v>
      </c>
      <c r="AF104">
        <f t="shared" si="29"/>
        <v>2.1607478288819948</v>
      </c>
      <c r="AG104">
        <f t="shared" si="30"/>
        <v>2.7941050337692008E-2</v>
      </c>
      <c r="AH104">
        <f t="shared" si="31"/>
        <v>0.72294853219699462</v>
      </c>
      <c r="AI104">
        <f t="shared" si="32"/>
        <v>-2.4605416295539166</v>
      </c>
      <c r="AJ104">
        <f t="shared" si="33"/>
        <v>4.7717183995400037E-2</v>
      </c>
      <c r="AK104">
        <f t="shared" si="34"/>
        <v>-0.40746079408980207</v>
      </c>
      <c r="AL104">
        <f t="shared" si="35"/>
        <v>-15.666666666666686</v>
      </c>
      <c r="AM104">
        <f t="shared" si="36"/>
        <v>7</v>
      </c>
      <c r="AN104">
        <f t="shared" si="37"/>
        <v>2.6666666666666856</v>
      </c>
      <c r="AO104">
        <f t="shared" si="38"/>
        <v>1.6666666666666714</v>
      </c>
      <c r="AP104">
        <f t="shared" si="39"/>
        <v>3.3333333333333321</v>
      </c>
      <c r="AQ104">
        <f t="shared" si="40"/>
        <v>1</v>
      </c>
      <c r="AR104">
        <f t="shared" si="41"/>
        <v>6</v>
      </c>
    </row>
    <row r="105" spans="1:44" x14ac:dyDescent="0.25">
      <c r="A105" s="15">
        <v>44742</v>
      </c>
      <c r="B105">
        <v>120.48508528790366</v>
      </c>
      <c r="C105">
        <v>119.95711784402799</v>
      </c>
      <c r="D105">
        <v>113.43538883551601</v>
      </c>
      <c r="E105">
        <v>115.56914639817933</v>
      </c>
      <c r="F105">
        <v>112.15563187398099</v>
      </c>
      <c r="G105">
        <v>104.806103774509</v>
      </c>
      <c r="H105">
        <v>143.007143380673</v>
      </c>
      <c r="I105">
        <v>171.24752002418504</v>
      </c>
      <c r="J105">
        <v>120.676964265745</v>
      </c>
      <c r="K105">
        <v>0.98383656619553195</v>
      </c>
      <c r="L105">
        <v>80.184107692307705</v>
      </c>
      <c r="M105" s="16">
        <f>+'[3]VAR expectations'!C129</f>
        <v>2.6212425518623172</v>
      </c>
      <c r="N105">
        <v>3.3583088320854499</v>
      </c>
      <c r="O105">
        <v>2.2888186897604901</v>
      </c>
      <c r="P105">
        <v>330</v>
      </c>
      <c r="Q105">
        <v>67</v>
      </c>
      <c r="R105">
        <v>437</v>
      </c>
      <c r="S105">
        <v>116</v>
      </c>
      <c r="T105">
        <v>27</v>
      </c>
      <c r="U105">
        <v>23</v>
      </c>
      <c r="V105">
        <f t="shared" si="23"/>
        <v>166</v>
      </c>
      <c r="X105">
        <f t="shared" si="24"/>
        <v>3.9907061933639909</v>
      </c>
      <c r="Y105">
        <f t="shared" si="42"/>
        <v>1.7593851154266531</v>
      </c>
      <c r="Z105">
        <f t="shared" si="43"/>
        <v>1.311406085947354</v>
      </c>
      <c r="AA105">
        <f t="shared" si="44"/>
        <v>2.9387766696190027</v>
      </c>
      <c r="AB105">
        <f t="shared" si="25"/>
        <v>3.6739381400363271</v>
      </c>
      <c r="AC105">
        <f t="shared" si="26"/>
        <v>0.75598475930965492</v>
      </c>
      <c r="AD105">
        <f t="shared" si="27"/>
        <v>1.8491939579483301</v>
      </c>
      <c r="AE105">
        <f t="shared" si="28"/>
        <v>39.191558909906007</v>
      </c>
      <c r="AF105">
        <f t="shared" si="29"/>
        <v>4.2783261795670029</v>
      </c>
      <c r="AG105">
        <f t="shared" si="30"/>
        <v>6.1993433372853901E-2</v>
      </c>
      <c r="AH105">
        <f t="shared" si="31"/>
        <v>-2.1505438701922941</v>
      </c>
      <c r="AI105">
        <f t="shared" si="32"/>
        <v>-4.0520193579230082</v>
      </c>
      <c r="AJ105">
        <f t="shared" si="33"/>
        <v>1.88332045078406</v>
      </c>
      <c r="AK105">
        <f t="shared" si="34"/>
        <v>2.0639983663766741</v>
      </c>
      <c r="AL105">
        <f t="shared" si="35"/>
        <v>-1.3333333333333144</v>
      </c>
      <c r="AM105">
        <f t="shared" si="36"/>
        <v>0</v>
      </c>
      <c r="AN105">
        <f t="shared" si="37"/>
        <v>0.33333333333331439</v>
      </c>
      <c r="AO105">
        <f t="shared" si="38"/>
        <v>0.3333333333333286</v>
      </c>
      <c r="AP105">
        <f t="shared" si="39"/>
        <v>0.66666666666666785</v>
      </c>
      <c r="AQ105">
        <f t="shared" si="40"/>
        <v>0</v>
      </c>
      <c r="AR105">
        <f t="shared" si="41"/>
        <v>1</v>
      </c>
    </row>
    <row r="106" spans="1:44" x14ac:dyDescent="0.25">
      <c r="A106" s="15">
        <v>44834</v>
      </c>
      <c r="B106">
        <v>123.092655676498</v>
      </c>
      <c r="C106">
        <v>121.93038479780267</v>
      </c>
      <c r="D106">
        <v>114.97338346875132</v>
      </c>
      <c r="E106">
        <v>120.35673521909234</v>
      </c>
      <c r="F106">
        <v>118.01815436538732</v>
      </c>
      <c r="G106">
        <v>106.37793133113432</v>
      </c>
      <c r="H106">
        <v>145.19121688029801</v>
      </c>
      <c r="I106">
        <v>177.48507078919064</v>
      </c>
      <c r="J106">
        <v>122.995270577592</v>
      </c>
      <c r="K106">
        <v>1.0233011494340301</v>
      </c>
      <c r="L106">
        <v>78.172721212121203</v>
      </c>
      <c r="M106" s="16">
        <f>+'[3]VAR expectations'!C130</f>
        <v>2.9781745842670815</v>
      </c>
      <c r="N106">
        <v>3.3339333644410498</v>
      </c>
      <c r="O106">
        <v>0.13877735543773001</v>
      </c>
      <c r="P106">
        <v>330</v>
      </c>
      <c r="Q106">
        <v>67</v>
      </c>
      <c r="R106">
        <v>437</v>
      </c>
      <c r="S106">
        <v>116</v>
      </c>
      <c r="T106">
        <v>27</v>
      </c>
      <c r="U106">
        <v>23</v>
      </c>
      <c r="V106">
        <f t="shared" si="23"/>
        <v>166</v>
      </c>
      <c r="X106">
        <f t="shared" si="24"/>
        <v>2.6075703885943398</v>
      </c>
      <c r="Y106">
        <f t="shared" si="42"/>
        <v>1.973266953774683</v>
      </c>
      <c r="Z106">
        <f t="shared" si="43"/>
        <v>1.5379946332353143</v>
      </c>
      <c r="AA106">
        <f t="shared" si="44"/>
        <v>4.7875888209130153</v>
      </c>
      <c r="AB106">
        <f t="shared" si="25"/>
        <v>5.8625224914063239</v>
      </c>
      <c r="AC106">
        <f t="shared" si="26"/>
        <v>1.5718275566253226</v>
      </c>
      <c r="AD106">
        <f t="shared" si="27"/>
        <v>2.1840734996250148</v>
      </c>
      <c r="AE106">
        <f t="shared" si="28"/>
        <v>6.2375507650056079</v>
      </c>
      <c r="AF106">
        <f t="shared" si="29"/>
        <v>2.318306311846996</v>
      </c>
      <c r="AG106">
        <f t="shared" si="30"/>
        <v>3.9464583238498108E-2</v>
      </c>
      <c r="AH106">
        <f t="shared" si="31"/>
        <v>-2.011386480186502</v>
      </c>
      <c r="AI106">
        <f t="shared" si="32"/>
        <v>-5.7666130605206192</v>
      </c>
      <c r="AJ106">
        <f t="shared" si="33"/>
        <v>-2.4375467644400128E-2</v>
      </c>
      <c r="AK106">
        <f t="shared" si="34"/>
        <v>-2.15004133432276</v>
      </c>
      <c r="AL106">
        <f t="shared" si="35"/>
        <v>0</v>
      </c>
      <c r="AM106">
        <f t="shared" si="36"/>
        <v>0</v>
      </c>
      <c r="AN106">
        <f t="shared" si="37"/>
        <v>0</v>
      </c>
      <c r="AO106">
        <f t="shared" si="38"/>
        <v>0</v>
      </c>
      <c r="AP106">
        <f t="shared" si="39"/>
        <v>0</v>
      </c>
      <c r="AQ106">
        <f t="shared" si="40"/>
        <v>0</v>
      </c>
      <c r="AR106">
        <f t="shared" si="41"/>
        <v>0</v>
      </c>
    </row>
    <row r="107" spans="1:44" x14ac:dyDescent="0.25">
      <c r="A107" s="15">
        <v>44926</v>
      </c>
      <c r="B107">
        <v>126.57249077978565</v>
      </c>
      <c r="C107">
        <v>124.33443847729801</v>
      </c>
      <c r="D107">
        <v>116.605202296355</v>
      </c>
      <c r="E107">
        <v>124.62848092163368</v>
      </c>
      <c r="F107">
        <v>123.35004826728168</v>
      </c>
      <c r="G107">
        <v>107.95521631247334</v>
      </c>
      <c r="H107">
        <v>145.93076459690067</v>
      </c>
      <c r="I107">
        <v>197.85529267705101</v>
      </c>
      <c r="J107">
        <v>126.54644360022201</v>
      </c>
      <c r="K107">
        <v>1.01216531698448</v>
      </c>
      <c r="L107">
        <v>78.101493846153801</v>
      </c>
      <c r="M107" s="16">
        <f>+'[3]VAR expectations'!C131</f>
        <v>2.5033196655575458</v>
      </c>
      <c r="N107">
        <v>3.73152831160392</v>
      </c>
      <c r="O107">
        <v>1.02568077887582</v>
      </c>
      <c r="P107">
        <v>330</v>
      </c>
      <c r="Q107">
        <v>67</v>
      </c>
      <c r="R107">
        <v>437</v>
      </c>
      <c r="S107">
        <v>116</v>
      </c>
      <c r="T107">
        <v>27</v>
      </c>
      <c r="U107">
        <v>23</v>
      </c>
      <c r="V107">
        <f t="shared" si="23"/>
        <v>166</v>
      </c>
      <c r="X107">
        <f t="shared" si="24"/>
        <v>3.4798351032876553</v>
      </c>
      <c r="Y107">
        <f t="shared" si="42"/>
        <v>2.404053679495334</v>
      </c>
      <c r="Z107">
        <f t="shared" si="43"/>
        <v>1.6318188276036807</v>
      </c>
      <c r="AA107">
        <f t="shared" si="44"/>
        <v>4.2717457025413381</v>
      </c>
      <c r="AB107">
        <f t="shared" si="25"/>
        <v>5.331893901894361</v>
      </c>
      <c r="AC107">
        <f t="shared" si="26"/>
        <v>1.5772849813390195</v>
      </c>
      <c r="AD107">
        <f t="shared" si="27"/>
        <v>0.73954771660265806</v>
      </c>
      <c r="AE107">
        <f t="shared" si="28"/>
        <v>20.370221887860367</v>
      </c>
      <c r="AF107">
        <f t="shared" si="29"/>
        <v>3.5511730226300102</v>
      </c>
      <c r="AG107">
        <f t="shared" si="30"/>
        <v>-1.1135832449550076E-2</v>
      </c>
      <c r="AH107">
        <f t="shared" si="31"/>
        <v>-7.1227365967402534E-2</v>
      </c>
      <c r="AI107">
        <f t="shared" si="32"/>
        <v>-6.4056893434515452</v>
      </c>
      <c r="AJ107">
        <f t="shared" si="33"/>
        <v>0.39759494716287014</v>
      </c>
      <c r="AK107">
        <f t="shared" si="34"/>
        <v>0.88690342343808992</v>
      </c>
      <c r="AL107">
        <f t="shared" si="35"/>
        <v>0</v>
      </c>
      <c r="AM107">
        <f t="shared" si="36"/>
        <v>0</v>
      </c>
      <c r="AN107">
        <f t="shared" si="37"/>
        <v>0</v>
      </c>
      <c r="AO107">
        <f t="shared" si="38"/>
        <v>0</v>
      </c>
      <c r="AP107">
        <f t="shared" si="39"/>
        <v>0</v>
      </c>
      <c r="AQ107">
        <f t="shared" si="40"/>
        <v>0</v>
      </c>
      <c r="AR107">
        <f t="shared" si="41"/>
        <v>0</v>
      </c>
    </row>
    <row r="108" spans="1:44" x14ac:dyDescent="0.25">
      <c r="A108" s="15">
        <v>45016</v>
      </c>
      <c r="B108">
        <v>128.38716869753435</v>
      </c>
      <c r="C108">
        <v>125.86144301761266</v>
      </c>
      <c r="D108">
        <v>118.51394146473801</v>
      </c>
      <c r="E108">
        <v>128.62755721879668</v>
      </c>
      <c r="F108">
        <v>128.03620505103001</v>
      </c>
      <c r="G108">
        <v>110.11820535447266</v>
      </c>
      <c r="H108">
        <v>148.02952185889964</v>
      </c>
      <c r="I108">
        <v>193.04977581573766</v>
      </c>
      <c r="J108">
        <v>128.34142996117501</v>
      </c>
      <c r="K108">
        <v>1.0215437277533299</v>
      </c>
      <c r="L108">
        <v>78.168284615384593</v>
      </c>
      <c r="M108" s="16">
        <f>+'[3]VAR expectations'!C132</f>
        <v>2.6753569594618285</v>
      </c>
      <c r="N108">
        <v>3.21017686418904</v>
      </c>
      <c r="O108">
        <v>-0.17012066426360101</v>
      </c>
      <c r="P108">
        <v>294.66666666666669</v>
      </c>
      <c r="Q108">
        <v>80</v>
      </c>
      <c r="R108">
        <v>465</v>
      </c>
      <c r="S108">
        <v>118.33333333333333</v>
      </c>
      <c r="T108">
        <v>21</v>
      </c>
      <c r="U108">
        <v>21</v>
      </c>
      <c r="V108">
        <f t="shared" si="23"/>
        <v>160.33333333333331</v>
      </c>
      <c r="X108">
        <f t="shared" si="24"/>
        <v>1.8146779177486962</v>
      </c>
      <c r="Y108">
        <f t="shared" si="42"/>
        <v>1.5270045403146497</v>
      </c>
      <c r="Z108">
        <f t="shared" si="43"/>
        <v>1.9087391683830077</v>
      </c>
      <c r="AA108">
        <f t="shared" si="44"/>
        <v>3.9990762971630005</v>
      </c>
      <c r="AB108">
        <f t="shared" si="25"/>
        <v>4.6861567837483307</v>
      </c>
      <c r="AC108">
        <f t="shared" si="26"/>
        <v>2.1629890419993245</v>
      </c>
      <c r="AD108">
        <f t="shared" si="27"/>
        <v>2.0987572619989692</v>
      </c>
      <c r="AE108">
        <f t="shared" si="28"/>
        <v>-4.8055168613133503</v>
      </c>
      <c r="AF108">
        <f t="shared" si="29"/>
        <v>1.7949863609530041</v>
      </c>
      <c r="AG108">
        <f t="shared" si="30"/>
        <v>9.3784107688499319E-3</v>
      </c>
      <c r="AH108">
        <f t="shared" si="31"/>
        <v>6.679076923079208E-2</v>
      </c>
      <c r="AI108">
        <f t="shared" si="32"/>
        <v>-4.537491256199683</v>
      </c>
      <c r="AJ108">
        <f t="shared" si="33"/>
        <v>-0.52135144741487993</v>
      </c>
      <c r="AK108">
        <f t="shared" si="34"/>
        <v>-1.195801443139421</v>
      </c>
      <c r="AL108">
        <f t="shared" si="35"/>
        <v>-35.333333333333314</v>
      </c>
      <c r="AM108">
        <f t="shared" si="36"/>
        <v>13</v>
      </c>
      <c r="AN108">
        <f t="shared" si="37"/>
        <v>28</v>
      </c>
      <c r="AO108">
        <f t="shared" si="38"/>
        <v>2.3333333333333286</v>
      </c>
      <c r="AP108">
        <f t="shared" si="39"/>
        <v>-6</v>
      </c>
      <c r="AQ108">
        <f t="shared" si="40"/>
        <v>-2</v>
      </c>
      <c r="AR108">
        <f t="shared" si="41"/>
        <v>-5.6666666666666856</v>
      </c>
    </row>
    <row r="109" spans="1:44" x14ac:dyDescent="0.25">
      <c r="A109" s="15">
        <v>45107</v>
      </c>
      <c r="B109">
        <v>130.56138712395398</v>
      </c>
      <c r="C109">
        <v>128.47449609462467</v>
      </c>
      <c r="D109">
        <v>120.85429497306298</v>
      </c>
      <c r="E109">
        <v>133.49217878399133</v>
      </c>
      <c r="F109">
        <v>132.56217876159201</v>
      </c>
      <c r="G109">
        <v>112.114838383828</v>
      </c>
      <c r="H109">
        <v>159.04024520112731</v>
      </c>
      <c r="I109">
        <v>183.75726900744965</v>
      </c>
      <c r="J109">
        <v>130.74946319922401</v>
      </c>
      <c r="K109">
        <v>1.00005844742037</v>
      </c>
      <c r="L109">
        <v>80.456900000000005</v>
      </c>
      <c r="M109" s="16">
        <f>+'[3]VAR expectations'!C133</f>
        <v>3.0786650622291059</v>
      </c>
      <c r="N109">
        <v>0.70170723997551099</v>
      </c>
      <c r="O109">
        <v>-0.231251350162267</v>
      </c>
      <c r="P109">
        <v>293</v>
      </c>
      <c r="Q109">
        <v>80</v>
      </c>
      <c r="R109">
        <v>466</v>
      </c>
      <c r="S109">
        <v>119</v>
      </c>
      <c r="T109">
        <v>21</v>
      </c>
      <c r="U109">
        <v>21</v>
      </c>
      <c r="V109">
        <f t="shared" si="23"/>
        <v>161</v>
      </c>
      <c r="X109">
        <f t="shared" si="24"/>
        <v>2.1742184264196283</v>
      </c>
      <c r="Y109">
        <f t="shared" si="42"/>
        <v>2.6130530770120117</v>
      </c>
      <c r="Z109">
        <f t="shared" si="43"/>
        <v>2.3403535083249665</v>
      </c>
      <c r="AA109">
        <f t="shared" si="44"/>
        <v>4.8646215651946534</v>
      </c>
      <c r="AB109">
        <f t="shared" si="25"/>
        <v>4.525973710561999</v>
      </c>
      <c r="AC109">
        <f t="shared" si="26"/>
        <v>1.9966330293553369</v>
      </c>
      <c r="AD109">
        <f t="shared" si="27"/>
        <v>11.010723342227664</v>
      </c>
      <c r="AE109">
        <f t="shared" si="28"/>
        <v>-9.2925068082880102</v>
      </c>
      <c r="AF109">
        <f t="shared" si="29"/>
        <v>2.4080332380490006</v>
      </c>
      <c r="AG109">
        <f t="shared" si="30"/>
        <v>-2.1485280332959933E-2</v>
      </c>
      <c r="AH109">
        <f t="shared" si="31"/>
        <v>2.2886153846154116</v>
      </c>
      <c r="AI109">
        <f t="shared" si="32"/>
        <v>-2.371015764923905</v>
      </c>
      <c r="AJ109">
        <f t="shared" si="33"/>
        <v>-2.5084696242135291</v>
      </c>
      <c r="AK109">
        <f t="shared" si="34"/>
        <v>-6.1130685898665993E-2</v>
      </c>
      <c r="AL109">
        <f t="shared" si="35"/>
        <v>-1.6666666666666856</v>
      </c>
      <c r="AM109">
        <f t="shared" si="36"/>
        <v>0</v>
      </c>
      <c r="AN109">
        <f t="shared" si="37"/>
        <v>1</v>
      </c>
      <c r="AO109">
        <f t="shared" si="38"/>
        <v>0.6666666666666714</v>
      </c>
      <c r="AP109">
        <f t="shared" si="39"/>
        <v>0</v>
      </c>
      <c r="AQ109">
        <f t="shared" si="40"/>
        <v>0</v>
      </c>
      <c r="AR109">
        <f t="shared" si="41"/>
        <v>0.66666666666668561</v>
      </c>
    </row>
    <row r="110" spans="1:44" x14ac:dyDescent="0.25">
      <c r="A110" s="15">
        <v>45199</v>
      </c>
      <c r="B110">
        <v>131.35178086867901</v>
      </c>
      <c r="C110">
        <v>130.48216816175366</v>
      </c>
      <c r="D110">
        <v>121.02668559150034</v>
      </c>
      <c r="E110">
        <v>135.43663586923799</v>
      </c>
      <c r="F110">
        <v>133.90766615943767</v>
      </c>
      <c r="G110">
        <v>115.79947132789233</v>
      </c>
      <c r="H110">
        <v>162.59407559120734</v>
      </c>
      <c r="I110">
        <v>171.49723514857797</v>
      </c>
      <c r="J110">
        <v>131.21387847850599</v>
      </c>
      <c r="K110">
        <v>0.98423499823385696</v>
      </c>
      <c r="L110">
        <v>82.197903076923097</v>
      </c>
      <c r="M110" s="16">
        <f>+'[3]VAR expectations'!C134</f>
        <v>3.1319434989789481</v>
      </c>
      <c r="N110">
        <v>-0.16340187781012599</v>
      </c>
      <c r="O110">
        <v>-0.673433352934243</v>
      </c>
      <c r="P110">
        <v>293</v>
      </c>
      <c r="Q110">
        <v>80</v>
      </c>
      <c r="R110">
        <v>466</v>
      </c>
      <c r="S110">
        <v>119</v>
      </c>
      <c r="T110">
        <v>21</v>
      </c>
      <c r="U110">
        <v>21</v>
      </c>
      <c r="V110">
        <f t="shared" si="23"/>
        <v>161</v>
      </c>
      <c r="X110">
        <f t="shared" si="24"/>
        <v>0.7903937447250371</v>
      </c>
      <c r="Y110">
        <f t="shared" si="42"/>
        <v>2.0076720671289934</v>
      </c>
      <c r="Z110">
        <f t="shared" si="43"/>
        <v>0.17239061843736181</v>
      </c>
      <c r="AA110">
        <f t="shared" si="44"/>
        <v>1.9444570852466541</v>
      </c>
      <c r="AB110">
        <f t="shared" si="25"/>
        <v>1.345487397845659</v>
      </c>
      <c r="AC110">
        <f t="shared" si="26"/>
        <v>3.6846329440643331</v>
      </c>
      <c r="AD110">
        <f t="shared" si="27"/>
        <v>3.5538303900800372</v>
      </c>
      <c r="AE110">
        <f t="shared" si="28"/>
        <v>-12.26003385887168</v>
      </c>
      <c r="AF110">
        <f t="shared" si="29"/>
        <v>0.46441527928197956</v>
      </c>
      <c r="AG110">
        <f t="shared" si="30"/>
        <v>-1.5823449186513017E-2</v>
      </c>
      <c r="AH110">
        <f t="shared" si="31"/>
        <v>1.7410030769230929</v>
      </c>
      <c r="AI110">
        <f t="shared" si="32"/>
        <v>-1.8339575821192375</v>
      </c>
      <c r="AJ110">
        <f t="shared" si="33"/>
        <v>-0.86510911778563693</v>
      </c>
      <c r="AK110">
        <f t="shared" si="34"/>
        <v>-0.442182002771976</v>
      </c>
      <c r="AL110">
        <f t="shared" si="35"/>
        <v>0</v>
      </c>
      <c r="AM110">
        <f t="shared" si="36"/>
        <v>0</v>
      </c>
      <c r="AN110">
        <f t="shared" si="37"/>
        <v>0</v>
      </c>
      <c r="AO110">
        <f t="shared" si="38"/>
        <v>0</v>
      </c>
      <c r="AP110">
        <f t="shared" si="39"/>
        <v>0</v>
      </c>
      <c r="AQ110">
        <f t="shared" si="40"/>
        <v>0</v>
      </c>
      <c r="AR110">
        <f t="shared" si="41"/>
        <v>0</v>
      </c>
    </row>
    <row r="111" spans="1:44" x14ac:dyDescent="0.25">
      <c r="A111" s="15">
        <v>45291</v>
      </c>
      <c r="B111">
        <v>131.90742868082333</v>
      </c>
      <c r="C111">
        <v>132.33914338104398</v>
      </c>
      <c r="D111">
        <v>120.81283188458333</v>
      </c>
      <c r="E111">
        <v>136.65815991549266</v>
      </c>
      <c r="F111">
        <v>134.56146663509199</v>
      </c>
      <c r="G111">
        <v>118.01076709177534</v>
      </c>
      <c r="H111">
        <v>165.53417244105165</v>
      </c>
      <c r="I111">
        <v>164.99782673189367</v>
      </c>
      <c r="J111">
        <v>131.88052879150999</v>
      </c>
      <c r="K111">
        <v>0.99409752445047195</v>
      </c>
      <c r="L111">
        <v>81.178133846153798</v>
      </c>
      <c r="M111" s="16">
        <f>+'[3]VAR expectations'!C135</f>
        <v>3.4145577808828897</v>
      </c>
      <c r="N111">
        <v>-1.3678165112816401</v>
      </c>
      <c r="O111">
        <v>-0.21694556148073699</v>
      </c>
      <c r="P111">
        <v>293</v>
      </c>
      <c r="Q111">
        <v>80</v>
      </c>
      <c r="R111">
        <v>466</v>
      </c>
      <c r="S111">
        <v>119</v>
      </c>
      <c r="T111">
        <v>21</v>
      </c>
      <c r="U111">
        <v>21</v>
      </c>
      <c r="V111">
        <f t="shared" si="23"/>
        <v>161</v>
      </c>
      <c r="X111">
        <f t="shared" si="24"/>
        <v>0.55564781214431491</v>
      </c>
      <c r="Y111">
        <f t="shared" si="42"/>
        <v>1.8569752192903195</v>
      </c>
      <c r="Z111">
        <f t="shared" si="43"/>
        <v>-0.213853706917007</v>
      </c>
      <c r="AA111">
        <f t="shared" si="44"/>
        <v>1.2215240462546717</v>
      </c>
      <c r="AB111">
        <f t="shared" si="25"/>
        <v>0.65380047565432164</v>
      </c>
      <c r="AC111">
        <f t="shared" si="26"/>
        <v>2.2112957638830011</v>
      </c>
      <c r="AD111">
        <f t="shared" si="27"/>
        <v>2.9400968498443092</v>
      </c>
      <c r="AE111">
        <f t="shared" si="28"/>
        <v>-6.4994084166843038</v>
      </c>
      <c r="AF111">
        <f t="shared" si="29"/>
        <v>0.66665031300399846</v>
      </c>
      <c r="AG111">
        <f t="shared" si="30"/>
        <v>9.8625262166149863E-3</v>
      </c>
      <c r="AH111">
        <f t="shared" si="31"/>
        <v>-1.0197692307692989</v>
      </c>
      <c r="AI111">
        <f t="shared" si="32"/>
        <v>-0.8861746160948365</v>
      </c>
      <c r="AJ111">
        <f t="shared" si="33"/>
        <v>-1.204414633471514</v>
      </c>
      <c r="AK111">
        <f t="shared" si="34"/>
        <v>0.45648779145350604</v>
      </c>
      <c r="AL111">
        <f t="shared" si="35"/>
        <v>0</v>
      </c>
      <c r="AM111">
        <f t="shared" si="36"/>
        <v>0</v>
      </c>
      <c r="AN111">
        <f t="shared" si="37"/>
        <v>0</v>
      </c>
      <c r="AO111">
        <f t="shared" si="38"/>
        <v>0</v>
      </c>
      <c r="AP111">
        <f t="shared" si="39"/>
        <v>0</v>
      </c>
      <c r="AQ111">
        <f t="shared" si="40"/>
        <v>0</v>
      </c>
      <c r="AR111">
        <f t="shared" si="41"/>
        <v>0</v>
      </c>
    </row>
    <row r="112" spans="1:44" x14ac:dyDescent="0.25">
      <c r="A112" s="15">
        <v>45382</v>
      </c>
      <c r="B112">
        <v>132.94843116884735</v>
      </c>
      <c r="C112">
        <v>133.75886718003835</v>
      </c>
      <c r="D112">
        <v>120.91458822342501</v>
      </c>
      <c r="E112">
        <v>137.67280155287366</v>
      </c>
      <c r="F112">
        <v>134.87068887930101</v>
      </c>
      <c r="G112">
        <v>118.88041870657833</v>
      </c>
      <c r="H112">
        <v>171.54211892933236</v>
      </c>
      <c r="I112">
        <v>165.90492516430066</v>
      </c>
      <c r="J112">
        <v>132.95382336549201</v>
      </c>
      <c r="K112">
        <v>0.98573900024007299</v>
      </c>
      <c r="L112">
        <v>82.5681923076923</v>
      </c>
      <c r="M112" s="16">
        <f>+'[3]VAR expectations'!C136</f>
        <v>2.9821807365306072</v>
      </c>
      <c r="N112">
        <v>-1.0717785266822</v>
      </c>
      <c r="O112">
        <v>4.3541846025459997E-2</v>
      </c>
      <c r="P112">
        <v>286.49313333333339</v>
      </c>
      <c r="Q112">
        <v>71.188066666666657</v>
      </c>
      <c r="R112">
        <v>490.4566333333334</v>
      </c>
      <c r="S112">
        <v>113.06706666666666</v>
      </c>
      <c r="T112">
        <v>20.664833333333334</v>
      </c>
      <c r="U112">
        <v>18.130266666666667</v>
      </c>
      <c r="V112">
        <f t="shared" si="23"/>
        <v>151.86216666666667</v>
      </c>
      <c r="X112">
        <f t="shared" si="24"/>
        <v>1.0410024880240201</v>
      </c>
      <c r="Y112">
        <f t="shared" si="42"/>
        <v>1.4197237989943687</v>
      </c>
      <c r="Z112">
        <f t="shared" si="43"/>
        <v>0.10175633884168178</v>
      </c>
      <c r="AA112">
        <f t="shared" si="44"/>
        <v>1.0146416373810041</v>
      </c>
      <c r="AB112">
        <f t="shared" si="25"/>
        <v>0.30922224420902467</v>
      </c>
      <c r="AC112">
        <f t="shared" si="26"/>
        <v>0.86965161480299003</v>
      </c>
      <c r="AD112">
        <f t="shared" si="27"/>
        <v>6.0079464882807088</v>
      </c>
      <c r="AE112">
        <f t="shared" si="28"/>
        <v>0.90709843240699684</v>
      </c>
      <c r="AF112">
        <f t="shared" si="29"/>
        <v>1.0732945739820252</v>
      </c>
      <c r="AG112">
        <f t="shared" si="30"/>
        <v>-8.3585242103989543E-3</v>
      </c>
      <c r="AH112">
        <f t="shared" si="31"/>
        <v>1.3900584615385014</v>
      </c>
      <c r="AI112">
        <f t="shared" si="32"/>
        <v>-0.87609137822706629</v>
      </c>
      <c r="AJ112">
        <f t="shared" si="33"/>
        <v>0.29603798459944008</v>
      </c>
      <c r="AK112">
        <f t="shared" si="34"/>
        <v>0.26048740750619698</v>
      </c>
      <c r="AL112">
        <f t="shared" si="35"/>
        <v>-6.5068666666666104</v>
      </c>
      <c r="AM112">
        <f t="shared" si="36"/>
        <v>-8.8119333333333429</v>
      </c>
      <c r="AN112">
        <f t="shared" si="37"/>
        <v>24.4566333333334</v>
      </c>
      <c r="AO112">
        <f t="shared" si="38"/>
        <v>-5.9329333333333381</v>
      </c>
      <c r="AP112">
        <f t="shared" si="39"/>
        <v>-0.33516666666666595</v>
      </c>
      <c r="AQ112">
        <f t="shared" si="40"/>
        <v>-2.8697333333333326</v>
      </c>
      <c r="AR112">
        <f t="shared" si="41"/>
        <v>-9.137833333333333</v>
      </c>
    </row>
    <row r="113" spans="1:44" x14ac:dyDescent="0.25">
      <c r="A113" s="15">
        <v>45473</v>
      </c>
      <c r="B113">
        <v>133.24691582971434</v>
      </c>
      <c r="C113">
        <v>135.807487639561</v>
      </c>
      <c r="D113">
        <v>120.983232584186</v>
      </c>
      <c r="E113">
        <v>138.14194228561868</v>
      </c>
      <c r="F113">
        <v>135.26029032285135</v>
      </c>
      <c r="G113">
        <v>118.618104054439</v>
      </c>
      <c r="H113">
        <v>174.69183378053467</v>
      </c>
      <c r="I113">
        <v>154.08732720665034</v>
      </c>
      <c r="J113">
        <v>133.42686731999399</v>
      </c>
      <c r="K113">
        <v>0.99610252238445296</v>
      </c>
      <c r="L113">
        <v>82.944390769230793</v>
      </c>
      <c r="M113" s="16">
        <f>+'[3]VAR expectations'!C137</f>
        <v>2.7653976909254645</v>
      </c>
      <c r="N113">
        <v>-1.2261098957021399</v>
      </c>
      <c r="O113">
        <v>-0.40443614577732501</v>
      </c>
      <c r="P113">
        <v>285.86950000000007</v>
      </c>
      <c r="Q113">
        <v>71.750699999999995</v>
      </c>
      <c r="R113">
        <v>490.08380000000005</v>
      </c>
      <c r="S113">
        <v>113.14640000000001</v>
      </c>
      <c r="T113">
        <v>20.931000000000001</v>
      </c>
      <c r="U113">
        <v>18.218599999999999</v>
      </c>
      <c r="V113">
        <f t="shared" si="23"/>
        <v>152.29600000000002</v>
      </c>
      <c r="X113">
        <f t="shared" si="24"/>
        <v>0.29848466086698977</v>
      </c>
      <c r="Y113">
        <f t="shared" si="42"/>
        <v>2.0486204595226525</v>
      </c>
      <c r="Z113">
        <f t="shared" si="43"/>
        <v>6.8644360760984569E-2</v>
      </c>
      <c r="AA113">
        <f t="shared" si="44"/>
        <v>0.46914073274501789</v>
      </c>
      <c r="AB113">
        <f t="shared" si="25"/>
        <v>0.38960144355033322</v>
      </c>
      <c r="AC113">
        <f t="shared" si="26"/>
        <v>-0.26231465213932381</v>
      </c>
      <c r="AD113">
        <f t="shared" si="27"/>
        <v>3.1497148512023045</v>
      </c>
      <c r="AE113">
        <f t="shared" si="28"/>
        <v>-11.817597957650321</v>
      </c>
      <c r="AF113">
        <f t="shared" si="29"/>
        <v>0.47304395450197489</v>
      </c>
      <c r="AG113">
        <f t="shared" si="30"/>
        <v>1.0363522144379966E-2</v>
      </c>
      <c r="AH113">
        <f t="shared" si="31"/>
        <v>0.37619846153849323</v>
      </c>
      <c r="AI113">
        <f t="shared" si="32"/>
        <v>-0.86014000509964328</v>
      </c>
      <c r="AJ113">
        <f t="shared" si="33"/>
        <v>-0.15433136901993993</v>
      </c>
      <c r="AK113">
        <f t="shared" si="34"/>
        <v>-0.44797799180278502</v>
      </c>
      <c r="AL113">
        <f t="shared" si="35"/>
        <v>-0.62363333333331639</v>
      </c>
      <c r="AM113">
        <f t="shared" si="36"/>
        <v>0.56263333333333776</v>
      </c>
      <c r="AN113">
        <f t="shared" si="37"/>
        <v>-0.37283333333334667</v>
      </c>
      <c r="AO113">
        <f t="shared" si="38"/>
        <v>7.933333333335213E-2</v>
      </c>
      <c r="AP113">
        <f t="shared" si="39"/>
        <v>0.26616666666666688</v>
      </c>
      <c r="AQ113">
        <f t="shared" si="40"/>
        <v>8.8333333333331154E-2</v>
      </c>
      <c r="AR113">
        <f t="shared" si="41"/>
        <v>0.43383333333335372</v>
      </c>
    </row>
    <row r="114" spans="1:44" x14ac:dyDescent="0.25">
      <c r="A114" s="15">
        <v>45565</v>
      </c>
      <c r="B114">
        <v>134.02113951227832</v>
      </c>
      <c r="C114">
        <v>137.24167755432401</v>
      </c>
      <c r="D114">
        <v>121.26116177752665</v>
      </c>
      <c r="E114">
        <v>139.04979349184765</v>
      </c>
      <c r="F114">
        <v>135.96104514689134</v>
      </c>
      <c r="G114">
        <v>118.89478155606633</v>
      </c>
      <c r="H114">
        <v>178.04940428229733</v>
      </c>
      <c r="I114">
        <v>148.602268953947</v>
      </c>
      <c r="J114">
        <v>133.86174972626199</v>
      </c>
      <c r="K114">
        <v>0.97405812511554302</v>
      </c>
      <c r="L114">
        <v>84.302587878787904</v>
      </c>
      <c r="M114" s="16">
        <f>+'[3]VAR expectations'!C138</f>
        <v>3.4330399377282408</v>
      </c>
      <c r="N114">
        <v>-0.96369939332577004</v>
      </c>
      <c r="O114">
        <v>-0.39830475465660198</v>
      </c>
      <c r="P114">
        <v>285.86950000000007</v>
      </c>
      <c r="Q114">
        <v>71.750699999999995</v>
      </c>
      <c r="R114">
        <v>490.08380000000005</v>
      </c>
      <c r="S114">
        <v>113.14640000000001</v>
      </c>
      <c r="T114">
        <v>20.931000000000001</v>
      </c>
      <c r="U114">
        <v>18.218599999999999</v>
      </c>
      <c r="V114">
        <f t="shared" si="23"/>
        <v>152.29600000000002</v>
      </c>
      <c r="X114">
        <f t="shared" si="24"/>
        <v>0.77422368256398499</v>
      </c>
      <c r="Y114">
        <f t="shared" si="42"/>
        <v>1.4341899147630102</v>
      </c>
      <c r="Z114">
        <f t="shared" si="43"/>
        <v>0.27792919334065402</v>
      </c>
      <c r="AA114">
        <f t="shared" si="44"/>
        <v>0.90785120622896898</v>
      </c>
      <c r="AB114">
        <f t="shared" si="25"/>
        <v>0.7007548240399899</v>
      </c>
      <c r="AC114">
        <f t="shared" si="26"/>
        <v>0.27667750162733284</v>
      </c>
      <c r="AD114">
        <f t="shared" si="27"/>
        <v>3.357570501762666</v>
      </c>
      <c r="AE114">
        <f t="shared" si="28"/>
        <v>-5.4850582527033396</v>
      </c>
      <c r="AF114">
        <f t="shared" si="29"/>
        <v>0.43488240626800234</v>
      </c>
      <c r="AG114">
        <f t="shared" si="30"/>
        <v>-2.2044397268909943E-2</v>
      </c>
      <c r="AH114">
        <f t="shared" si="31"/>
        <v>1.3581971095571106</v>
      </c>
      <c r="AI114">
        <f t="shared" si="32"/>
        <v>0.4536863957579178</v>
      </c>
      <c r="AJ114">
        <f t="shared" si="33"/>
        <v>0.26241050237636987</v>
      </c>
      <c r="AK114">
        <f t="shared" si="34"/>
        <v>6.1313911207230287E-3</v>
      </c>
      <c r="AL114">
        <f t="shared" si="35"/>
        <v>0</v>
      </c>
      <c r="AM114">
        <f t="shared" si="36"/>
        <v>0</v>
      </c>
      <c r="AN114">
        <f t="shared" si="37"/>
        <v>0</v>
      </c>
      <c r="AO114">
        <f t="shared" si="38"/>
        <v>0</v>
      </c>
      <c r="AP114">
        <f t="shared" si="39"/>
        <v>0</v>
      </c>
      <c r="AQ114">
        <f t="shared" si="40"/>
        <v>0</v>
      </c>
      <c r="AR114">
        <f t="shared" si="41"/>
        <v>0</v>
      </c>
    </row>
    <row r="115" spans="1:44" x14ac:dyDescent="0.25">
      <c r="A115" s="15">
        <v>45657</v>
      </c>
      <c r="B115">
        <v>135.21692150454535</v>
      </c>
      <c r="C115">
        <v>138.73512918149299</v>
      </c>
      <c r="D115">
        <v>121.95064728995</v>
      </c>
      <c r="E115">
        <v>140.6494084587417</v>
      </c>
      <c r="F115">
        <v>137.18250796092101</v>
      </c>
      <c r="G115">
        <v>119.71565409241767</v>
      </c>
      <c r="H115">
        <v>182.63413734439936</v>
      </c>
      <c r="I115">
        <v>151.46663061603667</v>
      </c>
      <c r="J115">
        <v>135.17362578586099</v>
      </c>
      <c r="K115">
        <v>0.97624661192587803</v>
      </c>
      <c r="L115">
        <v>84.621425757575807</v>
      </c>
      <c r="M115" s="16">
        <f>+'[3]VAR expectations'!C139</f>
        <v>5.1936780789271362</v>
      </c>
      <c r="N115">
        <v>-0.58156090930256898</v>
      </c>
      <c r="O115">
        <v>0.16500605812762401</v>
      </c>
      <c r="P115">
        <v>285.86950000000007</v>
      </c>
      <c r="Q115">
        <v>71.750699999999995</v>
      </c>
      <c r="R115">
        <v>490.08380000000005</v>
      </c>
      <c r="S115">
        <v>113.14640000000001</v>
      </c>
      <c r="T115">
        <v>20.931000000000001</v>
      </c>
      <c r="U115">
        <v>18.218599999999999</v>
      </c>
      <c r="V115">
        <f t="shared" si="23"/>
        <v>152.29600000000002</v>
      </c>
      <c r="X115">
        <f t="shared" si="24"/>
        <v>1.1957819922670296</v>
      </c>
      <c r="Y115">
        <f t="shared" si="42"/>
        <v>1.4934516271689802</v>
      </c>
      <c r="Z115">
        <f t="shared" si="43"/>
        <v>0.68948551242334588</v>
      </c>
      <c r="AA115">
        <f t="shared" si="44"/>
        <v>1.5996149668940518</v>
      </c>
      <c r="AB115">
        <f t="shared" si="25"/>
        <v>1.2214628140296782</v>
      </c>
      <c r="AC115">
        <f t="shared" si="26"/>
        <v>0.82087253635133095</v>
      </c>
      <c r="AD115">
        <f t="shared" si="27"/>
        <v>4.5847330621020319</v>
      </c>
      <c r="AE115">
        <f t="shared" si="28"/>
        <v>2.8643616620896637</v>
      </c>
      <c r="AF115">
        <f t="shared" si="29"/>
        <v>1.3118760595990011</v>
      </c>
      <c r="AG115">
        <f t="shared" si="30"/>
        <v>2.1884868103350108E-3</v>
      </c>
      <c r="AH115">
        <f t="shared" si="31"/>
        <v>0.31883787878790315</v>
      </c>
      <c r="AI115">
        <f t="shared" si="32"/>
        <v>2.2219468253369397</v>
      </c>
      <c r="AJ115">
        <f t="shared" si="33"/>
        <v>0.38213848402320105</v>
      </c>
      <c r="AK115">
        <f t="shared" si="34"/>
        <v>0.56331081278422601</v>
      </c>
      <c r="AL115">
        <f t="shared" si="35"/>
        <v>0</v>
      </c>
      <c r="AM115">
        <f t="shared" si="36"/>
        <v>0</v>
      </c>
      <c r="AN115">
        <f t="shared" si="37"/>
        <v>0</v>
      </c>
      <c r="AO115">
        <f t="shared" si="38"/>
        <v>0</v>
      </c>
      <c r="AP115">
        <f t="shared" si="39"/>
        <v>0</v>
      </c>
      <c r="AQ115">
        <f t="shared" si="40"/>
        <v>0</v>
      </c>
      <c r="AR115">
        <f t="shared" si="41"/>
        <v>0</v>
      </c>
    </row>
    <row r="116" spans="1:44" x14ac:dyDescent="0.25">
      <c r="A116" s="15">
        <v>45747</v>
      </c>
      <c r="B116">
        <v>136.66636322417534</v>
      </c>
      <c r="C116">
        <v>140.36418737698366</v>
      </c>
      <c r="D116">
        <v>122.41564888421966</v>
      </c>
      <c r="E116">
        <v>142.83718215793434</v>
      </c>
      <c r="F116">
        <v>139.24581727100133</v>
      </c>
      <c r="G116">
        <v>121.28173307555301</v>
      </c>
      <c r="H116">
        <v>186.68218521967401</v>
      </c>
      <c r="I116">
        <v>153.63014026696965</v>
      </c>
      <c r="J116">
        <v>136.72048345699301</v>
      </c>
      <c r="K116">
        <v>0.99895086639782105</v>
      </c>
      <c r="L116">
        <v>84.062595312499994</v>
      </c>
      <c r="M116" s="16">
        <f>+'[3]VAR expectations'!C140</f>
        <v>6.6732619097853254</v>
      </c>
      <c r="N116">
        <v>-0.518303217993346</v>
      </c>
      <c r="O116">
        <v>0.107917584062745</v>
      </c>
      <c r="P116">
        <v>287.15600000000001</v>
      </c>
      <c r="Q116">
        <v>61.402300000000004</v>
      </c>
      <c r="R116">
        <v>500.89830000000001</v>
      </c>
      <c r="S116">
        <v>112.20923333333333</v>
      </c>
      <c r="T116">
        <v>19.879166666666666</v>
      </c>
      <c r="U116">
        <v>18.454999999999998</v>
      </c>
      <c r="V116">
        <f t="shared" si="23"/>
        <v>150.54340000000002</v>
      </c>
      <c r="X116">
        <f t="shared" si="24"/>
        <v>1.4494417196299878</v>
      </c>
      <c r="Y116">
        <f t="shared" si="42"/>
        <v>1.6290581954906713</v>
      </c>
      <c r="Z116">
        <f t="shared" si="43"/>
        <v>0.46500159426966547</v>
      </c>
      <c r="AA116">
        <f t="shared" si="44"/>
        <v>2.1877736991926326</v>
      </c>
      <c r="AB116">
        <f t="shared" si="25"/>
        <v>2.0633093100803137</v>
      </c>
      <c r="AC116">
        <f t="shared" si="26"/>
        <v>1.5660789831353412</v>
      </c>
      <c r="AD116">
        <f t="shared" si="27"/>
        <v>4.0480478752746478</v>
      </c>
      <c r="AE116">
        <f t="shared" si="28"/>
        <v>2.1635096509329799</v>
      </c>
      <c r="AF116">
        <f t="shared" si="29"/>
        <v>1.5468576711320168</v>
      </c>
      <c r="AG116">
        <f t="shared" si="30"/>
        <v>2.2704254471943019E-2</v>
      </c>
      <c r="AH116">
        <f t="shared" si="31"/>
        <v>-0.55883044507581303</v>
      </c>
      <c r="AI116">
        <f t="shared" si="32"/>
        <v>3.2044766322441984</v>
      </c>
      <c r="AJ116">
        <f t="shared" si="33"/>
        <v>6.3257691309222985E-2</v>
      </c>
      <c r="AK116">
        <f t="shared" si="34"/>
        <v>-5.7088474064879005E-2</v>
      </c>
      <c r="AL116">
        <f t="shared" si="35"/>
        <v>1.2864999999999327</v>
      </c>
      <c r="AM116">
        <f t="shared" si="36"/>
        <v>-10.348399999999991</v>
      </c>
      <c r="AN116">
        <f t="shared" si="37"/>
        <v>10.814499999999953</v>
      </c>
      <c r="AO116">
        <f t="shared" si="38"/>
        <v>-0.93716666666668402</v>
      </c>
      <c r="AP116">
        <f t="shared" si="39"/>
        <v>-1.0518333333333345</v>
      </c>
      <c r="AQ116">
        <f t="shared" si="40"/>
        <v>0.23639999999999972</v>
      </c>
      <c r="AR116">
        <f t="shared" si="41"/>
        <v>-1.752600000000001</v>
      </c>
    </row>
    <row r="117" spans="1:44" x14ac:dyDescent="0.25">
      <c r="A117" s="15">
        <v>45838</v>
      </c>
      <c r="B117">
        <v>137.87719142171133</v>
      </c>
      <c r="C117">
        <v>142.46948558894698</v>
      </c>
      <c r="D117">
        <v>122.76407304939568</v>
      </c>
      <c r="E117">
        <v>144.468705122405</v>
      </c>
      <c r="F117">
        <v>140.85289772657967</v>
      </c>
      <c r="G117">
        <v>123.38669147618701</v>
      </c>
      <c r="H117">
        <v>188.655395162697</v>
      </c>
      <c r="I117">
        <v>152.76916417597667</v>
      </c>
      <c r="J117">
        <v>138.03988302570099</v>
      </c>
      <c r="K117">
        <v>0.99251729977824699</v>
      </c>
      <c r="L117">
        <v>85.4313261538462</v>
      </c>
      <c r="M117" s="16">
        <f>+'[3]VAR expectations'!C141</f>
        <v>8.7447876447877011</v>
      </c>
      <c r="N117">
        <v>-8.0156162901135294E-2</v>
      </c>
      <c r="O117">
        <v>4.1047258462795402E-2</v>
      </c>
      <c r="P117">
        <v>286.36329999999998</v>
      </c>
      <c r="Q117">
        <v>61.652700000000003</v>
      </c>
      <c r="R117">
        <v>500.83539999999999</v>
      </c>
      <c r="S117">
        <v>112.5699</v>
      </c>
      <c r="T117">
        <v>20.052600000000002</v>
      </c>
      <c r="U117">
        <v>18.5261</v>
      </c>
      <c r="V117">
        <f t="shared" si="23"/>
        <v>151.14859999999999</v>
      </c>
      <c r="X117">
        <f t="shared" si="24"/>
        <v>1.2108281975359887</v>
      </c>
      <c r="Y117">
        <f t="shared" si="42"/>
        <v>2.1052982119633157</v>
      </c>
      <c r="Z117">
        <f t="shared" si="43"/>
        <v>0.34842416517601293</v>
      </c>
      <c r="AA117">
        <f t="shared" si="44"/>
        <v>1.6315229644706619</v>
      </c>
      <c r="AB117">
        <f t="shared" si="25"/>
        <v>1.6070804555783411</v>
      </c>
      <c r="AC117">
        <f t="shared" si="26"/>
        <v>2.1049584006340041</v>
      </c>
      <c r="AD117">
        <f t="shared" si="27"/>
        <v>1.9732099430229937</v>
      </c>
      <c r="AE117">
        <f t="shared" si="28"/>
        <v>-0.86097609099297756</v>
      </c>
      <c r="AF117">
        <f t="shared" si="29"/>
        <v>1.3193995687079791</v>
      </c>
      <c r="AG117">
        <f t="shared" si="30"/>
        <v>-6.4335666195740604E-3</v>
      </c>
      <c r="AH117">
        <f t="shared" si="31"/>
        <v>1.3687308413462063</v>
      </c>
      <c r="AI117">
        <f t="shared" si="32"/>
        <v>4.9425918563087521</v>
      </c>
      <c r="AJ117">
        <f t="shared" si="33"/>
        <v>0.43814705509221069</v>
      </c>
      <c r="AK117">
        <f t="shared" si="34"/>
        <v>-6.6870325599949598E-2</v>
      </c>
      <c r="AL117">
        <f t="shared" si="35"/>
        <v>-0.79270000000002483</v>
      </c>
      <c r="AM117">
        <f t="shared" si="36"/>
        <v>0.25039999999999907</v>
      </c>
      <c r="AN117">
        <f t="shared" si="37"/>
        <v>-6.2900000000013279E-2</v>
      </c>
      <c r="AO117">
        <f t="shared" si="38"/>
        <v>0.36066666666667402</v>
      </c>
      <c r="AP117">
        <f t="shared" si="39"/>
        <v>0.17343333333333533</v>
      </c>
      <c r="AQ117">
        <f t="shared" si="40"/>
        <v>7.1100000000001273E-2</v>
      </c>
      <c r="AR117">
        <f t="shared" si="41"/>
        <v>0.60519999999996799</v>
      </c>
    </row>
    <row r="118" spans="1:44" x14ac:dyDescent="0.25">
      <c r="A118" s="15">
        <v>45930</v>
      </c>
      <c r="B118">
        <v>139.09545717782768</v>
      </c>
      <c r="C118">
        <v>143.78240380057602</v>
      </c>
      <c r="D118">
        <v>123.18031748475732</v>
      </c>
      <c r="E118">
        <v>146.14273136936666</v>
      </c>
      <c r="F118">
        <v>142.54855925628667</v>
      </c>
      <c r="G118">
        <v>123.57445647162565</v>
      </c>
      <c r="H118">
        <v>192.27285372944732</v>
      </c>
      <c r="I118">
        <v>152.42786105279069</v>
      </c>
      <c r="J118">
        <v>138.929155953021</v>
      </c>
      <c r="K118">
        <v>0.98609274706816596</v>
      </c>
      <c r="L118">
        <v>85.000674242424196</v>
      </c>
      <c r="M118" s="16">
        <f>+'[3]VAR expectations'!C142</f>
        <v>8.9090090090090914</v>
      </c>
      <c r="N118">
        <v>0.17385582924148901</v>
      </c>
      <c r="O118">
        <v>-0.14024893238342001</v>
      </c>
      <c r="P118">
        <v>286.36329999999998</v>
      </c>
      <c r="Q118">
        <v>61.652700000000003</v>
      </c>
      <c r="R118">
        <v>500.83539999999999</v>
      </c>
      <c r="S118">
        <v>112.5699</v>
      </c>
      <c r="T118">
        <v>20.052600000000002</v>
      </c>
      <c r="U118">
        <v>18.5261</v>
      </c>
      <c r="V118">
        <f t="shared" si="23"/>
        <v>151.14859999999999</v>
      </c>
      <c r="X118">
        <f t="shared" si="24"/>
        <v>1.2182657561163523</v>
      </c>
      <c r="Y118">
        <f t="shared" si="42"/>
        <v>1.3129182116290394</v>
      </c>
      <c r="Z118">
        <f t="shared" si="43"/>
        <v>0.4162444353616479</v>
      </c>
      <c r="AA118">
        <f t="shared" si="44"/>
        <v>1.6740262469616596</v>
      </c>
      <c r="AB118">
        <f t="shared" si="25"/>
        <v>1.6956615297069959</v>
      </c>
      <c r="AC118">
        <f t="shared" si="26"/>
        <v>0.18776499543864134</v>
      </c>
      <c r="AD118">
        <f t="shared" si="27"/>
        <v>3.6174585667503152</v>
      </c>
      <c r="AE118">
        <f t="shared" si="28"/>
        <v>-0.34130312318598044</v>
      </c>
      <c r="AF118">
        <f t="shared" si="29"/>
        <v>0.88927292732000751</v>
      </c>
      <c r="AG118">
        <f t="shared" si="30"/>
        <v>-6.4245527100810218E-3</v>
      </c>
      <c r="AH118">
        <f t="shared" si="31"/>
        <v>-0.43065191142200376</v>
      </c>
      <c r="AI118">
        <f t="shared" si="32"/>
        <v>4.8979663977574104</v>
      </c>
      <c r="AJ118">
        <f t="shared" si="33"/>
        <v>0.25401199214262432</v>
      </c>
      <c r="AK118">
        <f t="shared" si="34"/>
        <v>-0.1812961908462154</v>
      </c>
      <c r="AL118">
        <f t="shared" si="35"/>
        <v>0</v>
      </c>
      <c r="AM118">
        <f t="shared" si="36"/>
        <v>0</v>
      </c>
      <c r="AN118">
        <f t="shared" si="37"/>
        <v>0</v>
      </c>
      <c r="AO118">
        <f t="shared" si="38"/>
        <v>0</v>
      </c>
      <c r="AP118">
        <f t="shared" si="39"/>
        <v>0</v>
      </c>
      <c r="AQ118">
        <f t="shared" si="40"/>
        <v>0</v>
      </c>
      <c r="AR118">
        <f t="shared" si="41"/>
        <v>0</v>
      </c>
    </row>
    <row r="119" spans="1:44" x14ac:dyDescent="0.25">
      <c r="A119" s="15">
        <v>46022</v>
      </c>
      <c r="B119">
        <v>139.84769778751667</v>
      </c>
      <c r="C119">
        <v>144.98449505097366</v>
      </c>
      <c r="D119">
        <v>123.40676558081833</v>
      </c>
      <c r="E119">
        <v>147.21304703282601</v>
      </c>
      <c r="F119">
        <v>143.43158365664303</v>
      </c>
      <c r="G119">
        <v>124.406993625732</v>
      </c>
      <c r="H119">
        <v>193.70000748203401</v>
      </c>
      <c r="I119">
        <v>154.36457447399667</v>
      </c>
      <c r="J119">
        <v>139.784107563296</v>
      </c>
      <c r="K119">
        <v>1.0048143678035899</v>
      </c>
      <c r="L119">
        <v>84.160324242424196</v>
      </c>
      <c r="M119" s="16">
        <f>+'[3]VAR expectations'!C143</f>
        <v>7.2128482156615119</v>
      </c>
      <c r="N119">
        <v>0.1119962</v>
      </c>
      <c r="O119">
        <v>9.7460178220928104E-2</v>
      </c>
      <c r="P119">
        <v>286.36329999999998</v>
      </c>
      <c r="Q119">
        <v>61.652700000000003</v>
      </c>
      <c r="R119">
        <v>500.83539999999999</v>
      </c>
      <c r="S119">
        <v>112.5699</v>
      </c>
      <c r="T119">
        <v>20.052600000000002</v>
      </c>
      <c r="U119">
        <v>18.5261</v>
      </c>
      <c r="V119">
        <f t="shared" si="23"/>
        <v>151.14859999999999</v>
      </c>
      <c r="X119">
        <f t="shared" si="24"/>
        <v>0.75224060968898243</v>
      </c>
      <c r="Y119">
        <f t="shared" si="42"/>
        <v>1.2020912503976433</v>
      </c>
      <c r="Z119">
        <f t="shared" si="43"/>
        <v>0.2264480960610058</v>
      </c>
      <c r="AA119">
        <f t="shared" si="44"/>
        <v>1.070315663459354</v>
      </c>
      <c r="AB119">
        <f t="shared" si="25"/>
        <v>0.88302440035636209</v>
      </c>
      <c r="AC119">
        <f t="shared" si="26"/>
        <v>0.83253715410634754</v>
      </c>
      <c r="AD119">
        <f t="shared" si="27"/>
        <v>1.4271537525866904</v>
      </c>
      <c r="AE119">
        <f t="shared" si="28"/>
        <v>1.9367134212059796</v>
      </c>
      <c r="AF119">
        <f t="shared" si="29"/>
        <v>0.85495161027500899</v>
      </c>
      <c r="AG119">
        <f t="shared" si="30"/>
        <v>1.8721620735423938E-2</v>
      </c>
      <c r="AH119">
        <f t="shared" si="31"/>
        <v>-0.84035000000000082</v>
      </c>
      <c r="AI119">
        <f t="shared" si="32"/>
        <v>3.2437374066230094</v>
      </c>
      <c r="AJ119">
        <f t="shared" si="33"/>
        <v>-6.1859629241489009E-2</v>
      </c>
      <c r="AK119">
        <f t="shared" si="34"/>
        <v>0.23770911060434813</v>
      </c>
      <c r="AL119">
        <f t="shared" si="35"/>
        <v>0</v>
      </c>
      <c r="AM119">
        <f t="shared" si="36"/>
        <v>0</v>
      </c>
      <c r="AN119">
        <f t="shared" si="37"/>
        <v>0</v>
      </c>
      <c r="AO119">
        <f t="shared" si="38"/>
        <v>0</v>
      </c>
      <c r="AP119">
        <f t="shared" si="39"/>
        <v>0</v>
      </c>
      <c r="AQ119">
        <f t="shared" si="40"/>
        <v>0</v>
      </c>
      <c r="AR119">
        <f t="shared" si="41"/>
        <v>0</v>
      </c>
    </row>
    <row r="120" spans="1:44" x14ac:dyDescent="0.25">
      <c r="A120" s="15">
        <v>46112</v>
      </c>
      <c r="B120">
        <v>140.89011318576533</v>
      </c>
      <c r="C120">
        <v>146.55774137733101</v>
      </c>
      <c r="D120">
        <v>123.576506834233</v>
      </c>
      <c r="E120">
        <v>147.97730557310334</v>
      </c>
      <c r="F120">
        <v>144.19076339892868</v>
      </c>
      <c r="G120">
        <v>123.052083490431</v>
      </c>
      <c r="H120">
        <v>198.54377838412969</v>
      </c>
      <c r="I120">
        <v>155.57223430815199</v>
      </c>
      <c r="J120">
        <v>140.96859532877701</v>
      </c>
      <c r="K120">
        <v>1.0026831227361801</v>
      </c>
      <c r="L120">
        <v>84.782439062500004</v>
      </c>
      <c r="M120" s="16">
        <f>+'[3]VAR expectations'!C144</f>
        <v>5.4496808271530108</v>
      </c>
      <c r="N120">
        <v>8.20304116706497E-2</v>
      </c>
      <c r="O120">
        <v>8.1472436362840003E-2</v>
      </c>
      <c r="P120">
        <v>277.11993333333328</v>
      </c>
      <c r="Q120">
        <v>58.344600000000007</v>
      </c>
      <c r="R120">
        <v>518.13319999999987</v>
      </c>
      <c r="S120">
        <v>109.45673333333333</v>
      </c>
      <c r="T120">
        <v>20.782733333333333</v>
      </c>
      <c r="U120">
        <v>16.162800000000001</v>
      </c>
      <c r="V120">
        <f t="shared" si="23"/>
        <v>146.40226666666666</v>
      </c>
      <c r="X120">
        <f t="shared" si="24"/>
        <v>1.0424153982486644</v>
      </c>
      <c r="Y120">
        <f t="shared" si="42"/>
        <v>1.5732463263573493</v>
      </c>
      <c r="Z120">
        <f t="shared" si="43"/>
        <v>0.16974125341467072</v>
      </c>
      <c r="AA120">
        <f t="shared" si="44"/>
        <v>0.76425854027732498</v>
      </c>
      <c r="AB120">
        <f t="shared" si="25"/>
        <v>0.75917974228565299</v>
      </c>
      <c r="AC120">
        <f t="shared" si="26"/>
        <v>-1.3549101353009974</v>
      </c>
      <c r="AD120">
        <f t="shared" si="27"/>
        <v>4.8437709020956845</v>
      </c>
      <c r="AE120">
        <f t="shared" si="28"/>
        <v>1.2076598341553222</v>
      </c>
      <c r="AF120">
        <f t="shared" si="29"/>
        <v>1.1844877654810091</v>
      </c>
      <c r="AG120">
        <f t="shared" si="30"/>
        <v>-2.1312450674098038E-3</v>
      </c>
      <c r="AH120">
        <f t="shared" si="31"/>
        <v>0.62211482007580798</v>
      </c>
      <c r="AI120">
        <f t="shared" si="32"/>
        <v>1.6026240921737314</v>
      </c>
      <c r="AJ120">
        <f t="shared" si="33"/>
        <v>-2.9965788329350304E-2</v>
      </c>
      <c r="AK120">
        <f t="shared" si="34"/>
        <v>-1.59877418580881E-2</v>
      </c>
      <c r="AL120">
        <f t="shared" si="35"/>
        <v>-9.2433666666667023</v>
      </c>
      <c r="AM120">
        <f t="shared" si="36"/>
        <v>-3.308099999999996</v>
      </c>
      <c r="AN120">
        <f t="shared" si="37"/>
        <v>17.297799999999881</v>
      </c>
      <c r="AO120">
        <f t="shared" si="38"/>
        <v>-3.1131666666666717</v>
      </c>
      <c r="AP120">
        <f t="shared" si="39"/>
        <v>0.73013333333333108</v>
      </c>
      <c r="AQ120">
        <f t="shared" si="40"/>
        <v>-2.3632999999999988</v>
      </c>
      <c r="AR120">
        <f t="shared" si="41"/>
        <v>-4.7463333333333253</v>
      </c>
    </row>
    <row r="121" spans="1:44" x14ac:dyDescent="0.25">
      <c r="A121" s="15">
        <v>46203</v>
      </c>
      <c r="B121">
        <v>142.17688398956633</v>
      </c>
      <c r="C121">
        <v>147.61775133787967</v>
      </c>
      <c r="D121">
        <v>123.96744171654666</v>
      </c>
      <c r="E121">
        <v>149.50397975256399</v>
      </c>
      <c r="F121">
        <v>145.93077251103333</v>
      </c>
      <c r="G121">
        <v>123.61603258953666</v>
      </c>
      <c r="H121">
        <v>201.25939295992498</v>
      </c>
      <c r="I121">
        <v>165.17818160477432</v>
      </c>
      <c r="J121">
        <v>142.34484745777499</v>
      </c>
      <c r="K121">
        <v>1.03470568254168</v>
      </c>
      <c r="L121">
        <v>83.852547542572495</v>
      </c>
      <c r="M121" s="16">
        <f>+'[3]VAR expectations'!C145</f>
        <v>4.9659010810981856</v>
      </c>
      <c r="N121">
        <v>0.46770181567943597</v>
      </c>
      <c r="O121">
        <v>0.41784976947829</v>
      </c>
      <c r="P121">
        <v>276.51159999999993</v>
      </c>
      <c r="Q121">
        <v>58.350900000000003</v>
      </c>
      <c r="R121">
        <v>518.36659999999995</v>
      </c>
      <c r="S121">
        <v>109.60590000000001</v>
      </c>
      <c r="T121">
        <v>20.937899999999999</v>
      </c>
      <c r="U121">
        <v>16.2271</v>
      </c>
      <c r="V121">
        <f t="shared" si="23"/>
        <v>146.77090000000001</v>
      </c>
      <c r="X121">
        <f t="shared" si="24"/>
        <v>1.2867708038010051</v>
      </c>
      <c r="Y121">
        <f t="shared" si="42"/>
        <v>1.0600099605486548</v>
      </c>
      <c r="Z121">
        <f t="shared" si="43"/>
        <v>0.39093488231365825</v>
      </c>
      <c r="AA121">
        <f t="shared" si="44"/>
        <v>1.526674179460656</v>
      </c>
      <c r="AB121">
        <f t="shared" si="25"/>
        <v>1.7400091121046444</v>
      </c>
      <c r="AC121">
        <f t="shared" si="26"/>
        <v>0.56394909910565616</v>
      </c>
      <c r="AD121">
        <f t="shared" si="27"/>
        <v>2.7156145757952856</v>
      </c>
      <c r="AE121">
        <f t="shared" si="28"/>
        <v>9.6059472966223325</v>
      </c>
      <c r="AF121">
        <f t="shared" si="29"/>
        <v>1.3762521289979759</v>
      </c>
      <c r="AG121">
        <f t="shared" si="30"/>
        <v>3.2022559805499951E-2</v>
      </c>
      <c r="AH121">
        <f t="shared" si="31"/>
        <v>-0.92989151992750863</v>
      </c>
      <c r="AI121">
        <f t="shared" si="32"/>
        <v>0.80199195197642226</v>
      </c>
      <c r="AJ121">
        <f t="shared" si="33"/>
        <v>0.3856714040087863</v>
      </c>
      <c r="AK121">
        <f t="shared" si="34"/>
        <v>0.33637733311544998</v>
      </c>
      <c r="AL121">
        <f t="shared" si="35"/>
        <v>-0.60833333333334849</v>
      </c>
      <c r="AM121">
        <f t="shared" si="36"/>
        <v>6.2999999999959755E-3</v>
      </c>
      <c r="AN121">
        <f t="shared" si="37"/>
        <v>0.23340000000007421</v>
      </c>
      <c r="AO121">
        <f t="shared" si="38"/>
        <v>0.14916666666667311</v>
      </c>
      <c r="AP121">
        <f t="shared" si="39"/>
        <v>0.15516666666666623</v>
      </c>
      <c r="AQ121">
        <f t="shared" si="40"/>
        <v>6.4299999999999358E-2</v>
      </c>
      <c r="AR121">
        <f t="shared" si="41"/>
        <v>0.36863333333334936</v>
      </c>
    </row>
    <row r="122" spans="1:44" x14ac:dyDescent="0.25">
      <c r="A122" s="15">
        <v>46295</v>
      </c>
      <c r="B122">
        <v>143.739508018078</v>
      </c>
      <c r="C122">
        <v>148.92058350320198</v>
      </c>
      <c r="D122">
        <v>124.47896005002734</v>
      </c>
      <c r="E122">
        <v>151.74457930821367</v>
      </c>
      <c r="F122">
        <v>148.39397242089967</v>
      </c>
      <c r="G122">
        <v>124.52848919332399</v>
      </c>
      <c r="H122">
        <v>203.06582905204769</v>
      </c>
      <c r="I122">
        <v>168.52415136763133</v>
      </c>
      <c r="J122">
        <v>143.576397728773</v>
      </c>
      <c r="K122">
        <v>1.03126921064787</v>
      </c>
      <c r="L122">
        <v>83.739870212059401</v>
      </c>
      <c r="M122" s="16">
        <f>+'[3]VAR expectations'!C146</f>
        <v>4.3007323969777262</v>
      </c>
      <c r="N122">
        <v>0.62946641974350404</v>
      </c>
      <c r="O122">
        <v>2.7533676138149901E-2</v>
      </c>
      <c r="P122">
        <v>276.51159999999993</v>
      </c>
      <c r="Q122">
        <v>58.350900000000003</v>
      </c>
      <c r="R122">
        <v>518.36659999999995</v>
      </c>
      <c r="S122">
        <v>109.60590000000001</v>
      </c>
      <c r="T122">
        <v>20.937899999999999</v>
      </c>
      <c r="U122">
        <v>16.2271</v>
      </c>
      <c r="V122">
        <f t="shared" si="23"/>
        <v>146.77090000000001</v>
      </c>
      <c r="X122">
        <f t="shared" si="24"/>
        <v>1.5626240285116637</v>
      </c>
      <c r="Y122">
        <f t="shared" si="42"/>
        <v>1.3028321653223145</v>
      </c>
      <c r="Z122">
        <f t="shared" si="43"/>
        <v>0.5115183334806801</v>
      </c>
      <c r="AA122">
        <f t="shared" si="44"/>
        <v>2.2405995556496805</v>
      </c>
      <c r="AB122">
        <f t="shared" si="25"/>
        <v>2.4631999098663471</v>
      </c>
      <c r="AC122">
        <f t="shared" si="26"/>
        <v>0.91245660378733362</v>
      </c>
      <c r="AD122">
        <f t="shared" si="27"/>
        <v>1.8064360921227092</v>
      </c>
      <c r="AE122">
        <f t="shared" si="28"/>
        <v>3.3459697628570098</v>
      </c>
      <c r="AF122">
        <f t="shared" si="29"/>
        <v>1.2315502709980137</v>
      </c>
      <c r="AG122">
        <f t="shared" si="30"/>
        <v>-3.4364718938100225E-3</v>
      </c>
      <c r="AH122">
        <f t="shared" si="31"/>
        <v>-0.11267733051309392</v>
      </c>
      <c r="AI122">
        <f t="shared" si="32"/>
        <v>-1.109732722438963</v>
      </c>
      <c r="AJ122">
        <f t="shared" si="33"/>
        <v>0.16176460406406806</v>
      </c>
      <c r="AK122">
        <f t="shared" si="34"/>
        <v>-0.39031609334014011</v>
      </c>
      <c r="AL122">
        <f t="shared" si="35"/>
        <v>0</v>
      </c>
      <c r="AM122">
        <f t="shared" si="36"/>
        <v>0</v>
      </c>
      <c r="AN122">
        <f t="shared" si="37"/>
        <v>0</v>
      </c>
      <c r="AO122">
        <f t="shared" si="38"/>
        <v>0</v>
      </c>
      <c r="AP122">
        <f t="shared" si="39"/>
        <v>0</v>
      </c>
      <c r="AQ122">
        <f t="shared" si="40"/>
        <v>0</v>
      </c>
      <c r="AR122">
        <f t="shared" si="41"/>
        <v>0</v>
      </c>
    </row>
    <row r="123" spans="1:44" x14ac:dyDescent="0.25">
      <c r="A123" s="15">
        <v>46387</v>
      </c>
      <c r="B123">
        <v>144.99550409639835</v>
      </c>
      <c r="C123">
        <v>150.69589000548399</v>
      </c>
      <c r="D123">
        <v>125.00435843674568</v>
      </c>
      <c r="E123">
        <v>155.70181660089335</v>
      </c>
      <c r="F123">
        <v>151.43452849278165</v>
      </c>
      <c r="G123">
        <v>124.92840642016832</v>
      </c>
      <c r="H123">
        <v>220.13614424077198</v>
      </c>
      <c r="I123">
        <v>166.03112379057998</v>
      </c>
      <c r="J123">
        <v>144.90812892177101</v>
      </c>
      <c r="K123">
        <v>1.02108565765283</v>
      </c>
      <c r="L123">
        <v>83.626772015095</v>
      </c>
      <c r="M123" s="16">
        <f>+'[3]VAR expectations'!C147</f>
        <v>3.8582721147576735</v>
      </c>
      <c r="N123">
        <v>0.43966995093679601</v>
      </c>
      <c r="O123">
        <v>-8.6012428087150206E-2</v>
      </c>
      <c r="P123">
        <v>276.51159999999993</v>
      </c>
      <c r="Q123">
        <v>58.350900000000003</v>
      </c>
      <c r="R123">
        <v>518.36659999999995</v>
      </c>
      <c r="S123">
        <v>109.60590000000001</v>
      </c>
      <c r="T123">
        <v>20.937899999999999</v>
      </c>
      <c r="U123">
        <v>16.2271</v>
      </c>
      <c r="V123">
        <f t="shared" si="23"/>
        <v>146.77090000000001</v>
      </c>
      <c r="X123">
        <f t="shared" si="24"/>
        <v>1.2559960783203508</v>
      </c>
      <c r="Y123">
        <f t="shared" si="42"/>
        <v>1.7753065022820067</v>
      </c>
      <c r="Z123">
        <f t="shared" si="43"/>
        <v>0.5253983867183365</v>
      </c>
      <c r="AA123">
        <f t="shared" si="44"/>
        <v>3.9572372926796788</v>
      </c>
      <c r="AB123">
        <f t="shared" si="25"/>
        <v>3.04055607188198</v>
      </c>
      <c r="AC123">
        <f t="shared" si="26"/>
        <v>0.39991722684432318</v>
      </c>
      <c r="AD123">
        <f t="shared" si="27"/>
        <v>17.070315188724294</v>
      </c>
      <c r="AE123">
        <f t="shared" si="28"/>
        <v>-2.4930275770513504</v>
      </c>
      <c r="AF123">
        <f t="shared" si="29"/>
        <v>1.3317311929980065</v>
      </c>
      <c r="AG123">
        <f t="shared" si="30"/>
        <v>-1.0183552995040035E-2</v>
      </c>
      <c r="AH123">
        <f t="shared" si="31"/>
        <v>-0.11309819696440115</v>
      </c>
      <c r="AI123">
        <f t="shared" si="32"/>
        <v>-1.0556975452623054</v>
      </c>
      <c r="AJ123">
        <f t="shared" si="33"/>
        <v>-0.18979646880670803</v>
      </c>
      <c r="AK123">
        <f t="shared" si="34"/>
        <v>-0.11354610422530011</v>
      </c>
      <c r="AL123">
        <f t="shared" si="35"/>
        <v>0</v>
      </c>
      <c r="AM123">
        <f t="shared" si="36"/>
        <v>0</v>
      </c>
      <c r="AN123">
        <f t="shared" si="37"/>
        <v>0</v>
      </c>
      <c r="AO123">
        <f t="shared" si="38"/>
        <v>0</v>
      </c>
      <c r="AP123">
        <f t="shared" si="39"/>
        <v>0</v>
      </c>
      <c r="AQ123">
        <f t="shared" si="40"/>
        <v>0</v>
      </c>
      <c r="AR123">
        <f t="shared" si="41"/>
        <v>0</v>
      </c>
    </row>
    <row r="124" spans="1:44" x14ac:dyDescent="0.25">
      <c r="A124" s="15">
        <v>46477</v>
      </c>
      <c r="I124">
        <v>164.99159620008598</v>
      </c>
      <c r="J124">
        <v>145.85027265183999</v>
      </c>
      <c r="K124">
        <v>1.0159086217453499</v>
      </c>
      <c r="L124">
        <v>83.511782227374596</v>
      </c>
      <c r="M124" s="16">
        <f>+'[3]VAR expectations'!C148</f>
        <v>3.6255376960251078</v>
      </c>
      <c r="N124">
        <v>0.35352551299761398</v>
      </c>
      <c r="O124">
        <v>1.8190339041983299E-4</v>
      </c>
      <c r="P124">
        <v>277.11993333333328</v>
      </c>
      <c r="Q124">
        <v>58.344600000000007</v>
      </c>
      <c r="R124">
        <v>518.13319999999987</v>
      </c>
      <c r="S124">
        <v>109.45673333333333</v>
      </c>
      <c r="T124">
        <v>20.782733333333333</v>
      </c>
      <c r="U124">
        <v>16.162800000000001</v>
      </c>
      <c r="V124">
        <f t="shared" si="23"/>
        <v>146.40226666666666</v>
      </c>
      <c r="X124">
        <f t="shared" si="24"/>
        <v>-144.99550409639835</v>
      </c>
      <c r="Y124">
        <f t="shared" si="42"/>
        <v>-150.69589000548399</v>
      </c>
      <c r="Z124">
        <f t="shared" si="43"/>
        <v>-125.00435843674568</v>
      </c>
      <c r="AA124">
        <f t="shared" si="44"/>
        <v>-155.70181660089335</v>
      </c>
      <c r="AB124">
        <f t="shared" si="25"/>
        <v>-151.43452849278165</v>
      </c>
      <c r="AC124">
        <f t="shared" si="26"/>
        <v>-124.92840642016832</v>
      </c>
      <c r="AD124">
        <f t="shared" si="27"/>
        <v>-220.13614424077198</v>
      </c>
      <c r="AE124">
        <f t="shared" si="28"/>
        <v>-1.0395275904940036</v>
      </c>
      <c r="AF124">
        <f t="shared" si="29"/>
        <v>0.94214373006897745</v>
      </c>
      <c r="AG124">
        <f t="shared" si="30"/>
        <v>-5.1770359074800876E-3</v>
      </c>
      <c r="AH124">
        <f t="shared" si="31"/>
        <v>-0.11498978772040402</v>
      </c>
      <c r="AI124">
        <f t="shared" si="32"/>
        <v>-0.3756135138450607</v>
      </c>
      <c r="AJ124">
        <f t="shared" si="33"/>
        <v>-8.6144437939182028E-2</v>
      </c>
      <c r="AK124">
        <f t="shared" si="34"/>
        <v>8.6194331477570038E-2</v>
      </c>
      <c r="AL124">
        <f t="shared" si="35"/>
        <v>0.60833333333334849</v>
      </c>
      <c r="AM124">
        <f t="shared" si="36"/>
        <v>-6.2999999999959755E-3</v>
      </c>
      <c r="AN124">
        <f t="shared" si="37"/>
        <v>-0.23340000000007421</v>
      </c>
      <c r="AO124">
        <f t="shared" si="38"/>
        <v>-0.14916666666667311</v>
      </c>
      <c r="AP124">
        <f t="shared" si="39"/>
        <v>-0.15516666666666623</v>
      </c>
      <c r="AQ124">
        <f t="shared" si="40"/>
        <v>-6.4299999999999358E-2</v>
      </c>
      <c r="AR124">
        <f t="shared" si="41"/>
        <v>-0.36863333333334936</v>
      </c>
    </row>
    <row r="125" spans="1:44" x14ac:dyDescent="0.25">
      <c r="A125" s="15">
        <v>46568</v>
      </c>
      <c r="I125">
        <v>162.6478364146233</v>
      </c>
      <c r="J125">
        <v>146.61458563050601</v>
      </c>
      <c r="K125">
        <v>1.0126519664022899</v>
      </c>
      <c r="L125">
        <v>83.394217743676407</v>
      </c>
      <c r="M125" s="16">
        <f>+'[3]VAR expectations'!C149</f>
        <v>2.979353541970323</v>
      </c>
      <c r="N125">
        <v>-0.10110608693769101</v>
      </c>
      <c r="O125">
        <v>-3.4253926787450102E-2</v>
      </c>
      <c r="P125">
        <v>276.51159999999993</v>
      </c>
      <c r="Q125">
        <v>58.350900000000003</v>
      </c>
      <c r="R125">
        <v>518.36659999999995</v>
      </c>
      <c r="S125">
        <v>109.60590000000001</v>
      </c>
      <c r="T125">
        <v>20.937899999999999</v>
      </c>
      <c r="U125">
        <v>16.2271</v>
      </c>
      <c r="V125">
        <f t="shared" si="23"/>
        <v>146.77090000000001</v>
      </c>
      <c r="X125">
        <f t="shared" si="24"/>
        <v>0</v>
      </c>
      <c r="Y125">
        <f t="shared" si="42"/>
        <v>0</v>
      </c>
      <c r="Z125">
        <f t="shared" si="43"/>
        <v>0</v>
      </c>
      <c r="AA125">
        <f t="shared" si="44"/>
        <v>0</v>
      </c>
      <c r="AB125">
        <f t="shared" si="25"/>
        <v>0</v>
      </c>
      <c r="AC125">
        <f t="shared" si="26"/>
        <v>0</v>
      </c>
      <c r="AD125">
        <f t="shared" si="27"/>
        <v>0</v>
      </c>
      <c r="AE125">
        <f t="shared" si="28"/>
        <v>-2.3437597854626802</v>
      </c>
      <c r="AF125">
        <f t="shared" si="29"/>
        <v>0.76431297866602677</v>
      </c>
      <c r="AG125">
        <f t="shared" si="30"/>
        <v>-3.2566553430599665E-3</v>
      </c>
      <c r="AH125">
        <f t="shared" si="31"/>
        <v>-0.11756448369818884</v>
      </c>
      <c r="AI125">
        <f t="shared" si="32"/>
        <v>-0.39217652484736121</v>
      </c>
      <c r="AJ125">
        <f t="shared" si="33"/>
        <v>-0.454631599935305</v>
      </c>
      <c r="AK125">
        <f t="shared" si="34"/>
        <v>-3.4435830177869949E-2</v>
      </c>
      <c r="AL125">
        <f t="shared" si="35"/>
        <v>-0.60833333333334849</v>
      </c>
      <c r="AM125">
        <f t="shared" si="36"/>
        <v>6.2999999999959755E-3</v>
      </c>
      <c r="AN125">
        <f t="shared" si="37"/>
        <v>0.23340000000007421</v>
      </c>
      <c r="AO125">
        <f t="shared" si="38"/>
        <v>0.14916666666667311</v>
      </c>
      <c r="AP125">
        <f t="shared" si="39"/>
        <v>0.15516666666666623</v>
      </c>
      <c r="AQ125">
        <f t="shared" si="40"/>
        <v>6.4299999999999358E-2</v>
      </c>
      <c r="AR125">
        <f t="shared" si="41"/>
        <v>0.36863333333334936</v>
      </c>
    </row>
    <row r="126" spans="1:44" x14ac:dyDescent="0.25">
      <c r="A126" s="15">
        <v>46660</v>
      </c>
      <c r="I126">
        <v>161.60506776520634</v>
      </c>
      <c r="J126">
        <v>147.160073363885</v>
      </c>
      <c r="K126">
        <v>1.01034866830139</v>
      </c>
      <c r="L126">
        <v>83.272276764652105</v>
      </c>
      <c r="M126" s="16">
        <f>+'[3]VAR expectations'!C150</f>
        <v>2.9717312535901965</v>
      </c>
      <c r="N126">
        <v>-0.23265208863300799</v>
      </c>
      <c r="O126">
        <v>-0.10587901821204999</v>
      </c>
      <c r="P126">
        <v>276.51159999999993</v>
      </c>
      <c r="Q126">
        <v>58.350900000000003</v>
      </c>
      <c r="R126">
        <v>518.36659999999995</v>
      </c>
      <c r="S126">
        <v>109.60590000000001</v>
      </c>
      <c r="T126">
        <v>20.937899999999999</v>
      </c>
      <c r="U126">
        <v>16.2271</v>
      </c>
      <c r="V126">
        <f t="shared" si="23"/>
        <v>146.77090000000001</v>
      </c>
      <c r="X126">
        <f t="shared" si="24"/>
        <v>0</v>
      </c>
      <c r="Y126">
        <f t="shared" si="42"/>
        <v>0</v>
      </c>
      <c r="Z126">
        <f t="shared" si="43"/>
        <v>0</v>
      </c>
      <c r="AA126">
        <f t="shared" si="44"/>
        <v>0</v>
      </c>
      <c r="AB126">
        <f t="shared" si="25"/>
        <v>0</v>
      </c>
      <c r="AC126">
        <f t="shared" si="26"/>
        <v>0</v>
      </c>
      <c r="AD126">
        <f t="shared" si="27"/>
        <v>0</v>
      </c>
      <c r="AE126">
        <f t="shared" si="28"/>
        <v>-1.0427686494169564</v>
      </c>
      <c r="AF126">
        <f t="shared" si="29"/>
        <v>0.54548773337899092</v>
      </c>
      <c r="AG126">
        <f t="shared" si="30"/>
        <v>-2.3032981008999087E-3</v>
      </c>
      <c r="AH126">
        <f t="shared" si="31"/>
        <v>-0.12194097902430201</v>
      </c>
      <c r="AI126">
        <f t="shared" si="32"/>
        <v>3.9759708676787575E-2</v>
      </c>
      <c r="AJ126">
        <f t="shared" si="33"/>
        <v>-0.13154600169531699</v>
      </c>
      <c r="AK126">
        <f t="shared" si="34"/>
        <v>-7.1625091424599885E-2</v>
      </c>
      <c r="AL126">
        <f t="shared" si="35"/>
        <v>0</v>
      </c>
      <c r="AM126">
        <f t="shared" si="36"/>
        <v>0</v>
      </c>
      <c r="AN126">
        <f t="shared" si="37"/>
        <v>0</v>
      </c>
      <c r="AO126">
        <f t="shared" si="38"/>
        <v>0</v>
      </c>
      <c r="AP126">
        <f t="shared" si="39"/>
        <v>0</v>
      </c>
      <c r="AQ126">
        <f t="shared" si="40"/>
        <v>0</v>
      </c>
      <c r="AR126">
        <f t="shared" si="41"/>
        <v>0</v>
      </c>
    </row>
    <row r="127" spans="1:44" x14ac:dyDescent="0.25">
      <c r="A127" s="15">
        <v>46752</v>
      </c>
      <c r="I127">
        <v>159.57272865145001</v>
      </c>
      <c r="J127">
        <v>147.70275880738399</v>
      </c>
      <c r="K127">
        <v>1.00825272538385</v>
      </c>
      <c r="L127">
        <v>83.146696505323803</v>
      </c>
      <c r="M127" s="16">
        <f>+'[3]VAR expectations'!C151</f>
        <v>3.468785277541127</v>
      </c>
      <c r="N127">
        <v>-0.22557547231543701</v>
      </c>
      <c r="O127">
        <v>-8.0643982069679904E-2</v>
      </c>
      <c r="P127">
        <v>276.51159999999993</v>
      </c>
      <c r="Q127">
        <v>58.350900000000003</v>
      </c>
      <c r="R127">
        <v>518.36659999999995</v>
      </c>
      <c r="S127">
        <v>109.60590000000001</v>
      </c>
      <c r="T127">
        <v>20.937899999999999</v>
      </c>
      <c r="U127">
        <v>16.2271</v>
      </c>
      <c r="V127">
        <f t="shared" si="23"/>
        <v>146.77090000000001</v>
      </c>
      <c r="X127">
        <f t="shared" si="24"/>
        <v>0</v>
      </c>
      <c r="Y127">
        <f t="shared" si="42"/>
        <v>0</v>
      </c>
      <c r="Z127">
        <f t="shared" si="43"/>
        <v>0</v>
      </c>
      <c r="AA127">
        <f t="shared" si="44"/>
        <v>0</v>
      </c>
      <c r="AB127">
        <f t="shared" si="25"/>
        <v>0</v>
      </c>
      <c r="AC127">
        <f t="shared" si="26"/>
        <v>0</v>
      </c>
      <c r="AD127">
        <f t="shared" si="27"/>
        <v>0</v>
      </c>
      <c r="AE127">
        <f t="shared" si="28"/>
        <v>-2.0323391137563362</v>
      </c>
      <c r="AF127">
        <f t="shared" si="29"/>
        <v>0.54268544349898207</v>
      </c>
      <c r="AG127">
        <f t="shared" si="30"/>
        <v>-2.0959429175400057E-3</v>
      </c>
      <c r="AH127">
        <f t="shared" si="31"/>
        <v>-0.12558025932830219</v>
      </c>
      <c r="AI127">
        <f t="shared" si="32"/>
        <v>0.84472644364675498</v>
      </c>
      <c r="AJ127">
        <f t="shared" si="33"/>
        <v>7.0766163175709773E-3</v>
      </c>
      <c r="AK127">
        <f t="shared" si="34"/>
        <v>2.523503614237009E-2</v>
      </c>
      <c r="AL127">
        <f t="shared" si="35"/>
        <v>0</v>
      </c>
      <c r="AM127">
        <f t="shared" si="36"/>
        <v>0</v>
      </c>
      <c r="AN127">
        <f t="shared" si="37"/>
        <v>0</v>
      </c>
      <c r="AO127">
        <f t="shared" si="38"/>
        <v>0</v>
      </c>
      <c r="AP127">
        <f t="shared" si="39"/>
        <v>0</v>
      </c>
      <c r="AQ127">
        <f t="shared" si="40"/>
        <v>0</v>
      </c>
      <c r="AR127">
        <f t="shared" si="41"/>
        <v>0</v>
      </c>
    </row>
    <row r="128" spans="1:44" x14ac:dyDescent="0.25">
      <c r="A128" s="15">
        <v>46843</v>
      </c>
      <c r="I128">
        <v>157.00167776002502</v>
      </c>
      <c r="J128">
        <v>148.23762334590799</v>
      </c>
      <c r="K128">
        <v>1.00659242366188</v>
      </c>
      <c r="L128">
        <v>83.019750750202704</v>
      </c>
      <c r="M128" s="16">
        <f>+'[3]VAR expectations'!C152</f>
        <v>3.8021957884789486</v>
      </c>
      <c r="N128">
        <v>-0.292579106135544</v>
      </c>
      <c r="O128">
        <v>-7.1473628390959901E-2</v>
      </c>
      <c r="P128">
        <v>277.11993333333328</v>
      </c>
      <c r="Q128">
        <v>58.344600000000007</v>
      </c>
      <c r="R128">
        <v>518.13319999999987</v>
      </c>
      <c r="S128">
        <v>109.45673333333333</v>
      </c>
      <c r="T128">
        <v>20.782733333333333</v>
      </c>
      <c r="U128">
        <v>16.162800000000001</v>
      </c>
      <c r="V128">
        <f t="shared" si="23"/>
        <v>146.40226666666666</v>
      </c>
      <c r="X128">
        <f t="shared" si="24"/>
        <v>0</v>
      </c>
      <c r="Y128">
        <f t="shared" si="42"/>
        <v>0</v>
      </c>
      <c r="Z128">
        <f t="shared" si="43"/>
        <v>0</v>
      </c>
      <c r="AA128">
        <f t="shared" si="44"/>
        <v>0</v>
      </c>
      <c r="AB128">
        <f t="shared" si="25"/>
        <v>0</v>
      </c>
      <c r="AC128">
        <f t="shared" si="26"/>
        <v>0</v>
      </c>
      <c r="AD128">
        <f t="shared" si="27"/>
        <v>0</v>
      </c>
      <c r="AE128">
        <f t="shared" si="28"/>
        <v>-2.5710508914249885</v>
      </c>
      <c r="AF128">
        <f t="shared" si="29"/>
        <v>0.53486453852400473</v>
      </c>
      <c r="AG128">
        <f t="shared" si="30"/>
        <v>-1.66030172197007E-3</v>
      </c>
      <c r="AH128">
        <f t="shared" si="31"/>
        <v>-0.12694575512109907</v>
      </c>
      <c r="AI128">
        <f t="shared" si="32"/>
        <v>1.3334801319091749</v>
      </c>
      <c r="AJ128">
        <f t="shared" si="33"/>
        <v>-6.7003633820106989E-2</v>
      </c>
      <c r="AK128">
        <f t="shared" si="34"/>
        <v>9.170353678720003E-3</v>
      </c>
      <c r="AL128">
        <f t="shared" si="35"/>
        <v>0.60833333333334849</v>
      </c>
      <c r="AM128">
        <f t="shared" si="36"/>
        <v>-6.2999999999959755E-3</v>
      </c>
      <c r="AN128">
        <f t="shared" si="37"/>
        <v>-0.23340000000007421</v>
      </c>
      <c r="AO128">
        <f t="shared" si="38"/>
        <v>-0.14916666666667311</v>
      </c>
      <c r="AP128">
        <f t="shared" si="39"/>
        <v>-0.15516666666666623</v>
      </c>
      <c r="AQ128">
        <f t="shared" si="40"/>
        <v>-6.4299999999999358E-2</v>
      </c>
      <c r="AR128">
        <f t="shared" si="41"/>
        <v>-0.36863333333334936</v>
      </c>
    </row>
    <row r="129" spans="1:44" x14ac:dyDescent="0.25">
      <c r="A129" s="15">
        <v>46934</v>
      </c>
      <c r="I129">
        <v>154.98879882385665</v>
      </c>
      <c r="J129">
        <v>149.02794682730701</v>
      </c>
      <c r="K129">
        <v>1.00503851607327</v>
      </c>
      <c r="L129">
        <v>82.893671077881507</v>
      </c>
      <c r="M129" s="16">
        <f>+'[3]VAR expectations'!C153</f>
        <v>4.011042611251681</v>
      </c>
      <c r="N129">
        <v>-0.27639477261600398</v>
      </c>
      <c r="O129">
        <v>-2.1510396662669899E-2</v>
      </c>
      <c r="P129">
        <v>276.51159999999993</v>
      </c>
      <c r="Q129">
        <v>58.350900000000003</v>
      </c>
      <c r="R129">
        <v>518.36659999999995</v>
      </c>
      <c r="S129">
        <v>109.60590000000001</v>
      </c>
      <c r="T129">
        <v>20.937899999999999</v>
      </c>
      <c r="U129">
        <v>16.2271</v>
      </c>
      <c r="V129">
        <f t="shared" si="23"/>
        <v>146.77090000000001</v>
      </c>
      <c r="X129">
        <f t="shared" si="24"/>
        <v>0</v>
      </c>
      <c r="Y129">
        <f t="shared" si="42"/>
        <v>0</v>
      </c>
      <c r="Z129">
        <f t="shared" si="43"/>
        <v>0</v>
      </c>
      <c r="AA129">
        <f t="shared" si="44"/>
        <v>0</v>
      </c>
      <c r="AB129">
        <f t="shared" si="25"/>
        <v>0</v>
      </c>
      <c r="AC129">
        <f t="shared" si="26"/>
        <v>0</v>
      </c>
      <c r="AD129">
        <f t="shared" si="27"/>
        <v>0</v>
      </c>
      <c r="AE129">
        <f t="shared" si="28"/>
        <v>-2.012878936168363</v>
      </c>
      <c r="AF129">
        <f t="shared" si="29"/>
        <v>0.79032348139901387</v>
      </c>
      <c r="AG129">
        <f t="shared" si="30"/>
        <v>-1.5539075886099596E-3</v>
      </c>
      <c r="AH129">
        <f t="shared" si="31"/>
        <v>-0.12607967232119677</v>
      </c>
      <c r="AI129">
        <f t="shared" si="32"/>
        <v>1.5837841565094837</v>
      </c>
      <c r="AJ129">
        <f t="shared" si="33"/>
        <v>1.6184333519540017E-2</v>
      </c>
      <c r="AK129">
        <f t="shared" si="34"/>
        <v>4.9963231728290002E-2</v>
      </c>
      <c r="AL129">
        <f t="shared" si="35"/>
        <v>-0.60833333333334849</v>
      </c>
      <c r="AM129">
        <f t="shared" si="36"/>
        <v>6.2999999999959755E-3</v>
      </c>
      <c r="AN129">
        <f t="shared" si="37"/>
        <v>0.23340000000007421</v>
      </c>
      <c r="AO129">
        <f t="shared" si="38"/>
        <v>0.14916666666667311</v>
      </c>
      <c r="AP129">
        <f t="shared" si="39"/>
        <v>0.15516666666666623</v>
      </c>
      <c r="AQ129">
        <f t="shared" si="40"/>
        <v>6.4299999999999358E-2</v>
      </c>
      <c r="AR129">
        <f t="shared" si="41"/>
        <v>0.36863333333334936</v>
      </c>
    </row>
    <row r="130" spans="1:44" x14ac:dyDescent="0.25">
      <c r="A130" s="15">
        <v>47026</v>
      </c>
      <c r="I130">
        <v>156.01777770224967</v>
      </c>
      <c r="J130">
        <v>149.62609821928601</v>
      </c>
      <c r="K130">
        <v>1.0036277909031399</v>
      </c>
      <c r="L130">
        <v>82.769687239930306</v>
      </c>
      <c r="M130" s="16">
        <f>+'[3]VAR expectations'!C154</f>
        <v>3.9691108090385026</v>
      </c>
      <c r="N130">
        <v>-0.18992010659112199</v>
      </c>
      <c r="O130">
        <v>-1.9383107023809999E-2</v>
      </c>
      <c r="P130">
        <v>276.51159999999993</v>
      </c>
      <c r="Q130">
        <v>58.350900000000003</v>
      </c>
      <c r="R130">
        <v>518.36659999999995</v>
      </c>
      <c r="S130">
        <v>109.60590000000001</v>
      </c>
      <c r="T130">
        <v>20.937899999999999</v>
      </c>
      <c r="U130">
        <v>16.2271</v>
      </c>
      <c r="V130">
        <f t="shared" ref="V130:V133" si="45">+S130+T130+U130</f>
        <v>146.77090000000001</v>
      </c>
      <c r="X130">
        <f t="shared" ref="X130:X133" si="46">B130-B268</f>
        <v>0</v>
      </c>
      <c r="Y130">
        <f t="shared" si="42"/>
        <v>0</v>
      </c>
      <c r="Z130">
        <f t="shared" si="43"/>
        <v>0</v>
      </c>
      <c r="AA130">
        <f t="shared" si="44"/>
        <v>0</v>
      </c>
      <c r="AB130">
        <f t="shared" si="25"/>
        <v>0</v>
      </c>
      <c r="AC130">
        <f t="shared" si="26"/>
        <v>0</v>
      </c>
      <c r="AD130">
        <f t="shared" si="27"/>
        <v>0</v>
      </c>
      <c r="AE130">
        <f t="shared" si="28"/>
        <v>1.0289788783930192</v>
      </c>
      <c r="AF130">
        <f t="shared" si="29"/>
        <v>0.5981513919790018</v>
      </c>
      <c r="AG130">
        <f t="shared" si="30"/>
        <v>-1.4107251701300783E-3</v>
      </c>
      <c r="AH130">
        <f t="shared" si="31"/>
        <v>-0.12398383795120083</v>
      </c>
      <c r="AI130">
        <f t="shared" si="32"/>
        <v>1.5185770844361293</v>
      </c>
      <c r="AJ130">
        <f t="shared" si="33"/>
        <v>8.6474666024881991E-2</v>
      </c>
      <c r="AK130">
        <f t="shared" si="34"/>
        <v>2.1272896388599E-3</v>
      </c>
      <c r="AL130">
        <f t="shared" si="35"/>
        <v>0</v>
      </c>
      <c r="AM130">
        <f t="shared" si="36"/>
        <v>0</v>
      </c>
      <c r="AN130">
        <f t="shared" si="37"/>
        <v>0</v>
      </c>
      <c r="AO130">
        <f t="shared" si="38"/>
        <v>0</v>
      </c>
      <c r="AP130">
        <f t="shared" si="39"/>
        <v>0</v>
      </c>
      <c r="AQ130">
        <f t="shared" si="40"/>
        <v>0</v>
      </c>
      <c r="AR130">
        <f t="shared" si="41"/>
        <v>0</v>
      </c>
    </row>
    <row r="131" spans="1:44" x14ac:dyDescent="0.25">
      <c r="A131" s="15">
        <v>47118</v>
      </c>
      <c r="I131">
        <v>156.41787406037233</v>
      </c>
      <c r="J131">
        <v>150.239139540514</v>
      </c>
      <c r="K131">
        <v>1.00235794119012</v>
      </c>
      <c r="L131">
        <v>82.648532501598893</v>
      </c>
      <c r="M131" s="16">
        <f>+'[3]VAR expectations'!C155</f>
        <v>3.8470567349792795</v>
      </c>
      <c r="N131">
        <v>-0.117011613692185</v>
      </c>
      <c r="O131">
        <v>-7.69414221715991E-3</v>
      </c>
      <c r="P131">
        <v>276.51159999999993</v>
      </c>
      <c r="Q131">
        <v>58.350900000000003</v>
      </c>
      <c r="R131">
        <v>518.36659999999995</v>
      </c>
      <c r="S131">
        <v>109.60590000000001</v>
      </c>
      <c r="T131">
        <v>20.937899999999999</v>
      </c>
      <c r="U131">
        <v>16.2271</v>
      </c>
      <c r="V131">
        <f t="shared" si="45"/>
        <v>146.77090000000001</v>
      </c>
      <c r="X131">
        <f t="shared" si="46"/>
        <v>0</v>
      </c>
      <c r="Y131">
        <f t="shared" si="42"/>
        <v>0</v>
      </c>
      <c r="Z131">
        <f t="shared" si="43"/>
        <v>0</v>
      </c>
      <c r="AA131">
        <f t="shared" si="44"/>
        <v>0</v>
      </c>
      <c r="AB131">
        <f t="shared" si="25"/>
        <v>0</v>
      </c>
      <c r="AC131">
        <f t="shared" si="26"/>
        <v>0</v>
      </c>
      <c r="AD131">
        <f t="shared" si="27"/>
        <v>0</v>
      </c>
      <c r="AE131">
        <f t="shared" si="28"/>
        <v>0.40009635812265287</v>
      </c>
      <c r="AF131">
        <f t="shared" si="29"/>
        <v>0.61304132122799615</v>
      </c>
      <c r="AG131">
        <f t="shared" si="30"/>
        <v>-1.2698497130199105E-3</v>
      </c>
      <c r="AH131">
        <f t="shared" si="31"/>
        <v>-0.12115473833141266</v>
      </c>
      <c r="AI131">
        <f t="shared" si="32"/>
        <v>1.4071140998984077</v>
      </c>
      <c r="AJ131">
        <f t="shared" si="33"/>
        <v>7.2908492898936986E-2</v>
      </c>
      <c r="AK131">
        <f t="shared" si="34"/>
        <v>1.168896480665009E-2</v>
      </c>
      <c r="AL131">
        <f t="shared" si="35"/>
        <v>0</v>
      </c>
      <c r="AM131">
        <f t="shared" si="36"/>
        <v>0</v>
      </c>
      <c r="AN131">
        <f t="shared" si="37"/>
        <v>0</v>
      </c>
      <c r="AO131">
        <f t="shared" si="38"/>
        <v>0</v>
      </c>
      <c r="AP131">
        <f t="shared" si="39"/>
        <v>0</v>
      </c>
      <c r="AQ131">
        <f t="shared" si="40"/>
        <v>0</v>
      </c>
      <c r="AR131">
        <f t="shared" si="41"/>
        <v>0</v>
      </c>
    </row>
    <row r="132" spans="1:44" x14ac:dyDescent="0.25">
      <c r="A132" s="15">
        <v>47208</v>
      </c>
      <c r="I132">
        <v>155.56522251420802</v>
      </c>
      <c r="J132">
        <v>150.84127839502901</v>
      </c>
      <c r="K132">
        <v>1.00106999055868</v>
      </c>
      <c r="L132">
        <v>82.530537938462103</v>
      </c>
      <c r="M132" s="16">
        <f>+'[3]VAR expectations'!C156</f>
        <v>4.1639091291217634</v>
      </c>
      <c r="N132">
        <v>-5.67299892812883E-2</v>
      </c>
      <c r="O132">
        <v>-9.1409025819498592E-3</v>
      </c>
      <c r="P132">
        <v>277.11993333333328</v>
      </c>
      <c r="Q132">
        <v>58.344600000000007</v>
      </c>
      <c r="R132">
        <v>518.13319999999987</v>
      </c>
      <c r="S132">
        <v>109.45673333333333</v>
      </c>
      <c r="T132">
        <v>20.782733333333333</v>
      </c>
      <c r="U132">
        <v>16.162800000000001</v>
      </c>
      <c r="V132">
        <f t="shared" si="45"/>
        <v>146.40226666666666</v>
      </c>
      <c r="X132">
        <f t="shared" si="46"/>
        <v>0</v>
      </c>
      <c r="Y132">
        <f t="shared" si="42"/>
        <v>0</v>
      </c>
      <c r="Z132">
        <f t="shared" si="43"/>
        <v>0</v>
      </c>
      <c r="AA132">
        <f t="shared" si="44"/>
        <v>0</v>
      </c>
      <c r="AB132">
        <f t="shared" si="25"/>
        <v>0</v>
      </c>
      <c r="AC132">
        <f t="shared" si="26"/>
        <v>0</v>
      </c>
      <c r="AD132">
        <f t="shared" si="27"/>
        <v>0</v>
      </c>
      <c r="AE132">
        <f t="shared" si="28"/>
        <v>-0.85265154616431005</v>
      </c>
      <c r="AF132">
        <f t="shared" si="29"/>
        <v>0.6021388545150046</v>
      </c>
      <c r="AG132">
        <f t="shared" si="30"/>
        <v>-1.2879506314400491E-3</v>
      </c>
      <c r="AH132">
        <f t="shared" si="31"/>
        <v>-0.11799456313679002</v>
      </c>
      <c r="AI132">
        <f t="shared" si="32"/>
        <v>1.6914333837138793</v>
      </c>
      <c r="AJ132">
        <f t="shared" si="33"/>
        <v>6.0281624410896704E-2</v>
      </c>
      <c r="AK132">
        <f t="shared" si="34"/>
        <v>-1.4467603647899093E-3</v>
      </c>
      <c r="AL132">
        <f t="shared" si="35"/>
        <v>0.60833333333334849</v>
      </c>
      <c r="AM132">
        <f t="shared" si="36"/>
        <v>-6.2999999999959755E-3</v>
      </c>
      <c r="AN132">
        <f t="shared" si="37"/>
        <v>-0.23340000000007421</v>
      </c>
      <c r="AO132">
        <f t="shared" si="38"/>
        <v>-0.14916666666667311</v>
      </c>
      <c r="AP132">
        <f t="shared" si="39"/>
        <v>-0.15516666666666623</v>
      </c>
      <c r="AQ132">
        <f t="shared" si="40"/>
        <v>-6.4299999999999358E-2</v>
      </c>
      <c r="AR132">
        <f t="shared" si="41"/>
        <v>-0.36863333333334936</v>
      </c>
    </row>
    <row r="133" spans="1:44" x14ac:dyDescent="0.25">
      <c r="A133" s="15">
        <v>47299</v>
      </c>
      <c r="I133" s="3">
        <v>155.56522251420802</v>
      </c>
      <c r="J133">
        <v>151.581874361823</v>
      </c>
      <c r="K133">
        <v>0.99979892453025199</v>
      </c>
      <c r="L133">
        <v>82.415651645429406</v>
      </c>
      <c r="M133" s="16">
        <f>+'[3]VAR expectations'!C157</f>
        <v>5.4104651194166893</v>
      </c>
      <c r="N133">
        <v>5.0718542367155998E-2</v>
      </c>
      <c r="O133">
        <v>9.1481009494210105E-2</v>
      </c>
      <c r="P133">
        <v>276.51159999999993</v>
      </c>
      <c r="Q133">
        <v>58.350900000000003</v>
      </c>
      <c r="R133">
        <v>518.36659999999995</v>
      </c>
      <c r="S133">
        <v>109.60590000000001</v>
      </c>
      <c r="T133">
        <v>20.937899999999999</v>
      </c>
      <c r="U133">
        <v>16.2271</v>
      </c>
      <c r="V133">
        <f t="shared" si="45"/>
        <v>146.77090000000001</v>
      </c>
      <c r="X133">
        <f t="shared" si="46"/>
        <v>0</v>
      </c>
      <c r="Y133">
        <f t="shared" si="42"/>
        <v>0</v>
      </c>
      <c r="Z133">
        <f t="shared" si="43"/>
        <v>0</v>
      </c>
      <c r="AA133">
        <f t="shared" si="44"/>
        <v>0</v>
      </c>
      <c r="AB133">
        <f t="shared" si="25"/>
        <v>0</v>
      </c>
      <c r="AC133">
        <f t="shared" si="26"/>
        <v>0</v>
      </c>
      <c r="AD133">
        <f t="shared" si="27"/>
        <v>0</v>
      </c>
      <c r="AE133">
        <f t="shared" si="28"/>
        <v>0</v>
      </c>
      <c r="AF133">
        <f t="shared" si="29"/>
        <v>0.74059596679398965</v>
      </c>
      <c r="AG133">
        <f t="shared" si="30"/>
        <v>-1.2710660284279696E-3</v>
      </c>
      <c r="AH133">
        <f t="shared" si="31"/>
        <v>-0.11488629303269704</v>
      </c>
      <c r="AI133">
        <f t="shared" si="32"/>
        <v>2.8723398631718271</v>
      </c>
      <c r="AJ133">
        <f t="shared" si="33"/>
        <v>0.1074485316484443</v>
      </c>
      <c r="AK133">
        <f t="shared" si="34"/>
        <v>0.10062191207616002</v>
      </c>
      <c r="AL133">
        <f t="shared" si="35"/>
        <v>-0.60833333333334849</v>
      </c>
      <c r="AM133">
        <f t="shared" si="36"/>
        <v>6.2999999999959755E-3</v>
      </c>
      <c r="AN133">
        <f t="shared" si="37"/>
        <v>0.23340000000007421</v>
      </c>
      <c r="AO133">
        <f t="shared" si="38"/>
        <v>0.14916666666667311</v>
      </c>
      <c r="AP133">
        <f t="shared" si="39"/>
        <v>0.15516666666666623</v>
      </c>
      <c r="AQ133">
        <f t="shared" si="40"/>
        <v>6.4299999999999358E-2</v>
      </c>
      <c r="AR133">
        <f t="shared" si="41"/>
        <v>0.36863333333334936</v>
      </c>
    </row>
    <row r="139" spans="1:44" x14ac:dyDescent="0.25">
      <c r="A139">
        <v>35155</v>
      </c>
      <c r="B139">
        <v>68.336249781639438</v>
      </c>
      <c r="C139">
        <v>50.967979582518161</v>
      </c>
      <c r="D139">
        <v>120.21245566186201</v>
      </c>
      <c r="E139">
        <v>58.553707089085371</v>
      </c>
      <c r="F139">
        <v>65.579758001123139</v>
      </c>
      <c r="G139">
        <v>77.833862631324294</v>
      </c>
      <c r="H139">
        <v>30.054561207357068</v>
      </c>
      <c r="I139">
        <v>43.611058577426</v>
      </c>
      <c r="J139">
        <v>68.274785869470605</v>
      </c>
      <c r="K139">
        <v>0.69676277490104199</v>
      </c>
      <c r="L139">
        <v>80.896181538461505</v>
      </c>
      <c r="M139">
        <v>2.8151174291133074</v>
      </c>
      <c r="N139">
        <v>0.3</v>
      </c>
      <c r="O139">
        <v>0.118309818208218</v>
      </c>
      <c r="P139">
        <v>330</v>
      </c>
      <c r="Q139">
        <v>85</v>
      </c>
      <c r="R139">
        <v>359</v>
      </c>
      <c r="S139">
        <v>156</v>
      </c>
      <c r="T139">
        <v>35</v>
      </c>
      <c r="U139">
        <v>35</v>
      </c>
      <c r="V139">
        <v>226</v>
      </c>
    </row>
    <row r="140" spans="1:44" x14ac:dyDescent="0.25">
      <c r="A140">
        <v>35246</v>
      </c>
      <c r="B140">
        <v>68.723480942931303</v>
      </c>
      <c r="C140">
        <v>51.436217115422501</v>
      </c>
      <c r="D140">
        <v>120.55767761245134</v>
      </c>
      <c r="E140">
        <v>59.150835037210463</v>
      </c>
      <c r="F140">
        <v>66.150622751811724</v>
      </c>
      <c r="G140">
        <v>78.703574190501072</v>
      </c>
      <c r="H140">
        <v>30.476125774121101</v>
      </c>
      <c r="I140">
        <v>43.120581147797139</v>
      </c>
      <c r="J140">
        <v>68.646172139093594</v>
      </c>
      <c r="K140">
        <v>0.697170201453299</v>
      </c>
      <c r="L140">
        <v>81.882196923076904</v>
      </c>
      <c r="M140">
        <v>2.6154884948264598</v>
      </c>
      <c r="N140">
        <v>0.3</v>
      </c>
      <c r="O140">
        <v>2.51123070484027E-4</v>
      </c>
      <c r="P140">
        <v>330</v>
      </c>
      <c r="Q140">
        <v>85</v>
      </c>
      <c r="R140">
        <v>359</v>
      </c>
      <c r="S140">
        <v>156</v>
      </c>
      <c r="T140">
        <v>35</v>
      </c>
      <c r="U140">
        <v>35</v>
      </c>
      <c r="V140">
        <v>226</v>
      </c>
    </row>
    <row r="141" spans="1:44" x14ac:dyDescent="0.25">
      <c r="A141">
        <v>35338</v>
      </c>
      <c r="B141">
        <v>68.949456546139999</v>
      </c>
      <c r="C141">
        <v>51.916931408985363</v>
      </c>
      <c r="D141">
        <v>120.616001958364</v>
      </c>
      <c r="E141">
        <v>59.12231197052197</v>
      </c>
      <c r="F141">
        <v>65.892031840330773</v>
      </c>
      <c r="G141">
        <v>78.989247520031967</v>
      </c>
      <c r="H141">
        <v>30.929830737469164</v>
      </c>
      <c r="I141">
        <v>43.346266616041838</v>
      </c>
      <c r="J141">
        <v>68.991322144235795</v>
      </c>
      <c r="K141">
        <v>0.68186344897864604</v>
      </c>
      <c r="L141">
        <v>82.869486363636398</v>
      </c>
      <c r="M141">
        <v>2.6428562485995646</v>
      </c>
      <c r="N141">
        <v>0.3</v>
      </c>
      <c r="O141">
        <v>7.0742212235927596E-2</v>
      </c>
      <c r="P141">
        <v>330</v>
      </c>
      <c r="Q141">
        <v>85</v>
      </c>
      <c r="R141">
        <v>359</v>
      </c>
      <c r="S141">
        <v>156</v>
      </c>
      <c r="T141">
        <v>35</v>
      </c>
      <c r="U141">
        <v>35</v>
      </c>
      <c r="V141">
        <v>226</v>
      </c>
    </row>
    <row r="142" spans="1:44" x14ac:dyDescent="0.25">
      <c r="A142">
        <v>35430</v>
      </c>
      <c r="B142">
        <v>69.259947297382666</v>
      </c>
      <c r="C142">
        <v>52.311071312771965</v>
      </c>
      <c r="D142">
        <v>120.63002394083701</v>
      </c>
      <c r="E142">
        <v>58.834792121222769</v>
      </c>
      <c r="F142">
        <v>65.084105610473628</v>
      </c>
      <c r="G142">
        <v>79.125642753287138</v>
      </c>
      <c r="H142">
        <v>31.483583173415866</v>
      </c>
      <c r="I142">
        <v>44.7267749910337</v>
      </c>
      <c r="J142">
        <v>69.3818999527915</v>
      </c>
      <c r="K142">
        <v>0.67273735054240202</v>
      </c>
      <c r="L142">
        <v>88.333556060606099</v>
      </c>
      <c r="M142">
        <v>2.8292929206876933</v>
      </c>
      <c r="N142">
        <v>0.3</v>
      </c>
      <c r="O142">
        <v>0.23646385967731501</v>
      </c>
      <c r="P142">
        <v>330</v>
      </c>
      <c r="Q142">
        <v>85</v>
      </c>
      <c r="R142">
        <v>359</v>
      </c>
      <c r="S142">
        <v>156</v>
      </c>
      <c r="T142">
        <v>35</v>
      </c>
      <c r="U142">
        <v>35</v>
      </c>
      <c r="V142">
        <v>226</v>
      </c>
    </row>
    <row r="143" spans="1:44" x14ac:dyDescent="0.25">
      <c r="A143">
        <v>35520</v>
      </c>
      <c r="B143">
        <v>69.656172144574199</v>
      </c>
      <c r="C143">
        <v>52.833527081934562</v>
      </c>
      <c r="D143">
        <v>120.51831953602668</v>
      </c>
      <c r="E143">
        <v>59.076250344490298</v>
      </c>
      <c r="F143">
        <v>65.240899062162541</v>
      </c>
      <c r="G143">
        <v>78.957703138344769</v>
      </c>
      <c r="H143">
        <v>32.032941374691468</v>
      </c>
      <c r="I143">
        <v>45.328295668909</v>
      </c>
      <c r="J143">
        <v>69.587124046145405</v>
      </c>
      <c r="K143">
        <v>0.64938685118057304</v>
      </c>
      <c r="L143">
        <v>92.820320312500002</v>
      </c>
      <c r="M143">
        <v>2.782809710824401</v>
      </c>
      <c r="N143">
        <v>0.32542978632096897</v>
      </c>
      <c r="O143">
        <v>2.3357266560196901E-2</v>
      </c>
      <c r="P143">
        <v>330</v>
      </c>
      <c r="Q143">
        <v>87</v>
      </c>
      <c r="R143">
        <v>360</v>
      </c>
      <c r="S143">
        <v>152</v>
      </c>
      <c r="T143">
        <v>35</v>
      </c>
      <c r="U143">
        <v>36</v>
      </c>
      <c r="V143">
        <v>223</v>
      </c>
    </row>
    <row r="144" spans="1:44" x14ac:dyDescent="0.25">
      <c r="A144">
        <v>35611</v>
      </c>
      <c r="B144">
        <v>69.818827320614488</v>
      </c>
      <c r="C144">
        <v>53.331404584016006</v>
      </c>
      <c r="D144">
        <v>120.310188362095</v>
      </c>
      <c r="E144">
        <v>59.375031266633805</v>
      </c>
      <c r="F144">
        <v>65.408499895120499</v>
      </c>
      <c r="G144">
        <v>79.267965073223266</v>
      </c>
      <c r="H144">
        <v>32.549626728659469</v>
      </c>
      <c r="I144">
        <v>44.445946493019299</v>
      </c>
      <c r="J144">
        <v>69.77956219056</v>
      </c>
      <c r="K144">
        <v>0.63898761329940501</v>
      </c>
      <c r="L144">
        <v>95.131486153846197</v>
      </c>
      <c r="M144">
        <v>2.9050115480316223</v>
      </c>
      <c r="N144">
        <v>0.25613509932256301</v>
      </c>
      <c r="O144">
        <v>-6.6622115671634702E-2</v>
      </c>
      <c r="P144">
        <v>330</v>
      </c>
      <c r="Q144">
        <v>87</v>
      </c>
      <c r="R144">
        <v>360</v>
      </c>
      <c r="S144">
        <v>152</v>
      </c>
      <c r="T144">
        <v>35</v>
      </c>
      <c r="U144">
        <v>36</v>
      </c>
      <c r="V144">
        <v>223</v>
      </c>
    </row>
    <row r="145" spans="1:22" x14ac:dyDescent="0.25">
      <c r="A145">
        <v>35703</v>
      </c>
      <c r="B145">
        <v>70.281779806161396</v>
      </c>
      <c r="C145">
        <v>53.831610222106065</v>
      </c>
      <c r="D145">
        <v>120.33884823031001</v>
      </c>
      <c r="E145">
        <v>59.894854455189403</v>
      </c>
      <c r="F145">
        <v>65.91284178230616</v>
      </c>
      <c r="G145">
        <v>79.394793740428895</v>
      </c>
      <c r="H145">
        <v>33.304621200313029</v>
      </c>
      <c r="I145">
        <v>45.375545582595635</v>
      </c>
      <c r="J145">
        <v>70.337384241348005</v>
      </c>
      <c r="K145">
        <v>0.63319365618204004</v>
      </c>
      <c r="L145">
        <v>97.471460606060603</v>
      </c>
      <c r="M145">
        <v>3.1797827097537499</v>
      </c>
      <c r="N145">
        <v>0.39400900071781603</v>
      </c>
      <c r="O145">
        <v>0.20520694553852101</v>
      </c>
      <c r="P145">
        <v>330</v>
      </c>
      <c r="Q145">
        <v>87</v>
      </c>
      <c r="R145">
        <v>360</v>
      </c>
      <c r="S145">
        <v>152</v>
      </c>
      <c r="T145">
        <v>35</v>
      </c>
      <c r="U145">
        <v>36</v>
      </c>
      <c r="V145">
        <v>223</v>
      </c>
    </row>
    <row r="146" spans="1:22" x14ac:dyDescent="0.25">
      <c r="A146">
        <v>35795</v>
      </c>
      <c r="B146">
        <v>70.534190606333013</v>
      </c>
      <c r="C146">
        <v>54.3557598582004</v>
      </c>
      <c r="D146">
        <v>120.137475565896</v>
      </c>
      <c r="E146">
        <v>60.113280542367164</v>
      </c>
      <c r="F146">
        <v>65.8557702922663</v>
      </c>
      <c r="G146">
        <v>79.329518514698592</v>
      </c>
      <c r="H146">
        <v>34.107615541725302</v>
      </c>
      <c r="I146">
        <v>45.165943591837305</v>
      </c>
      <c r="J146">
        <v>70.608567754153796</v>
      </c>
      <c r="K146">
        <v>0.63128999906948902</v>
      </c>
      <c r="L146">
        <v>98.626171212121207</v>
      </c>
      <c r="M146">
        <v>3.4444390840252752</v>
      </c>
      <c r="N146">
        <v>8.2296484534251493E-2</v>
      </c>
      <c r="O146">
        <v>-7.6698243618011502E-2</v>
      </c>
      <c r="P146">
        <v>330</v>
      </c>
      <c r="Q146">
        <v>87</v>
      </c>
      <c r="R146">
        <v>360</v>
      </c>
      <c r="S146">
        <v>152</v>
      </c>
      <c r="T146">
        <v>35</v>
      </c>
      <c r="U146">
        <v>36</v>
      </c>
      <c r="V146">
        <v>223</v>
      </c>
    </row>
    <row r="147" spans="1:22" x14ac:dyDescent="0.25">
      <c r="A147">
        <v>35885</v>
      </c>
      <c r="B147">
        <v>70.7608317169408</v>
      </c>
      <c r="C147">
        <v>54.867317852625661</v>
      </c>
      <c r="D147">
        <v>119.84603007593834</v>
      </c>
      <c r="E147">
        <v>60.324796116075639</v>
      </c>
      <c r="F147">
        <v>65.556439010962166</v>
      </c>
      <c r="G147">
        <v>80.314829273702273</v>
      </c>
      <c r="H147">
        <v>35.043737560232664</v>
      </c>
      <c r="I147">
        <v>45.066788167537368</v>
      </c>
      <c r="J147">
        <v>70.691929419489099</v>
      </c>
      <c r="K147">
        <v>0.62538235592018598</v>
      </c>
      <c r="L147">
        <v>100.6106328125</v>
      </c>
      <c r="M147">
        <v>3.2371139634797124</v>
      </c>
      <c r="N147">
        <v>-5.7532854062382399E-2</v>
      </c>
      <c r="O147">
        <v>-0.11486139148473699</v>
      </c>
      <c r="P147">
        <v>344</v>
      </c>
      <c r="Q147">
        <v>86</v>
      </c>
      <c r="R147">
        <v>358</v>
      </c>
      <c r="S147">
        <v>144</v>
      </c>
      <c r="T147">
        <v>32</v>
      </c>
      <c r="U147">
        <v>36</v>
      </c>
      <c r="V147">
        <v>212</v>
      </c>
    </row>
    <row r="148" spans="1:22" x14ac:dyDescent="0.25">
      <c r="A148">
        <v>35976</v>
      </c>
      <c r="B148">
        <v>71.100692129748865</v>
      </c>
      <c r="C148">
        <v>55.376840634027332</v>
      </c>
      <c r="D148">
        <v>119.471764844226</v>
      </c>
      <c r="E148">
        <v>60.759837540213304</v>
      </c>
      <c r="F148">
        <v>65.968165559058164</v>
      </c>
      <c r="G148">
        <v>80.69741780577624</v>
      </c>
      <c r="H148">
        <v>35.534825019560401</v>
      </c>
      <c r="I148">
        <v>45.512400795735267</v>
      </c>
      <c r="J148">
        <v>71.092690716499405</v>
      </c>
      <c r="K148">
        <v>0.61574060369241101</v>
      </c>
      <c r="L148">
        <v>100.512433846154</v>
      </c>
      <c r="M148">
        <v>3.3504016664521434</v>
      </c>
      <c r="N148">
        <v>0.21318487209665199</v>
      </c>
      <c r="O148">
        <v>0.20608988404274001</v>
      </c>
      <c r="P148">
        <v>344</v>
      </c>
      <c r="Q148">
        <v>86</v>
      </c>
      <c r="R148">
        <v>358</v>
      </c>
      <c r="S148">
        <v>144</v>
      </c>
      <c r="T148">
        <v>32</v>
      </c>
      <c r="U148">
        <v>36</v>
      </c>
      <c r="V148">
        <v>212</v>
      </c>
    </row>
    <row r="149" spans="1:22" x14ac:dyDescent="0.25">
      <c r="A149">
        <v>36068</v>
      </c>
      <c r="B149">
        <v>71.255609421750464</v>
      </c>
      <c r="C149">
        <v>55.834494062716864</v>
      </c>
      <c r="D149">
        <v>118.95366575846867</v>
      </c>
      <c r="E149">
        <v>61.32656451816981</v>
      </c>
      <c r="F149">
        <v>66.599884378909437</v>
      </c>
      <c r="G149">
        <v>81.111237273143601</v>
      </c>
      <c r="H149">
        <v>36.009377724459029</v>
      </c>
      <c r="I149">
        <v>45.240117527977468</v>
      </c>
      <c r="J149">
        <v>71.320297912354405</v>
      </c>
      <c r="K149">
        <v>0.61194660690414404</v>
      </c>
      <c r="L149">
        <v>100.14717121212099</v>
      </c>
      <c r="M149">
        <v>3.4355092923982902</v>
      </c>
      <c r="N149">
        <v>-2.0958848262692498E-2</v>
      </c>
      <c r="O149">
        <v>-2.9661141335964199E-2</v>
      </c>
      <c r="P149">
        <v>344</v>
      </c>
      <c r="Q149">
        <v>86</v>
      </c>
      <c r="R149">
        <v>358</v>
      </c>
      <c r="S149">
        <v>144</v>
      </c>
      <c r="T149">
        <v>32</v>
      </c>
      <c r="U149">
        <v>36</v>
      </c>
      <c r="V149">
        <v>212</v>
      </c>
    </row>
    <row r="150" spans="1:22" x14ac:dyDescent="0.25">
      <c r="A150">
        <v>36160</v>
      </c>
      <c r="B150">
        <v>71.539883561847134</v>
      </c>
      <c r="C150">
        <v>56.342645165224134</v>
      </c>
      <c r="D150">
        <v>118.50979090512165</v>
      </c>
      <c r="E150">
        <v>61.798219499311834</v>
      </c>
      <c r="F150">
        <v>66.931585635713873</v>
      </c>
      <c r="G150">
        <v>81.345598400718799</v>
      </c>
      <c r="H150">
        <v>36.768433546815068</v>
      </c>
      <c r="I150">
        <v>45.182611283650935</v>
      </c>
      <c r="J150">
        <v>71.576719889480401</v>
      </c>
      <c r="K150">
        <v>0.615800780480114</v>
      </c>
      <c r="L150">
        <v>97.166321212121204</v>
      </c>
      <c r="M150">
        <v>3.0318466606958814</v>
      </c>
      <c r="N150">
        <v>-3.8943111691064898E-3</v>
      </c>
      <c r="O150">
        <v>-5.8732811361551299E-2</v>
      </c>
      <c r="P150">
        <v>344</v>
      </c>
      <c r="Q150">
        <v>86</v>
      </c>
      <c r="R150">
        <v>358</v>
      </c>
      <c r="S150">
        <v>144</v>
      </c>
      <c r="T150">
        <v>32</v>
      </c>
      <c r="U150">
        <v>36</v>
      </c>
      <c r="V150">
        <v>212</v>
      </c>
    </row>
    <row r="151" spans="1:22" x14ac:dyDescent="0.25">
      <c r="A151">
        <v>36250</v>
      </c>
      <c r="B151">
        <v>71.869448362919044</v>
      </c>
      <c r="C151">
        <v>56.820337302049928</v>
      </c>
      <c r="D151">
        <v>117.91126120930566</v>
      </c>
      <c r="E151">
        <v>62.464147948596434</v>
      </c>
      <c r="F151">
        <v>67.238659277963379</v>
      </c>
      <c r="G151">
        <v>81.576404148116524</v>
      </c>
      <c r="H151">
        <v>38.383741142268867</v>
      </c>
      <c r="I151">
        <v>45.605839036949533</v>
      </c>
      <c r="J151">
        <v>71.807723859994795</v>
      </c>
      <c r="K151">
        <v>0.61208261764455096</v>
      </c>
      <c r="L151">
        <v>97.283789062500006</v>
      </c>
      <c r="M151">
        <v>2.9135124750770758</v>
      </c>
      <c r="N151">
        <v>9.5197607719880006E-2</v>
      </c>
      <c r="O151">
        <v>-1.5952862799167598E-2</v>
      </c>
      <c r="P151">
        <v>341</v>
      </c>
      <c r="Q151">
        <v>83</v>
      </c>
      <c r="R151">
        <v>372</v>
      </c>
      <c r="S151">
        <v>141</v>
      </c>
      <c r="T151">
        <v>30</v>
      </c>
      <c r="U151">
        <v>33</v>
      </c>
      <c r="V151">
        <v>204</v>
      </c>
    </row>
    <row r="152" spans="1:22" x14ac:dyDescent="0.25">
      <c r="A152">
        <v>36341</v>
      </c>
      <c r="B152">
        <v>72.089045435709679</v>
      </c>
      <c r="C152">
        <v>57.315645524914736</v>
      </c>
      <c r="D152">
        <v>117.102020370133</v>
      </c>
      <c r="E152">
        <v>62.327610240975297</v>
      </c>
      <c r="F152">
        <v>66.571844762680328</v>
      </c>
      <c r="G152">
        <v>81.622908379807555</v>
      </c>
      <c r="H152">
        <v>39.566559269054331</v>
      </c>
      <c r="I152">
        <v>46.924886016740267</v>
      </c>
      <c r="J152">
        <v>72.102603654941007</v>
      </c>
      <c r="K152">
        <v>0.60729455707630897</v>
      </c>
      <c r="L152">
        <v>99.140043076923106</v>
      </c>
      <c r="M152">
        <v>2.7839723709682413</v>
      </c>
      <c r="N152">
        <v>0.27359049641299199</v>
      </c>
      <c r="O152">
        <v>0.380440324544907</v>
      </c>
      <c r="P152">
        <v>341</v>
      </c>
      <c r="Q152">
        <v>83</v>
      </c>
      <c r="R152">
        <v>372</v>
      </c>
      <c r="S152">
        <v>141</v>
      </c>
      <c r="T152">
        <v>30</v>
      </c>
      <c r="U152">
        <v>33</v>
      </c>
      <c r="V152">
        <v>204</v>
      </c>
    </row>
    <row r="153" spans="1:22" x14ac:dyDescent="0.25">
      <c r="A153">
        <v>36433</v>
      </c>
      <c r="B153">
        <v>72.125395078804502</v>
      </c>
      <c r="C153">
        <v>57.725891052138103</v>
      </c>
      <c r="D153">
        <v>116.21646773960333</v>
      </c>
      <c r="E153">
        <v>62.26600590101333</v>
      </c>
      <c r="F153">
        <v>65.966078638823205</v>
      </c>
      <c r="G153">
        <v>81.70027643685718</v>
      </c>
      <c r="H153">
        <v>40.694457856544737</v>
      </c>
      <c r="I153">
        <v>47.676146770894739</v>
      </c>
      <c r="J153">
        <v>72.187039044239896</v>
      </c>
      <c r="K153">
        <v>0.61019911719025599</v>
      </c>
      <c r="L153">
        <v>98.754672727272705</v>
      </c>
      <c r="M153">
        <v>2.5771344994295728</v>
      </c>
      <c r="N153">
        <v>0.45287391151197798</v>
      </c>
      <c r="O153">
        <v>0.14683547616004899</v>
      </c>
      <c r="P153">
        <v>341</v>
      </c>
      <c r="Q153">
        <v>83</v>
      </c>
      <c r="R153">
        <v>372</v>
      </c>
      <c r="S153">
        <v>141</v>
      </c>
      <c r="T153">
        <v>30</v>
      </c>
      <c r="U153">
        <v>33</v>
      </c>
      <c r="V153">
        <v>204</v>
      </c>
    </row>
    <row r="154" spans="1:22" x14ac:dyDescent="0.25">
      <c r="A154">
        <v>36525</v>
      </c>
      <c r="B154">
        <v>72.359803406135839</v>
      </c>
      <c r="C154">
        <v>58.260597172429392</v>
      </c>
      <c r="D154">
        <v>115.11724534960399</v>
      </c>
      <c r="E154">
        <v>62.425190149027202</v>
      </c>
      <c r="F154">
        <v>66.000462650335422</v>
      </c>
      <c r="G154">
        <v>81.899917498004768</v>
      </c>
      <c r="H154">
        <v>41.070297940002668</v>
      </c>
      <c r="I154">
        <v>48.744128850988496</v>
      </c>
      <c r="J154">
        <v>72.375605300756106</v>
      </c>
      <c r="K154">
        <v>0.61022681521550604</v>
      </c>
      <c r="L154">
        <v>100.634428787879</v>
      </c>
      <c r="M154">
        <v>2.6427151941363944</v>
      </c>
      <c r="N154">
        <v>0.64683941023249503</v>
      </c>
      <c r="O154">
        <v>0.13658648729324299</v>
      </c>
      <c r="P154">
        <v>341</v>
      </c>
      <c r="Q154">
        <v>83</v>
      </c>
      <c r="R154">
        <v>372</v>
      </c>
      <c r="S154">
        <v>141</v>
      </c>
      <c r="T154">
        <v>30</v>
      </c>
      <c r="U154">
        <v>33</v>
      </c>
      <c r="V154">
        <v>204</v>
      </c>
    </row>
    <row r="155" spans="1:22" x14ac:dyDescent="0.25">
      <c r="A155">
        <v>36616</v>
      </c>
      <c r="B155">
        <v>72.440743283146261</v>
      </c>
      <c r="C155">
        <v>58.772737337573631</v>
      </c>
      <c r="D155">
        <v>113.71050289670067</v>
      </c>
      <c r="E155">
        <v>62.294225732533363</v>
      </c>
      <c r="F155">
        <v>65.738951218719208</v>
      </c>
      <c r="G155">
        <v>81.953847149944593</v>
      </c>
      <c r="H155">
        <v>41.192698366617265</v>
      </c>
      <c r="I155">
        <v>50.014345022097928</v>
      </c>
      <c r="J155">
        <v>72.393686583097505</v>
      </c>
      <c r="K155">
        <v>0.61741448216996297</v>
      </c>
      <c r="L155">
        <v>102.291083076923</v>
      </c>
      <c r="M155">
        <v>2.5107508450090452</v>
      </c>
      <c r="N155">
        <v>0.79634125067367401</v>
      </c>
      <c r="O155">
        <v>0.11457213759422299</v>
      </c>
      <c r="P155">
        <v>342</v>
      </c>
      <c r="Q155">
        <v>71</v>
      </c>
      <c r="R155">
        <v>409</v>
      </c>
      <c r="S155">
        <v>121</v>
      </c>
      <c r="T155">
        <v>26</v>
      </c>
      <c r="U155">
        <v>31</v>
      </c>
      <c r="V155">
        <v>178</v>
      </c>
    </row>
    <row r="156" spans="1:22" x14ac:dyDescent="0.25">
      <c r="A156">
        <v>36707</v>
      </c>
      <c r="B156">
        <v>72.539182312841504</v>
      </c>
      <c r="C156">
        <v>59.022039679802134</v>
      </c>
      <c r="D156">
        <v>113.06246638512567</v>
      </c>
      <c r="E156">
        <v>62.695488488984267</v>
      </c>
      <c r="F156">
        <v>65.547576525313545</v>
      </c>
      <c r="G156">
        <v>81.549251880044139</v>
      </c>
      <c r="H156">
        <v>43.499742188366803</v>
      </c>
      <c r="I156">
        <v>50.294131092571668</v>
      </c>
      <c r="J156">
        <v>72.563313424527905</v>
      </c>
      <c r="K156">
        <v>0.61947343357984297</v>
      </c>
      <c r="L156">
        <v>101.013821538462</v>
      </c>
      <c r="M156">
        <v>2.480790509902373</v>
      </c>
      <c r="N156">
        <v>0.578228356186961</v>
      </c>
      <c r="O156">
        <v>0.16771019995212599</v>
      </c>
      <c r="P156">
        <v>342</v>
      </c>
      <c r="Q156">
        <v>71</v>
      </c>
      <c r="R156">
        <v>409</v>
      </c>
      <c r="S156">
        <v>121</v>
      </c>
      <c r="T156">
        <v>26</v>
      </c>
      <c r="U156">
        <v>31</v>
      </c>
      <c r="V156">
        <v>178</v>
      </c>
    </row>
    <row r="157" spans="1:22" x14ac:dyDescent="0.25">
      <c r="A157">
        <v>36799</v>
      </c>
      <c r="B157">
        <v>72.707840576543859</v>
      </c>
      <c r="C157">
        <v>59.618307460292534</v>
      </c>
      <c r="D157">
        <v>111.70485772051767</v>
      </c>
      <c r="E157">
        <v>63.480786414583037</v>
      </c>
      <c r="F157">
        <v>66.470733130124344</v>
      </c>
      <c r="G157">
        <v>81.400383542254033</v>
      </c>
      <c r="H157">
        <v>44.129516914186162</v>
      </c>
      <c r="I157">
        <v>50.848549060358373</v>
      </c>
      <c r="J157">
        <v>72.759782473887299</v>
      </c>
      <c r="K157">
        <v>0.63243205574934103</v>
      </c>
      <c r="L157">
        <v>99.456144615384602</v>
      </c>
      <c r="M157">
        <v>2.4571125053402318</v>
      </c>
      <c r="N157">
        <v>0.50801792517880295</v>
      </c>
      <c r="O157">
        <v>7.53215327858925E-2</v>
      </c>
      <c r="P157">
        <v>342</v>
      </c>
      <c r="Q157">
        <v>71</v>
      </c>
      <c r="R157">
        <v>409</v>
      </c>
      <c r="S157">
        <v>121</v>
      </c>
      <c r="T157">
        <v>26</v>
      </c>
      <c r="U157">
        <v>31</v>
      </c>
      <c r="V157">
        <v>178</v>
      </c>
    </row>
    <row r="158" spans="1:22" x14ac:dyDescent="0.25">
      <c r="A158">
        <v>36891</v>
      </c>
      <c r="B158">
        <v>73.058296991468595</v>
      </c>
      <c r="C158">
        <v>60.261873317660566</v>
      </c>
      <c r="D158">
        <v>111.14640687755167</v>
      </c>
      <c r="E158">
        <v>63.852768971110471</v>
      </c>
      <c r="F158">
        <v>66.715067260746267</v>
      </c>
      <c r="G158">
        <v>81.765643927476674</v>
      </c>
      <c r="H158">
        <v>44.729361748243598</v>
      </c>
      <c r="I158">
        <v>51.114811152054337</v>
      </c>
      <c r="J158">
        <v>73.063981516128905</v>
      </c>
      <c r="K158">
        <v>0.63168490396144295</v>
      </c>
      <c r="L158">
        <v>100.229946153846</v>
      </c>
      <c r="M158">
        <v>2.4793436532788289</v>
      </c>
      <c r="N158">
        <v>0.35052454382543902</v>
      </c>
      <c r="O158">
        <v>-1.80886518210173E-2</v>
      </c>
      <c r="P158">
        <v>342</v>
      </c>
      <c r="Q158">
        <v>71</v>
      </c>
      <c r="R158">
        <v>409</v>
      </c>
      <c r="S158">
        <v>121</v>
      </c>
      <c r="T158">
        <v>26</v>
      </c>
      <c r="U158">
        <v>31</v>
      </c>
      <c r="V158">
        <v>178</v>
      </c>
    </row>
    <row r="159" spans="1:22" x14ac:dyDescent="0.25">
      <c r="A159">
        <v>36981</v>
      </c>
      <c r="B159">
        <v>73.057199972199726</v>
      </c>
      <c r="C159">
        <v>60.743618510486499</v>
      </c>
      <c r="D159">
        <v>110.17048885713501</v>
      </c>
      <c r="E159">
        <v>64.304947564597896</v>
      </c>
      <c r="F159">
        <v>67.219576569640893</v>
      </c>
      <c r="G159">
        <v>81.956356251570668</v>
      </c>
      <c r="H159">
        <v>45.213764851116906</v>
      </c>
      <c r="I159">
        <v>49.776772698758201</v>
      </c>
      <c r="J159">
        <v>73.022578117809601</v>
      </c>
      <c r="K159">
        <v>0.63197458532471795</v>
      </c>
      <c r="L159">
        <v>98.163178461538493</v>
      </c>
      <c r="M159">
        <v>2.2606623386544604</v>
      </c>
      <c r="N159">
        <v>-9.6508386047468499E-3</v>
      </c>
      <c r="O159">
        <v>-0.21965420246124301</v>
      </c>
      <c r="P159">
        <v>336</v>
      </c>
      <c r="Q159">
        <v>66</v>
      </c>
      <c r="R159">
        <v>436</v>
      </c>
      <c r="S159">
        <v>114</v>
      </c>
      <c r="T159">
        <v>20</v>
      </c>
      <c r="U159">
        <v>28</v>
      </c>
      <c r="V159">
        <v>162</v>
      </c>
    </row>
    <row r="160" spans="1:22" x14ac:dyDescent="0.25">
      <c r="A160">
        <v>37072</v>
      </c>
      <c r="B160">
        <v>73.640782847443958</v>
      </c>
      <c r="C160">
        <v>61.544420219885332</v>
      </c>
      <c r="D160">
        <v>109.89504456781434</v>
      </c>
      <c r="E160">
        <v>65.671562289779899</v>
      </c>
      <c r="F160">
        <v>69.291698510684967</v>
      </c>
      <c r="G160">
        <v>81.894722914880603</v>
      </c>
      <c r="H160">
        <v>45.475672672189063</v>
      </c>
      <c r="I160">
        <v>49.554685240331963</v>
      </c>
      <c r="J160">
        <v>73.672453554203102</v>
      </c>
      <c r="K160">
        <v>0.62800409836081905</v>
      </c>
      <c r="L160">
        <v>99.237372307692297</v>
      </c>
      <c r="M160">
        <v>2.2219944984907083</v>
      </c>
      <c r="N160">
        <v>-8.6513159775206599E-2</v>
      </c>
      <c r="O160">
        <v>8.7121553719043704E-2</v>
      </c>
      <c r="P160">
        <v>336</v>
      </c>
      <c r="Q160">
        <v>66</v>
      </c>
      <c r="R160">
        <v>436</v>
      </c>
      <c r="S160">
        <v>114</v>
      </c>
      <c r="T160">
        <v>20</v>
      </c>
      <c r="U160">
        <v>28</v>
      </c>
      <c r="V160">
        <v>162</v>
      </c>
    </row>
    <row r="161" spans="1:22" x14ac:dyDescent="0.25">
      <c r="A161">
        <v>37164</v>
      </c>
      <c r="B161">
        <v>73.825368346705162</v>
      </c>
      <c r="C161">
        <v>62.223963784280272</v>
      </c>
      <c r="D161">
        <v>109.34835279541367</v>
      </c>
      <c r="E161">
        <v>65.641448713927829</v>
      </c>
      <c r="F161">
        <v>68.979536133829399</v>
      </c>
      <c r="G161">
        <v>82.063297447175827</v>
      </c>
      <c r="H161">
        <v>45.842531038287937</v>
      </c>
      <c r="I161">
        <v>49.541042554852801</v>
      </c>
      <c r="J161">
        <v>73.864343092066804</v>
      </c>
      <c r="K161">
        <v>0.62070323942146299</v>
      </c>
      <c r="L161">
        <v>99.239315384615395</v>
      </c>
      <c r="M161">
        <v>2.3621300730309192</v>
      </c>
      <c r="N161">
        <v>-0.18219844297104101</v>
      </c>
      <c r="O161">
        <v>-1.9923435524106001E-2</v>
      </c>
      <c r="P161">
        <v>336</v>
      </c>
      <c r="Q161">
        <v>66</v>
      </c>
      <c r="R161">
        <v>436</v>
      </c>
      <c r="S161">
        <v>114</v>
      </c>
      <c r="T161">
        <v>20</v>
      </c>
      <c r="U161">
        <v>28</v>
      </c>
      <c r="V161">
        <v>162</v>
      </c>
    </row>
    <row r="162" spans="1:22" x14ac:dyDescent="0.25">
      <c r="A162">
        <v>37256</v>
      </c>
      <c r="B162">
        <v>73.809976698452303</v>
      </c>
      <c r="C162">
        <v>62.586922212635066</v>
      </c>
      <c r="D162">
        <v>108.73663622536766</v>
      </c>
      <c r="E162">
        <v>65.828698669319564</v>
      </c>
      <c r="F162">
        <v>68.970945389894339</v>
      </c>
      <c r="G162">
        <v>82.057820785625765</v>
      </c>
      <c r="H162">
        <v>46.482425595715902</v>
      </c>
      <c r="I162">
        <v>48.008808713627495</v>
      </c>
      <c r="J162">
        <v>73.816222366808006</v>
      </c>
      <c r="K162">
        <v>0.61399358747248201</v>
      </c>
      <c r="L162">
        <v>99.639537878787905</v>
      </c>
      <c r="M162">
        <v>2.1718892232885554</v>
      </c>
      <c r="N162">
        <v>-0.41053249519444801</v>
      </c>
      <c r="O162">
        <v>-0.24701800942421001</v>
      </c>
      <c r="P162">
        <v>336</v>
      </c>
      <c r="Q162">
        <v>66</v>
      </c>
      <c r="R162">
        <v>436</v>
      </c>
      <c r="S162">
        <v>114</v>
      </c>
      <c r="T162">
        <v>20</v>
      </c>
      <c r="U162">
        <v>28</v>
      </c>
      <c r="V162">
        <v>162</v>
      </c>
    </row>
    <row r="163" spans="1:22" x14ac:dyDescent="0.25">
      <c r="A163">
        <v>37346</v>
      </c>
      <c r="B163">
        <v>74.172709547617714</v>
      </c>
      <c r="C163">
        <v>63.253448974794672</v>
      </c>
      <c r="D163">
        <v>108.253887812421</v>
      </c>
      <c r="E163">
        <v>66.271856797838623</v>
      </c>
      <c r="F163">
        <v>69.566869099543467</v>
      </c>
      <c r="G163">
        <v>82.184032839410861</v>
      </c>
      <c r="H163">
        <v>46.712875198812867</v>
      </c>
      <c r="I163">
        <v>48.300000597159077</v>
      </c>
      <c r="J163">
        <v>74.140200035856097</v>
      </c>
      <c r="K163">
        <v>0.61193038298108404</v>
      </c>
      <c r="L163">
        <v>100.22180625</v>
      </c>
      <c r="M163">
        <v>2.2636382290406152</v>
      </c>
      <c r="N163">
        <v>-0.19866515250366801</v>
      </c>
      <c r="O163">
        <v>-7.7734054066240796E-3</v>
      </c>
      <c r="P163">
        <v>321</v>
      </c>
      <c r="Q163">
        <v>56</v>
      </c>
      <c r="R163">
        <v>457</v>
      </c>
      <c r="S163">
        <v>115</v>
      </c>
      <c r="T163">
        <v>20</v>
      </c>
      <c r="U163">
        <v>31</v>
      </c>
      <c r="V163">
        <v>166</v>
      </c>
    </row>
    <row r="164" spans="1:22" x14ac:dyDescent="0.25">
      <c r="A164">
        <v>37437</v>
      </c>
      <c r="B164">
        <v>74.341060971658422</v>
      </c>
      <c r="C164">
        <v>64.098357828458106</v>
      </c>
      <c r="D164">
        <v>107.15975382369832</v>
      </c>
      <c r="E164">
        <v>65.841453783592442</v>
      </c>
      <c r="F164">
        <v>69.072767804200325</v>
      </c>
      <c r="G164">
        <v>82.070455378131101</v>
      </c>
      <c r="H164">
        <v>46.699129956856133</v>
      </c>
      <c r="I164">
        <v>48.834968279363466</v>
      </c>
      <c r="J164">
        <v>74.380936880197396</v>
      </c>
      <c r="K164">
        <v>0.62732294639877295</v>
      </c>
      <c r="L164">
        <v>99.283556923076901</v>
      </c>
      <c r="M164">
        <v>2.420078349479549</v>
      </c>
      <c r="N164">
        <v>-0.121645386242651</v>
      </c>
      <c r="O164">
        <v>0.16057209670543701</v>
      </c>
      <c r="P164">
        <v>321</v>
      </c>
      <c r="Q164">
        <v>56</v>
      </c>
      <c r="R164">
        <v>457</v>
      </c>
      <c r="S164">
        <v>115</v>
      </c>
      <c r="T164">
        <v>20</v>
      </c>
      <c r="U164">
        <v>31</v>
      </c>
      <c r="V164">
        <v>166</v>
      </c>
    </row>
    <row r="165" spans="1:22" x14ac:dyDescent="0.25">
      <c r="A165">
        <v>37529</v>
      </c>
      <c r="B165">
        <v>74.586828837548069</v>
      </c>
      <c r="C165">
        <v>64.806065670026939</v>
      </c>
      <c r="D165">
        <v>106.44583489625866</v>
      </c>
      <c r="E165">
        <v>66.101100807903208</v>
      </c>
      <c r="F165">
        <v>69.016510777194938</v>
      </c>
      <c r="G165">
        <v>82.393205064322629</v>
      </c>
      <c r="H165">
        <v>47.312363041482463</v>
      </c>
      <c r="I165">
        <v>48.810172757408203</v>
      </c>
      <c r="J165">
        <v>74.621415022690897</v>
      </c>
      <c r="K165">
        <v>0.62666792181779396</v>
      </c>
      <c r="L165">
        <v>100.497328787879</v>
      </c>
      <c r="M165">
        <v>2.3348466240519783</v>
      </c>
      <c r="N165">
        <v>-0.12779910297989</v>
      </c>
      <c r="O165">
        <v>-2.52052545547485E-2</v>
      </c>
      <c r="P165">
        <v>321</v>
      </c>
      <c r="Q165">
        <v>56</v>
      </c>
      <c r="R165">
        <v>457</v>
      </c>
      <c r="S165">
        <v>115</v>
      </c>
      <c r="T165">
        <v>20</v>
      </c>
      <c r="U165">
        <v>31</v>
      </c>
      <c r="V165">
        <v>166</v>
      </c>
    </row>
    <row r="166" spans="1:22" x14ac:dyDescent="0.25">
      <c r="A166">
        <v>37621</v>
      </c>
      <c r="B166">
        <v>74.94152985171506</v>
      </c>
      <c r="C166">
        <v>65.527580796611758</v>
      </c>
      <c r="D166">
        <v>105.92448921583834</v>
      </c>
      <c r="E166">
        <v>66.196126733287258</v>
      </c>
      <c r="F166">
        <v>69.020712791603259</v>
      </c>
      <c r="G166">
        <v>81.795408938969828</v>
      </c>
      <c r="H166">
        <v>47.821927966217864</v>
      </c>
      <c r="I166">
        <v>49.301431799629</v>
      </c>
      <c r="J166">
        <v>74.939618250451403</v>
      </c>
      <c r="K166">
        <v>0.62607176712946</v>
      </c>
      <c r="L166">
        <v>101.02483030303</v>
      </c>
      <c r="M166">
        <v>2.329046618617225</v>
      </c>
      <c r="N166">
        <v>0.13999724552415899</v>
      </c>
      <c r="O166">
        <v>2.2260053083300601E-2</v>
      </c>
      <c r="P166">
        <v>321</v>
      </c>
      <c r="Q166">
        <v>56</v>
      </c>
      <c r="R166">
        <v>457</v>
      </c>
      <c r="S166">
        <v>115</v>
      </c>
      <c r="T166">
        <v>20</v>
      </c>
      <c r="U166">
        <v>31</v>
      </c>
      <c r="V166">
        <v>166</v>
      </c>
    </row>
    <row r="167" spans="1:22" x14ac:dyDescent="0.25">
      <c r="A167">
        <v>37711</v>
      </c>
      <c r="B167">
        <v>75.254179637007539</v>
      </c>
      <c r="C167">
        <v>66.024472037778409</v>
      </c>
      <c r="D167">
        <v>105.57840811720899</v>
      </c>
      <c r="E167">
        <v>66.29593719601047</v>
      </c>
      <c r="F167">
        <v>69.109899366957407</v>
      </c>
      <c r="G167">
        <v>81.579240086886898</v>
      </c>
      <c r="H167">
        <v>48.150793169108333</v>
      </c>
      <c r="I167">
        <v>50.696241265513159</v>
      </c>
      <c r="J167">
        <v>75.220635695064601</v>
      </c>
      <c r="K167">
        <v>0.63651760997190399</v>
      </c>
      <c r="L167">
        <v>98.401371874999995</v>
      </c>
      <c r="M167">
        <v>2.5421835321638784</v>
      </c>
      <c r="N167">
        <v>0.27544788472214499</v>
      </c>
      <c r="O167">
        <v>0.118628311933358</v>
      </c>
      <c r="P167">
        <v>324</v>
      </c>
      <c r="Q167">
        <v>55</v>
      </c>
      <c r="R167">
        <v>466</v>
      </c>
      <c r="S167">
        <v>108</v>
      </c>
      <c r="T167">
        <v>19</v>
      </c>
      <c r="U167">
        <v>28</v>
      </c>
      <c r="V167">
        <v>155</v>
      </c>
    </row>
    <row r="168" spans="1:22" x14ac:dyDescent="0.25">
      <c r="A168">
        <v>37802</v>
      </c>
      <c r="B168">
        <v>75.297738816456402</v>
      </c>
      <c r="C168">
        <v>66.477450028729891</v>
      </c>
      <c r="D168">
        <v>104.82493353971</v>
      </c>
      <c r="E168">
        <v>66.743553912164842</v>
      </c>
      <c r="F168">
        <v>69.746466956818594</v>
      </c>
      <c r="G168">
        <v>81.929888108927102</v>
      </c>
      <c r="H168">
        <v>48.45408482428504</v>
      </c>
      <c r="I168">
        <v>49.519114792624237</v>
      </c>
      <c r="J168">
        <v>75.346741392751298</v>
      </c>
      <c r="K168">
        <v>0.63320748380537994</v>
      </c>
      <c r="L168">
        <v>95.764499999999998</v>
      </c>
      <c r="M168">
        <v>2.3887461732171329</v>
      </c>
      <c r="N168">
        <v>8.0091340388783697E-2</v>
      </c>
      <c r="O168">
        <v>-3.3435978033822499E-2</v>
      </c>
      <c r="P168">
        <v>324</v>
      </c>
      <c r="Q168">
        <v>55</v>
      </c>
      <c r="R168">
        <v>466</v>
      </c>
      <c r="S168">
        <v>108</v>
      </c>
      <c r="T168">
        <v>19</v>
      </c>
      <c r="U168">
        <v>28</v>
      </c>
      <c r="V168">
        <v>155</v>
      </c>
    </row>
    <row r="169" spans="1:22" x14ac:dyDescent="0.25">
      <c r="A169">
        <v>37894</v>
      </c>
      <c r="B169">
        <v>75.612766960048859</v>
      </c>
      <c r="C169">
        <v>66.969781979790568</v>
      </c>
      <c r="D169">
        <v>104.57345498303602</v>
      </c>
      <c r="E169">
        <v>67.31296933393827</v>
      </c>
      <c r="F169">
        <v>70.26415567744364</v>
      </c>
      <c r="G169">
        <v>81.29251558503266</v>
      </c>
      <c r="H169">
        <v>49.190874969117239</v>
      </c>
      <c r="I169">
        <v>49.812423085229902</v>
      </c>
      <c r="J169">
        <v>75.646460972491596</v>
      </c>
      <c r="K169">
        <v>0.63000871963946403</v>
      </c>
      <c r="L169">
        <v>95.544218181818195</v>
      </c>
      <c r="M169">
        <v>2.197575219813666</v>
      </c>
      <c r="N169">
        <v>0.109281701994484</v>
      </c>
      <c r="O169">
        <v>4.3959080115475602E-3</v>
      </c>
      <c r="P169">
        <v>324</v>
      </c>
      <c r="Q169">
        <v>55</v>
      </c>
      <c r="R169">
        <v>466</v>
      </c>
      <c r="S169">
        <v>108</v>
      </c>
      <c r="T169">
        <v>19</v>
      </c>
      <c r="U169">
        <v>28</v>
      </c>
      <c r="V169">
        <v>155</v>
      </c>
    </row>
    <row r="170" spans="1:22" x14ac:dyDescent="0.25">
      <c r="A170">
        <v>37986</v>
      </c>
      <c r="B170">
        <v>75.930389741807929</v>
      </c>
      <c r="C170">
        <v>67.546972720157029</v>
      </c>
      <c r="D170">
        <v>104.00485126915201</v>
      </c>
      <c r="E170">
        <v>67.719275637251357</v>
      </c>
      <c r="F170">
        <v>70.752523645876281</v>
      </c>
      <c r="G170">
        <v>81.390202718947663</v>
      </c>
      <c r="H170">
        <v>49.438759813309993</v>
      </c>
      <c r="I170">
        <v>50.456696042455739</v>
      </c>
      <c r="J170">
        <v>75.926725850656695</v>
      </c>
      <c r="K170">
        <v>0.62604665825440697</v>
      </c>
      <c r="L170">
        <v>97.264069696969699</v>
      </c>
      <c r="M170">
        <v>2.507260502799705</v>
      </c>
      <c r="N170">
        <v>0.12812529825024099</v>
      </c>
      <c r="O170">
        <v>4.1066675765942702E-2</v>
      </c>
      <c r="P170">
        <v>324</v>
      </c>
      <c r="Q170">
        <v>55</v>
      </c>
      <c r="R170">
        <v>466</v>
      </c>
      <c r="S170">
        <v>108</v>
      </c>
      <c r="T170">
        <v>19</v>
      </c>
      <c r="U170">
        <v>28</v>
      </c>
      <c r="V170">
        <v>155</v>
      </c>
    </row>
    <row r="171" spans="1:22" x14ac:dyDescent="0.25">
      <c r="A171">
        <v>38077</v>
      </c>
      <c r="B171">
        <v>76.200272982905773</v>
      </c>
      <c r="C171">
        <v>68.10626529045453</v>
      </c>
      <c r="D171">
        <v>103.62955172533468</v>
      </c>
      <c r="E171">
        <v>67.701733001774699</v>
      </c>
      <c r="F171">
        <v>70.68062324019364</v>
      </c>
      <c r="G171">
        <v>81.372891223910457</v>
      </c>
      <c r="H171">
        <v>49.677802172771571</v>
      </c>
      <c r="I171">
        <v>51.504084271991964</v>
      </c>
      <c r="J171">
        <v>76.159680364508901</v>
      </c>
      <c r="K171">
        <v>0.61688244432997197</v>
      </c>
      <c r="L171">
        <v>101.570772307692</v>
      </c>
      <c r="M171">
        <v>2.5370974361013499</v>
      </c>
      <c r="N171">
        <v>8.3923273491197103E-2</v>
      </c>
      <c r="O171">
        <v>7.0507431525519401E-2</v>
      </c>
      <c r="P171">
        <v>329</v>
      </c>
      <c r="Q171">
        <v>52</v>
      </c>
      <c r="R171">
        <v>467</v>
      </c>
      <c r="S171">
        <v>106</v>
      </c>
      <c r="T171">
        <v>19</v>
      </c>
      <c r="U171">
        <v>27</v>
      </c>
      <c r="V171">
        <v>152</v>
      </c>
    </row>
    <row r="172" spans="1:22" x14ac:dyDescent="0.25">
      <c r="A172">
        <v>38168</v>
      </c>
      <c r="B172">
        <v>76.35914331720403</v>
      </c>
      <c r="C172">
        <v>68.631855809508735</v>
      </c>
      <c r="D172">
        <v>102.877321258834</v>
      </c>
      <c r="E172">
        <v>67.638280882704308</v>
      </c>
      <c r="F172">
        <v>70.476850084807339</v>
      </c>
      <c r="G172">
        <v>81.287191131295103</v>
      </c>
      <c r="H172">
        <v>50.250960584307229</v>
      </c>
      <c r="I172">
        <v>52.490029578442538</v>
      </c>
      <c r="J172">
        <v>76.418239016262504</v>
      </c>
      <c r="K172">
        <v>0.61216051574775598</v>
      </c>
      <c r="L172">
        <v>102.354193846154</v>
      </c>
      <c r="M172">
        <v>2.6184554615948845</v>
      </c>
      <c r="N172">
        <v>0.31536003264232498</v>
      </c>
      <c r="O172">
        <v>0.198013254587315</v>
      </c>
      <c r="P172">
        <v>329</v>
      </c>
      <c r="Q172">
        <v>52</v>
      </c>
      <c r="R172">
        <v>467</v>
      </c>
      <c r="S172">
        <v>106</v>
      </c>
      <c r="T172">
        <v>19</v>
      </c>
      <c r="U172">
        <v>27</v>
      </c>
      <c r="V172">
        <v>152</v>
      </c>
    </row>
    <row r="173" spans="1:22" x14ac:dyDescent="0.25">
      <c r="A173">
        <v>38260</v>
      </c>
      <c r="B173">
        <v>76.562231444892205</v>
      </c>
      <c r="C173">
        <v>69.203743095995534</v>
      </c>
      <c r="D173">
        <v>102.210003687398</v>
      </c>
      <c r="E173">
        <v>67.646192048084202</v>
      </c>
      <c r="F173">
        <v>70.117000340503537</v>
      </c>
      <c r="G173">
        <v>81.074507639907196</v>
      </c>
      <c r="H173">
        <v>50.981515782794624</v>
      </c>
      <c r="I173">
        <v>53.359156399593196</v>
      </c>
      <c r="J173">
        <v>76.596013420986793</v>
      </c>
      <c r="K173">
        <v>0.61479560780718101</v>
      </c>
      <c r="L173">
        <v>102.09841969697</v>
      </c>
      <c r="M173">
        <v>2.5768443943169923</v>
      </c>
      <c r="N173">
        <v>0.36869653428947002</v>
      </c>
      <c r="O173">
        <v>5.6970751238223802E-2</v>
      </c>
      <c r="P173">
        <v>329</v>
      </c>
      <c r="Q173">
        <v>52</v>
      </c>
      <c r="R173">
        <v>467</v>
      </c>
      <c r="S173">
        <v>106</v>
      </c>
      <c r="T173">
        <v>19</v>
      </c>
      <c r="U173">
        <v>27</v>
      </c>
      <c r="V173">
        <v>152</v>
      </c>
    </row>
    <row r="174" spans="1:22" x14ac:dyDescent="0.25">
      <c r="A174">
        <v>38352</v>
      </c>
      <c r="B174">
        <v>77.024679842319401</v>
      </c>
      <c r="C174">
        <v>69.904808946467725</v>
      </c>
      <c r="D174">
        <v>101.65395874629166</v>
      </c>
      <c r="E174">
        <v>67.923169332980237</v>
      </c>
      <c r="F174">
        <v>70.398557799152996</v>
      </c>
      <c r="G174">
        <v>81.151471150211634</v>
      </c>
      <c r="H174">
        <v>51.389293344833</v>
      </c>
      <c r="I174">
        <v>55.645647717141969</v>
      </c>
      <c r="J174">
        <v>77.015340908716695</v>
      </c>
      <c r="K174">
        <v>0.62484171870294902</v>
      </c>
      <c r="L174">
        <v>100.312145454545</v>
      </c>
      <c r="M174">
        <v>2.4054948631666009</v>
      </c>
      <c r="N174">
        <v>0.52821538705181603</v>
      </c>
      <c r="O174">
        <v>0.200185341433055</v>
      </c>
      <c r="P174">
        <v>329</v>
      </c>
      <c r="Q174">
        <v>52</v>
      </c>
      <c r="R174">
        <v>467</v>
      </c>
      <c r="S174">
        <v>106</v>
      </c>
      <c r="T174">
        <v>19</v>
      </c>
      <c r="U174">
        <v>27</v>
      </c>
      <c r="V174">
        <v>152</v>
      </c>
    </row>
    <row r="175" spans="1:22" x14ac:dyDescent="0.25">
      <c r="A175">
        <v>38442</v>
      </c>
      <c r="B175">
        <v>77.519231176107169</v>
      </c>
      <c r="C175">
        <v>70.711753851160836</v>
      </c>
      <c r="D175">
        <v>101.224550821802</v>
      </c>
      <c r="E175">
        <v>68.690840572994531</v>
      </c>
      <c r="F175">
        <v>71.390648871021142</v>
      </c>
      <c r="G175">
        <v>80.604662189294956</v>
      </c>
      <c r="H175">
        <v>52.1517551844384</v>
      </c>
      <c r="I175">
        <v>56.449023556288402</v>
      </c>
      <c r="J175">
        <v>77.473805083463901</v>
      </c>
      <c r="K175">
        <v>0.62789457821978201</v>
      </c>
      <c r="L175">
        <v>100.67795468750001</v>
      </c>
      <c r="M175">
        <v>2.3903185646503933</v>
      </c>
      <c r="N175">
        <v>0.50065150605009701</v>
      </c>
      <c r="O175">
        <v>4.8524115231025303E-2</v>
      </c>
      <c r="P175">
        <v>329</v>
      </c>
      <c r="Q175">
        <v>55</v>
      </c>
      <c r="R175">
        <v>464</v>
      </c>
      <c r="S175">
        <v>106</v>
      </c>
      <c r="T175">
        <v>20</v>
      </c>
      <c r="U175">
        <v>26</v>
      </c>
      <c r="V175">
        <v>152</v>
      </c>
    </row>
    <row r="176" spans="1:22" x14ac:dyDescent="0.25">
      <c r="A176">
        <v>38533</v>
      </c>
      <c r="B176">
        <v>77.860319039965134</v>
      </c>
      <c r="C176">
        <v>71.482542510630239</v>
      </c>
      <c r="D176">
        <v>100.61472786661368</v>
      </c>
      <c r="E176">
        <v>68.823685139220927</v>
      </c>
      <c r="F176">
        <v>71.584679044364876</v>
      </c>
      <c r="G176">
        <v>80.155897015147175</v>
      </c>
      <c r="H176">
        <v>52.541890037276467</v>
      </c>
      <c r="I176">
        <v>57.440858337591798</v>
      </c>
      <c r="J176">
        <v>77.926612974031798</v>
      </c>
      <c r="K176">
        <v>0.62404102684160401</v>
      </c>
      <c r="L176">
        <v>101.57767076923101</v>
      </c>
      <c r="M176">
        <v>2.2621936183541234</v>
      </c>
      <c r="N176">
        <v>0.50804321100112604</v>
      </c>
      <c r="O176">
        <v>0.204065629477542</v>
      </c>
      <c r="P176">
        <v>329</v>
      </c>
      <c r="Q176">
        <v>55</v>
      </c>
      <c r="R176">
        <v>464</v>
      </c>
      <c r="S176">
        <v>106</v>
      </c>
      <c r="T176">
        <v>20</v>
      </c>
      <c r="U176">
        <v>26</v>
      </c>
      <c r="V176">
        <v>152</v>
      </c>
    </row>
    <row r="177" spans="1:22" x14ac:dyDescent="0.25">
      <c r="A177">
        <v>38625</v>
      </c>
      <c r="B177">
        <v>78.392641647215498</v>
      </c>
      <c r="C177">
        <v>72.329300982486799</v>
      </c>
      <c r="D177">
        <v>100.07117850201189</v>
      </c>
      <c r="E177">
        <v>68.937238070698058</v>
      </c>
      <c r="F177">
        <v>71.487850246053981</v>
      </c>
      <c r="G177">
        <v>80.839757344550961</v>
      </c>
      <c r="H177">
        <v>52.691778596856601</v>
      </c>
      <c r="I177">
        <v>60.297134294160365</v>
      </c>
      <c r="J177">
        <v>78.429892117686506</v>
      </c>
      <c r="K177">
        <v>0.64005400942808899</v>
      </c>
      <c r="L177">
        <v>99.734880303030295</v>
      </c>
      <c r="M177">
        <v>2.2761535969954032</v>
      </c>
      <c r="N177">
        <v>0.70017615103754105</v>
      </c>
      <c r="O177">
        <v>0.242344274322987</v>
      </c>
      <c r="P177">
        <v>329</v>
      </c>
      <c r="Q177">
        <v>55</v>
      </c>
      <c r="R177">
        <v>464</v>
      </c>
      <c r="S177">
        <v>106</v>
      </c>
      <c r="T177">
        <v>20</v>
      </c>
      <c r="U177">
        <v>26</v>
      </c>
      <c r="V177">
        <v>152</v>
      </c>
    </row>
    <row r="178" spans="1:22" x14ac:dyDescent="0.25">
      <c r="A178">
        <v>38717</v>
      </c>
      <c r="B178">
        <v>78.6650109310023</v>
      </c>
      <c r="C178">
        <v>72.76231699168676</v>
      </c>
      <c r="D178">
        <v>99.588196020431226</v>
      </c>
      <c r="E178">
        <v>69.148767012309762</v>
      </c>
      <c r="F178">
        <v>71.487766538913363</v>
      </c>
      <c r="G178">
        <v>80.757559259722939</v>
      </c>
      <c r="H178">
        <v>53.78196520630194</v>
      </c>
      <c r="I178">
        <v>62.2130789827755</v>
      </c>
      <c r="J178">
        <v>78.650455282462801</v>
      </c>
      <c r="K178">
        <v>0.64257239123518295</v>
      </c>
      <c r="L178">
        <v>99.510515384615402</v>
      </c>
      <c r="M178">
        <v>2.3383760137173226</v>
      </c>
      <c r="N178">
        <v>0.64873933629690095</v>
      </c>
      <c r="O178">
        <v>0.150036034492979</v>
      </c>
      <c r="P178">
        <v>329</v>
      </c>
      <c r="Q178">
        <v>55</v>
      </c>
      <c r="R178">
        <v>464</v>
      </c>
      <c r="S178">
        <v>106</v>
      </c>
      <c r="T178">
        <v>20</v>
      </c>
      <c r="U178">
        <v>26</v>
      </c>
      <c r="V178">
        <v>152</v>
      </c>
    </row>
    <row r="179" spans="1:22" x14ac:dyDescent="0.25">
      <c r="A179">
        <v>38807</v>
      </c>
      <c r="B179">
        <v>79.028056405096038</v>
      </c>
      <c r="C179">
        <v>73.385241780506931</v>
      </c>
      <c r="D179">
        <v>99.218511677460256</v>
      </c>
      <c r="E179">
        <v>69.456235720820999</v>
      </c>
      <c r="F179">
        <v>71.887123990551444</v>
      </c>
      <c r="G179">
        <v>80.784701223545497</v>
      </c>
      <c r="H179">
        <v>54.031494090685165</v>
      </c>
      <c r="I179">
        <v>63.507502811969232</v>
      </c>
      <c r="J179">
        <v>78.979694161115503</v>
      </c>
      <c r="K179">
        <v>0.652090387217511</v>
      </c>
      <c r="L179">
        <v>98.760283076923102</v>
      </c>
      <c r="M179">
        <v>2.4666666666666477</v>
      </c>
      <c r="N179">
        <v>0.71062376825367302</v>
      </c>
      <c r="O179">
        <v>9.3912785774244806E-2</v>
      </c>
      <c r="P179">
        <v>341</v>
      </c>
      <c r="Q179">
        <v>67</v>
      </c>
      <c r="R179">
        <v>446</v>
      </c>
      <c r="S179">
        <v>102</v>
      </c>
      <c r="T179">
        <v>18</v>
      </c>
      <c r="U179">
        <v>26</v>
      </c>
      <c r="V179">
        <v>146</v>
      </c>
    </row>
    <row r="180" spans="1:22" x14ac:dyDescent="0.25">
      <c r="A180">
        <v>38898</v>
      </c>
      <c r="B180">
        <v>79.616100225425328</v>
      </c>
      <c r="C180">
        <v>74.005587617268034</v>
      </c>
      <c r="D180">
        <v>98.648450712308275</v>
      </c>
      <c r="E180">
        <v>69.890091453383164</v>
      </c>
      <c r="F180">
        <v>72.381509189292998</v>
      </c>
      <c r="G180">
        <v>80.348361076617337</v>
      </c>
      <c r="H180">
        <v>54.731568788130495</v>
      </c>
      <c r="I180">
        <v>67.671668071312865</v>
      </c>
      <c r="J180">
        <v>79.688483811502905</v>
      </c>
      <c r="K180">
        <v>0.65617518075692405</v>
      </c>
      <c r="L180">
        <v>100.279141538462</v>
      </c>
      <c r="M180">
        <v>2.4000000000000123</v>
      </c>
      <c r="N180">
        <v>1.0848462424740499</v>
      </c>
      <c r="O180">
        <v>0.58313714236387104</v>
      </c>
      <c r="P180">
        <v>341</v>
      </c>
      <c r="Q180">
        <v>67</v>
      </c>
      <c r="R180">
        <v>446</v>
      </c>
      <c r="S180">
        <v>102</v>
      </c>
      <c r="T180">
        <v>18</v>
      </c>
      <c r="U180">
        <v>26</v>
      </c>
      <c r="V180">
        <v>146</v>
      </c>
    </row>
    <row r="181" spans="1:22" x14ac:dyDescent="0.25">
      <c r="A181">
        <v>38990</v>
      </c>
      <c r="B181">
        <v>80.274543396524294</v>
      </c>
      <c r="C181">
        <v>74.554497667706627</v>
      </c>
      <c r="D181">
        <v>98.578686661604138</v>
      </c>
      <c r="E181">
        <v>71.285664208466599</v>
      </c>
      <c r="F181">
        <v>73.986476840642638</v>
      </c>
      <c r="G181">
        <v>80.810976586724337</v>
      </c>
      <c r="H181">
        <v>55.632163947862068</v>
      </c>
      <c r="I181">
        <v>70.050693769964226</v>
      </c>
      <c r="J181">
        <v>80.3140859444444</v>
      </c>
      <c r="K181">
        <v>0.65104403115045795</v>
      </c>
      <c r="L181">
        <v>102.332647692308</v>
      </c>
      <c r="M181">
        <v>2.2999999999999843</v>
      </c>
      <c r="N181">
        <v>1.0480109248003999</v>
      </c>
      <c r="O181">
        <v>0.20579069700496899</v>
      </c>
      <c r="P181">
        <v>341</v>
      </c>
      <c r="Q181">
        <v>67</v>
      </c>
      <c r="R181">
        <v>446</v>
      </c>
      <c r="S181">
        <v>102</v>
      </c>
      <c r="T181">
        <v>18</v>
      </c>
      <c r="U181">
        <v>26</v>
      </c>
      <c r="V181">
        <v>146</v>
      </c>
    </row>
    <row r="182" spans="1:22" x14ac:dyDescent="0.25">
      <c r="A182">
        <v>39082</v>
      </c>
      <c r="B182">
        <v>80.800427132545607</v>
      </c>
      <c r="C182">
        <v>75.456551080588838</v>
      </c>
      <c r="D182">
        <v>98.55851182358596</v>
      </c>
      <c r="E182">
        <v>72.05791184393081</v>
      </c>
      <c r="F182">
        <v>74.869558595355159</v>
      </c>
      <c r="G182">
        <v>81.596469153893167</v>
      </c>
      <c r="H182">
        <v>56.187332522586701</v>
      </c>
      <c r="I182">
        <v>69.842554979972434</v>
      </c>
      <c r="J182">
        <v>80.7676039528492</v>
      </c>
      <c r="K182">
        <v>0.64418906925003505</v>
      </c>
      <c r="L182">
        <v>103.713430769231</v>
      </c>
      <c r="M182">
        <v>2.4333333333333633</v>
      </c>
      <c r="N182">
        <v>0.81313574028850799</v>
      </c>
      <c r="O182">
        <v>-8.0932616320032805E-2</v>
      </c>
      <c r="P182">
        <v>341</v>
      </c>
      <c r="Q182">
        <v>67</v>
      </c>
      <c r="R182">
        <v>446</v>
      </c>
      <c r="S182">
        <v>102</v>
      </c>
      <c r="T182">
        <v>18</v>
      </c>
      <c r="U182">
        <v>26</v>
      </c>
      <c r="V182">
        <v>146</v>
      </c>
    </row>
    <row r="183" spans="1:22" x14ac:dyDescent="0.25">
      <c r="A183">
        <v>39172</v>
      </c>
      <c r="B183">
        <v>81.294136618175912</v>
      </c>
      <c r="C183">
        <v>76.094739715081161</v>
      </c>
      <c r="D183">
        <v>98.47129778946919</v>
      </c>
      <c r="E183">
        <v>72.551116044786497</v>
      </c>
      <c r="F183">
        <v>75.238861106674236</v>
      </c>
      <c r="G183">
        <v>81.666506596602034</v>
      </c>
      <c r="H183">
        <v>57.265354626060002</v>
      </c>
      <c r="I183">
        <v>71.130011789566865</v>
      </c>
      <c r="J183">
        <v>81.262667673769101</v>
      </c>
      <c r="K183">
        <v>0.63269312835008995</v>
      </c>
      <c r="L183">
        <v>104.730033846154</v>
      </c>
      <c r="M183">
        <v>2.5333333333333421</v>
      </c>
      <c r="N183">
        <v>0.81545309377751096</v>
      </c>
      <c r="O183">
        <v>0.110154954327973</v>
      </c>
      <c r="P183">
        <v>326</v>
      </c>
      <c r="Q183">
        <v>75</v>
      </c>
      <c r="R183">
        <v>453</v>
      </c>
      <c r="S183">
        <v>103</v>
      </c>
      <c r="T183">
        <v>18</v>
      </c>
      <c r="U183">
        <v>25</v>
      </c>
      <c r="V183">
        <v>146</v>
      </c>
    </row>
    <row r="184" spans="1:22" x14ac:dyDescent="0.25">
      <c r="A184">
        <v>39263</v>
      </c>
      <c r="B184">
        <v>81.649031387279209</v>
      </c>
      <c r="C184">
        <v>76.642439912560803</v>
      </c>
      <c r="D184">
        <v>98.272229618024468</v>
      </c>
      <c r="E184">
        <v>73.298449248593599</v>
      </c>
      <c r="F184">
        <v>76.216291536187541</v>
      </c>
      <c r="G184">
        <v>81.349848710347601</v>
      </c>
      <c r="H184">
        <v>57.844587255826099</v>
      </c>
      <c r="I184">
        <v>71.15515842146344</v>
      </c>
      <c r="J184">
        <v>81.726256142183999</v>
      </c>
      <c r="K184">
        <v>0.64008688386534296</v>
      </c>
      <c r="L184">
        <v>104.239373846154</v>
      </c>
      <c r="M184">
        <v>2.4666666666666814</v>
      </c>
      <c r="N184">
        <v>0.37404988473768203</v>
      </c>
      <c r="O184">
        <v>0.14035169197522099</v>
      </c>
      <c r="P184">
        <v>326</v>
      </c>
      <c r="Q184">
        <v>75</v>
      </c>
      <c r="R184">
        <v>453</v>
      </c>
      <c r="S184">
        <v>103</v>
      </c>
      <c r="T184">
        <v>18</v>
      </c>
      <c r="U184">
        <v>25</v>
      </c>
      <c r="V184">
        <v>146</v>
      </c>
    </row>
    <row r="185" spans="1:22" x14ac:dyDescent="0.25">
      <c r="A185">
        <v>39355</v>
      </c>
      <c r="B185">
        <v>81.704607649355637</v>
      </c>
      <c r="C185">
        <v>77.223121066424127</v>
      </c>
      <c r="D185">
        <v>97.540757784927692</v>
      </c>
      <c r="E185">
        <v>73.551211882680761</v>
      </c>
      <c r="F185">
        <v>76.301462693589997</v>
      </c>
      <c r="G185">
        <v>81.728890813466364</v>
      </c>
      <c r="H185">
        <v>58.326849903898335</v>
      </c>
      <c r="I185">
        <v>70.482016023792468</v>
      </c>
      <c r="J185">
        <v>81.7387605418172</v>
      </c>
      <c r="K185">
        <v>0.64067203317101096</v>
      </c>
      <c r="L185">
        <v>104.41271846153801</v>
      </c>
      <c r="M185">
        <v>2.4999999999999987</v>
      </c>
      <c r="N185">
        <v>4.4323022748277999E-2</v>
      </c>
      <c r="O185">
        <v>-0.11833065960497099</v>
      </c>
      <c r="P185">
        <v>326</v>
      </c>
      <c r="Q185">
        <v>75</v>
      </c>
      <c r="R185">
        <v>453</v>
      </c>
      <c r="S185">
        <v>103</v>
      </c>
      <c r="T185">
        <v>18</v>
      </c>
      <c r="U185">
        <v>25</v>
      </c>
      <c r="V185">
        <v>146</v>
      </c>
    </row>
    <row r="186" spans="1:22" x14ac:dyDescent="0.25">
      <c r="A186">
        <v>39447</v>
      </c>
      <c r="B186">
        <v>82.511309278758574</v>
      </c>
      <c r="C186">
        <v>77.976239910448101</v>
      </c>
      <c r="D186">
        <v>97.458073236449025</v>
      </c>
      <c r="E186">
        <v>75.219909973620261</v>
      </c>
      <c r="F186">
        <v>78.59689595892236</v>
      </c>
      <c r="G186">
        <v>81.927567146864604</v>
      </c>
      <c r="H186">
        <v>58.8590870525178</v>
      </c>
      <c r="I186">
        <v>73.07789982975801</v>
      </c>
      <c r="J186">
        <v>82.455030827616596</v>
      </c>
      <c r="K186">
        <v>0.65730996679913101</v>
      </c>
      <c r="L186">
        <v>101.594292424242</v>
      </c>
      <c r="M186">
        <v>2.6999999999999864</v>
      </c>
      <c r="N186">
        <v>0.33094281461280101</v>
      </c>
      <c r="O186">
        <v>0.207260368558223</v>
      </c>
      <c r="P186">
        <v>326</v>
      </c>
      <c r="Q186">
        <v>75</v>
      </c>
      <c r="R186">
        <v>453</v>
      </c>
      <c r="S186">
        <v>103</v>
      </c>
      <c r="T186">
        <v>18</v>
      </c>
      <c r="U186">
        <v>25</v>
      </c>
      <c r="V186">
        <v>146</v>
      </c>
    </row>
    <row r="187" spans="1:22" x14ac:dyDescent="0.25">
      <c r="A187">
        <v>39538</v>
      </c>
      <c r="B187">
        <v>83.213165062111045</v>
      </c>
      <c r="C187">
        <v>78.585583459078208</v>
      </c>
      <c r="D187">
        <v>96.951612827693836</v>
      </c>
      <c r="E187">
        <v>75.989538679255261</v>
      </c>
      <c r="F187">
        <v>79.533800497150992</v>
      </c>
      <c r="G187">
        <v>81.958761243828363</v>
      </c>
      <c r="H187">
        <v>59.544386405336837</v>
      </c>
      <c r="I187">
        <v>77.885301025533423</v>
      </c>
      <c r="J187">
        <v>83.221731491025807</v>
      </c>
      <c r="K187">
        <v>0.68564477605056495</v>
      </c>
      <c r="L187">
        <v>95.934953846153803</v>
      </c>
      <c r="M187">
        <v>3.3233333333333448</v>
      </c>
      <c r="N187">
        <v>0.70956108465802203</v>
      </c>
      <c r="O187">
        <v>0.46567345359179702</v>
      </c>
      <c r="P187">
        <v>323</v>
      </c>
      <c r="Q187">
        <v>73</v>
      </c>
      <c r="R187">
        <v>453</v>
      </c>
      <c r="S187">
        <v>109</v>
      </c>
      <c r="T187">
        <v>18</v>
      </c>
      <c r="U187">
        <v>24</v>
      </c>
      <c r="V187">
        <v>151</v>
      </c>
    </row>
    <row r="188" spans="1:22" x14ac:dyDescent="0.25">
      <c r="A188">
        <v>39629</v>
      </c>
      <c r="B188">
        <v>84.399628691859334</v>
      </c>
      <c r="C188">
        <v>79.538236456857987</v>
      </c>
      <c r="D188">
        <v>96.709639020967742</v>
      </c>
      <c r="E188">
        <v>78.381976088304796</v>
      </c>
      <c r="F188">
        <v>82.317852052663767</v>
      </c>
      <c r="G188">
        <v>84.883187080121772</v>
      </c>
      <c r="H188">
        <v>60.342090857511202</v>
      </c>
      <c r="I188">
        <v>82.676147502636397</v>
      </c>
      <c r="J188">
        <v>84.4783985597211</v>
      </c>
      <c r="K188">
        <v>0.71013328179353397</v>
      </c>
      <c r="L188">
        <v>93.071035384615399</v>
      </c>
      <c r="M188">
        <v>4.1266666666667335</v>
      </c>
      <c r="N188">
        <v>1.1528273888926699</v>
      </c>
      <c r="O188">
        <v>0.57749494659596201</v>
      </c>
      <c r="P188">
        <v>323</v>
      </c>
      <c r="Q188">
        <v>73</v>
      </c>
      <c r="R188">
        <v>453</v>
      </c>
      <c r="S188">
        <v>109</v>
      </c>
      <c r="T188">
        <v>18</v>
      </c>
      <c r="U188">
        <v>24</v>
      </c>
      <c r="V188">
        <v>151</v>
      </c>
    </row>
    <row r="189" spans="1:22" x14ac:dyDescent="0.25">
      <c r="A189">
        <v>39721</v>
      </c>
      <c r="B189">
        <v>85.622629523416208</v>
      </c>
      <c r="C189">
        <v>80.567896111396422</v>
      </c>
      <c r="D189">
        <v>96.458973787625538</v>
      </c>
      <c r="E189">
        <v>80.821169443942864</v>
      </c>
      <c r="F189">
        <v>85.573695749653211</v>
      </c>
      <c r="G189">
        <v>85.076922336049037</v>
      </c>
      <c r="H189">
        <v>60.969200088634068</v>
      </c>
      <c r="I189">
        <v>87.767599664419478</v>
      </c>
      <c r="J189">
        <v>85.633335277083802</v>
      </c>
      <c r="K189">
        <v>0.73340169529048804</v>
      </c>
      <c r="L189">
        <v>91.695078787878799</v>
      </c>
      <c r="M189">
        <v>4.3404589371979831</v>
      </c>
      <c r="N189">
        <v>1.7249383242570699</v>
      </c>
      <c r="O189">
        <v>0.41477957846817098</v>
      </c>
      <c r="P189">
        <v>323</v>
      </c>
      <c r="Q189">
        <v>73</v>
      </c>
      <c r="R189">
        <v>453</v>
      </c>
      <c r="S189">
        <v>109</v>
      </c>
      <c r="T189">
        <v>18</v>
      </c>
      <c r="U189">
        <v>24</v>
      </c>
      <c r="V189">
        <v>151</v>
      </c>
    </row>
    <row r="190" spans="1:22" x14ac:dyDescent="0.25">
      <c r="A190">
        <v>39813</v>
      </c>
      <c r="B190">
        <v>85.715849377221033</v>
      </c>
      <c r="C190">
        <v>81.447767693574562</v>
      </c>
      <c r="D190">
        <v>95.356926302146803</v>
      </c>
      <c r="E190">
        <v>81.793418547474204</v>
      </c>
      <c r="F190">
        <v>86.792930875848811</v>
      </c>
      <c r="G190">
        <v>85.181242076336545</v>
      </c>
      <c r="H190">
        <v>61.653547758067361</v>
      </c>
      <c r="I190">
        <v>85.991098588507043</v>
      </c>
      <c r="J190">
        <v>85.640873534576798</v>
      </c>
      <c r="K190">
        <v>0.72747031121115702</v>
      </c>
      <c r="L190">
        <v>83.942380303030305</v>
      </c>
      <c r="M190">
        <v>1.5441543026706288</v>
      </c>
      <c r="N190">
        <v>1.2851169715736199</v>
      </c>
      <c r="O190">
        <v>-0.25671941715742802</v>
      </c>
      <c r="P190">
        <v>323</v>
      </c>
      <c r="Q190">
        <v>73</v>
      </c>
      <c r="R190">
        <v>453</v>
      </c>
      <c r="S190">
        <v>109</v>
      </c>
      <c r="T190">
        <v>18</v>
      </c>
      <c r="U190">
        <v>24</v>
      </c>
      <c r="V190">
        <v>151</v>
      </c>
    </row>
    <row r="191" spans="1:22" x14ac:dyDescent="0.25">
      <c r="A191">
        <v>39903</v>
      </c>
      <c r="B191">
        <v>85.677461988931228</v>
      </c>
      <c r="C191">
        <v>81.837362894259925</v>
      </c>
      <c r="D191">
        <v>94.827625367678976</v>
      </c>
      <c r="E191">
        <v>83.009858942090389</v>
      </c>
      <c r="F191">
        <v>87.99238482121784</v>
      </c>
      <c r="G191">
        <v>87.197951546616977</v>
      </c>
      <c r="H191">
        <v>62.259307413325836</v>
      </c>
      <c r="I191">
        <v>82.010216221786067</v>
      </c>
      <c r="J191">
        <v>85.727729818347797</v>
      </c>
      <c r="K191">
        <v>0.73092000531804802</v>
      </c>
      <c r="L191">
        <v>77.790968750000005</v>
      </c>
      <c r="M191">
        <v>1.4821164021163924</v>
      </c>
      <c r="N191">
        <v>0.49581996628150798</v>
      </c>
      <c r="O191">
        <v>-0.32614814317173602</v>
      </c>
      <c r="P191">
        <v>312</v>
      </c>
      <c r="Q191">
        <v>80</v>
      </c>
      <c r="R191">
        <v>446</v>
      </c>
      <c r="S191">
        <v>118</v>
      </c>
      <c r="T191">
        <v>21</v>
      </c>
      <c r="U191">
        <v>23</v>
      </c>
      <c r="V191">
        <v>162</v>
      </c>
    </row>
    <row r="192" spans="1:22" x14ac:dyDescent="0.25">
      <c r="A192">
        <v>39994</v>
      </c>
      <c r="B192">
        <v>86.15976755532354</v>
      </c>
      <c r="C192">
        <v>82.270942096016583</v>
      </c>
      <c r="D192">
        <v>95.654937823592505</v>
      </c>
      <c r="E192">
        <v>83.220861295653535</v>
      </c>
      <c r="F192">
        <v>88.308924452653969</v>
      </c>
      <c r="G192">
        <v>87.210677618102508</v>
      </c>
      <c r="H192">
        <v>62.310963197896491</v>
      </c>
      <c r="I192">
        <v>82.036383837974157</v>
      </c>
      <c r="J192">
        <v>86.234754047421404</v>
      </c>
      <c r="K192">
        <v>0.71601344282857504</v>
      </c>
      <c r="L192">
        <v>81.3092738461538</v>
      </c>
      <c r="M192">
        <v>1.8160783232406086</v>
      </c>
      <c r="N192">
        <v>-3.3463491076020598E-3</v>
      </c>
      <c r="O192">
        <v>6.5202411569874996E-2</v>
      </c>
      <c r="P192">
        <v>312</v>
      </c>
      <c r="Q192">
        <v>80</v>
      </c>
      <c r="R192">
        <v>446</v>
      </c>
      <c r="S192">
        <v>118</v>
      </c>
      <c r="T192">
        <v>21</v>
      </c>
      <c r="U192">
        <v>23</v>
      </c>
      <c r="V192">
        <v>162</v>
      </c>
    </row>
    <row r="193" spans="1:22" x14ac:dyDescent="0.25">
      <c r="A193">
        <v>40086</v>
      </c>
      <c r="B193">
        <v>86.924358866209801</v>
      </c>
      <c r="C193">
        <v>82.818965560018796</v>
      </c>
      <c r="D193">
        <v>96.748856693679144</v>
      </c>
      <c r="E193">
        <v>83.273957539010269</v>
      </c>
      <c r="F193">
        <v>87.773256644266795</v>
      </c>
      <c r="G193">
        <v>88.565655919881635</v>
      </c>
      <c r="H193">
        <v>63.382794957694408</v>
      </c>
      <c r="I193">
        <v>84.43822912724265</v>
      </c>
      <c r="J193">
        <v>86.903555326754898</v>
      </c>
      <c r="K193">
        <v>0.71104869772248203</v>
      </c>
      <c r="L193">
        <v>82.911893939393906</v>
      </c>
      <c r="M193">
        <v>1.8710162025955688</v>
      </c>
      <c r="N193">
        <v>-0.246943476236648</v>
      </c>
      <c r="O193">
        <v>0.18136360737922499</v>
      </c>
      <c r="P193">
        <v>312</v>
      </c>
      <c r="Q193">
        <v>80</v>
      </c>
      <c r="R193">
        <v>446</v>
      </c>
      <c r="S193">
        <v>118</v>
      </c>
      <c r="T193">
        <v>21</v>
      </c>
      <c r="U193">
        <v>23</v>
      </c>
      <c r="V193">
        <v>162</v>
      </c>
    </row>
    <row r="194" spans="1:22" x14ac:dyDescent="0.25">
      <c r="A194">
        <v>40178</v>
      </c>
      <c r="B194">
        <v>87.534280115684567</v>
      </c>
      <c r="C194">
        <v>83.410496500833645</v>
      </c>
      <c r="D194">
        <v>97.120889173976664</v>
      </c>
      <c r="E194">
        <v>83.844235616954464</v>
      </c>
      <c r="F194">
        <v>88.32590778326967</v>
      </c>
      <c r="G194">
        <v>89.28787021115356</v>
      </c>
      <c r="H194">
        <v>64.12562627513833</v>
      </c>
      <c r="I194">
        <v>86.397389894562437</v>
      </c>
      <c r="J194">
        <v>87.453767874372005</v>
      </c>
      <c r="K194">
        <v>0.718035511271781</v>
      </c>
      <c r="L194">
        <v>80.353062121212105</v>
      </c>
      <c r="M194">
        <v>2.0075486250838721</v>
      </c>
      <c r="N194">
        <v>0.101321891194596</v>
      </c>
      <c r="O194">
        <v>0.13445341671153399</v>
      </c>
      <c r="P194">
        <v>312</v>
      </c>
      <c r="Q194">
        <v>80</v>
      </c>
      <c r="R194">
        <v>446</v>
      </c>
      <c r="S194">
        <v>118</v>
      </c>
      <c r="T194">
        <v>21</v>
      </c>
      <c r="U194">
        <v>23</v>
      </c>
      <c r="V194">
        <v>162</v>
      </c>
    </row>
    <row r="195" spans="1:22" x14ac:dyDescent="0.25">
      <c r="A195">
        <v>40268</v>
      </c>
      <c r="B195">
        <v>88.431032272878838</v>
      </c>
      <c r="C195">
        <v>84.379845312412996</v>
      </c>
      <c r="D195">
        <v>97.46249220497026</v>
      </c>
      <c r="E195">
        <v>85.139204142394036</v>
      </c>
      <c r="F195">
        <v>89.453891235916998</v>
      </c>
      <c r="G195">
        <v>89.55948122598636</v>
      </c>
      <c r="H195">
        <v>66.656144582256971</v>
      </c>
      <c r="I195">
        <v>87.699409046380325</v>
      </c>
      <c r="J195">
        <v>88.514134771042393</v>
      </c>
      <c r="K195">
        <v>0.73762646098512996</v>
      </c>
      <c r="L195">
        <v>79.543812500000001</v>
      </c>
      <c r="M195">
        <v>2.301390043398611</v>
      </c>
      <c r="N195">
        <v>0.50255924177984002</v>
      </c>
      <c r="O195">
        <v>0.18762675130171899</v>
      </c>
      <c r="P195">
        <v>313</v>
      </c>
      <c r="Q195">
        <v>88</v>
      </c>
      <c r="R195">
        <v>451</v>
      </c>
      <c r="S195">
        <v>108</v>
      </c>
      <c r="T195">
        <v>18</v>
      </c>
      <c r="U195">
        <v>22</v>
      </c>
      <c r="V195">
        <v>148</v>
      </c>
    </row>
    <row r="196" spans="1:22" x14ac:dyDescent="0.25">
      <c r="A196">
        <v>40359</v>
      </c>
      <c r="B196">
        <v>89.149935009377074</v>
      </c>
      <c r="C196">
        <v>85.197668340993346</v>
      </c>
      <c r="D196">
        <v>97.794868419101633</v>
      </c>
      <c r="E196">
        <v>85.883704596755891</v>
      </c>
      <c r="F196">
        <v>90.264506993479202</v>
      </c>
      <c r="G196">
        <v>90.181221743676701</v>
      </c>
      <c r="H196">
        <v>67.322785272699434</v>
      </c>
      <c r="I196">
        <v>88.993371323519867</v>
      </c>
      <c r="J196">
        <v>89.209095175361497</v>
      </c>
      <c r="K196">
        <v>0.74845947139534197</v>
      </c>
      <c r="L196">
        <v>79.899689230769198</v>
      </c>
      <c r="M196">
        <v>2.6505886564059562</v>
      </c>
      <c r="N196">
        <v>0.58031803605650401</v>
      </c>
      <c r="O196">
        <v>0.158164675972188</v>
      </c>
      <c r="P196">
        <v>313</v>
      </c>
      <c r="Q196">
        <v>88</v>
      </c>
      <c r="R196">
        <v>451</v>
      </c>
      <c r="S196">
        <v>108</v>
      </c>
      <c r="T196">
        <v>18</v>
      </c>
      <c r="U196">
        <v>22</v>
      </c>
      <c r="V196">
        <v>148</v>
      </c>
    </row>
    <row r="197" spans="1:22" x14ac:dyDescent="0.25">
      <c r="A197">
        <v>40451</v>
      </c>
      <c r="B197">
        <v>89.638294686830889</v>
      </c>
      <c r="C197">
        <v>85.933661989550004</v>
      </c>
      <c r="D197">
        <v>97.975058796536885</v>
      </c>
      <c r="E197">
        <v>86.951847807603031</v>
      </c>
      <c r="F197">
        <v>91.446251491513593</v>
      </c>
      <c r="G197">
        <v>90.86338632288313</v>
      </c>
      <c r="H197">
        <v>68.001566778590345</v>
      </c>
      <c r="I197">
        <v>88.087504676968365</v>
      </c>
      <c r="J197">
        <v>89.597693247304207</v>
      </c>
      <c r="K197">
        <v>0.74234749464842498</v>
      </c>
      <c r="L197">
        <v>81.7654454545455</v>
      </c>
      <c r="M197">
        <v>2.8352346264846378</v>
      </c>
      <c r="N197">
        <v>0.26076684740058198</v>
      </c>
      <c r="O197">
        <v>-0.12701395323713599</v>
      </c>
      <c r="P197">
        <v>313</v>
      </c>
      <c r="Q197">
        <v>88</v>
      </c>
      <c r="R197">
        <v>451</v>
      </c>
      <c r="S197">
        <v>108</v>
      </c>
      <c r="T197">
        <v>18</v>
      </c>
      <c r="U197">
        <v>22</v>
      </c>
      <c r="V197">
        <v>148</v>
      </c>
    </row>
    <row r="198" spans="1:22" x14ac:dyDescent="0.25">
      <c r="A198">
        <v>40543</v>
      </c>
      <c r="B198">
        <v>90.489806177236133</v>
      </c>
      <c r="C198">
        <v>86.591552448257588</v>
      </c>
      <c r="D198">
        <v>98.369291646594647</v>
      </c>
      <c r="E198">
        <v>88.591673818649085</v>
      </c>
      <c r="F198">
        <v>93.13460881510359</v>
      </c>
      <c r="G198">
        <v>92.78220916680867</v>
      </c>
      <c r="H198">
        <v>69.334173598667135</v>
      </c>
      <c r="I198">
        <v>90.420116042050893</v>
      </c>
      <c r="J198">
        <v>90.4101607728266</v>
      </c>
      <c r="K198">
        <v>0.75542882863199101</v>
      </c>
      <c r="L198">
        <v>80.312759090909097</v>
      </c>
      <c r="M198">
        <v>3.2715136112828467</v>
      </c>
      <c r="N198">
        <v>0.32099091782760703</v>
      </c>
      <c r="O198">
        <v>0.19462453007871</v>
      </c>
      <c r="P198">
        <v>313</v>
      </c>
      <c r="Q198">
        <v>88</v>
      </c>
      <c r="R198">
        <v>451</v>
      </c>
      <c r="S198">
        <v>108</v>
      </c>
      <c r="T198">
        <v>18</v>
      </c>
      <c r="U198">
        <v>22</v>
      </c>
      <c r="V198">
        <v>148</v>
      </c>
    </row>
    <row r="199" spans="1:22" x14ac:dyDescent="0.25">
      <c r="A199">
        <v>40633</v>
      </c>
      <c r="B199">
        <v>92.028246006294424</v>
      </c>
      <c r="C199">
        <v>87.912967080105943</v>
      </c>
      <c r="D199">
        <v>99.170306398765774</v>
      </c>
      <c r="E199">
        <v>90.012389630124503</v>
      </c>
      <c r="F199">
        <v>94.438459915867682</v>
      </c>
      <c r="G199">
        <v>93.157862915665092</v>
      </c>
      <c r="H199">
        <v>71.802037138736935</v>
      </c>
      <c r="I199">
        <v>95.633425670901943</v>
      </c>
      <c r="J199">
        <v>92.119747796089499</v>
      </c>
      <c r="K199">
        <v>0.77480731613046805</v>
      </c>
      <c r="L199">
        <v>80.801396874999995</v>
      </c>
      <c r="M199">
        <v>3.5419702495573993</v>
      </c>
      <c r="N199">
        <v>0.70267001409044105</v>
      </c>
      <c r="O199">
        <v>0.56007002109159698</v>
      </c>
      <c r="P199">
        <v>314</v>
      </c>
      <c r="Q199">
        <v>87</v>
      </c>
      <c r="R199">
        <v>439</v>
      </c>
      <c r="S199">
        <v>118</v>
      </c>
      <c r="T199">
        <v>19</v>
      </c>
      <c r="U199">
        <v>23</v>
      </c>
      <c r="V199">
        <v>160</v>
      </c>
    </row>
    <row r="200" spans="1:22" x14ac:dyDescent="0.25">
      <c r="A200">
        <v>40724</v>
      </c>
      <c r="B200">
        <v>93.071536943024171</v>
      </c>
      <c r="C200">
        <v>89.053937918689897</v>
      </c>
      <c r="D200">
        <v>99.269248788610994</v>
      </c>
      <c r="E200">
        <v>91.677961394101132</v>
      </c>
      <c r="F200">
        <v>95.451423700043904</v>
      </c>
      <c r="G200">
        <v>96.631551388411069</v>
      </c>
      <c r="H200">
        <v>74.990931545672041</v>
      </c>
      <c r="I200">
        <v>98.19389255267329</v>
      </c>
      <c r="J200">
        <v>93.115155211009593</v>
      </c>
      <c r="K200">
        <v>0.79250308454060703</v>
      </c>
      <c r="L200">
        <v>79.449792307692306</v>
      </c>
      <c r="M200">
        <v>3.375212504142874</v>
      </c>
      <c r="N200">
        <v>0.76852261598709404</v>
      </c>
      <c r="O200">
        <v>0.23219285039294399</v>
      </c>
      <c r="P200">
        <v>314</v>
      </c>
      <c r="Q200">
        <v>87</v>
      </c>
      <c r="R200">
        <v>439</v>
      </c>
      <c r="S200">
        <v>118</v>
      </c>
      <c r="T200">
        <v>19</v>
      </c>
      <c r="U200">
        <v>23</v>
      </c>
      <c r="V200">
        <v>160</v>
      </c>
    </row>
    <row r="201" spans="1:22" x14ac:dyDescent="0.25">
      <c r="A201">
        <v>40816</v>
      </c>
      <c r="B201">
        <v>93.884444201758356</v>
      </c>
      <c r="C201">
        <v>89.712905874510099</v>
      </c>
      <c r="D201">
        <v>99.557418846227847</v>
      </c>
      <c r="E201">
        <v>93.237254463578665</v>
      </c>
      <c r="F201">
        <v>97.154981546404201</v>
      </c>
      <c r="G201">
        <v>97.117781804489667</v>
      </c>
      <c r="H201">
        <v>76.509668870506928</v>
      </c>
      <c r="I201">
        <v>100.16051669288386</v>
      </c>
      <c r="J201">
        <v>93.838228902574699</v>
      </c>
      <c r="K201">
        <v>0.80330078884896206</v>
      </c>
      <c r="L201">
        <v>79.238960606060601</v>
      </c>
      <c r="M201">
        <v>3.4898805472145966</v>
      </c>
      <c r="N201">
        <v>1.05498669861284</v>
      </c>
      <c r="O201">
        <v>0.15487507420452101</v>
      </c>
      <c r="P201">
        <v>314</v>
      </c>
      <c r="Q201">
        <v>87</v>
      </c>
      <c r="R201">
        <v>439</v>
      </c>
      <c r="S201">
        <v>118</v>
      </c>
      <c r="T201">
        <v>19</v>
      </c>
      <c r="U201">
        <v>23</v>
      </c>
      <c r="V201">
        <v>160</v>
      </c>
    </row>
    <row r="202" spans="1:22" x14ac:dyDescent="0.25">
      <c r="A202">
        <v>40908</v>
      </c>
      <c r="B202">
        <v>94.672700791711677</v>
      </c>
      <c r="C202">
        <v>90.273256422834663</v>
      </c>
      <c r="D202">
        <v>99.989179662138312</v>
      </c>
      <c r="E202">
        <v>93.532438518691151</v>
      </c>
      <c r="F202">
        <v>97.130995935006737</v>
      </c>
      <c r="G202">
        <v>97.517220688463397</v>
      </c>
      <c r="H202">
        <v>77.87668627081456</v>
      </c>
      <c r="I202">
        <v>104.67349034756099</v>
      </c>
      <c r="J202">
        <v>94.600470014285307</v>
      </c>
      <c r="K202">
        <v>0.79692550841968202</v>
      </c>
      <c r="L202">
        <v>80.333807692307701</v>
      </c>
      <c r="M202">
        <v>3.2213697643305159</v>
      </c>
      <c r="N202">
        <v>1.24898176101869</v>
      </c>
      <c r="O202">
        <v>0.381362520234932</v>
      </c>
      <c r="P202">
        <v>314</v>
      </c>
      <c r="Q202">
        <v>87</v>
      </c>
      <c r="R202">
        <v>439</v>
      </c>
      <c r="S202">
        <v>118</v>
      </c>
      <c r="T202">
        <v>19</v>
      </c>
      <c r="U202">
        <v>23</v>
      </c>
      <c r="V202">
        <v>160</v>
      </c>
    </row>
    <row r="203" spans="1:22" x14ac:dyDescent="0.25">
      <c r="A203">
        <v>40999</v>
      </c>
      <c r="B203">
        <v>95.220828533021802</v>
      </c>
      <c r="C203">
        <v>90.990465446417076</v>
      </c>
      <c r="D203">
        <v>100.26857414915668</v>
      </c>
      <c r="E203">
        <v>94.339792643349242</v>
      </c>
      <c r="F203">
        <v>98.059610435736786</v>
      </c>
      <c r="G203">
        <v>98.45528822952933</v>
      </c>
      <c r="H203">
        <v>78.297775842712142</v>
      </c>
      <c r="I203">
        <v>104.58844196118766</v>
      </c>
      <c r="J203">
        <v>95.296594834362097</v>
      </c>
      <c r="K203">
        <v>0.79036304883250197</v>
      </c>
      <c r="L203">
        <v>81.185307692307703</v>
      </c>
      <c r="M203">
        <v>2.6732813585155433</v>
      </c>
      <c r="N203">
        <v>0.82772171266241201</v>
      </c>
      <c r="O203">
        <v>5.6173276616820499E-2</v>
      </c>
      <c r="P203">
        <v>299</v>
      </c>
      <c r="Q203">
        <v>102</v>
      </c>
      <c r="R203">
        <v>445</v>
      </c>
      <c r="S203">
        <v>112</v>
      </c>
      <c r="T203">
        <v>18</v>
      </c>
      <c r="U203">
        <v>24</v>
      </c>
      <c r="V203">
        <v>154</v>
      </c>
    </row>
    <row r="204" spans="1:22" x14ac:dyDescent="0.25">
      <c r="A204">
        <v>41090</v>
      </c>
      <c r="B204">
        <v>95.661801589235736</v>
      </c>
      <c r="C204">
        <v>91.874666961234553</v>
      </c>
      <c r="D204">
        <v>99.992916527829777</v>
      </c>
      <c r="E204">
        <v>95.203023909993405</v>
      </c>
      <c r="F204">
        <v>98.600128903658003</v>
      </c>
      <c r="G204">
        <v>98.344902271854878</v>
      </c>
      <c r="H204">
        <v>80.928781127316668</v>
      </c>
      <c r="I204">
        <v>104.38451787906634</v>
      </c>
      <c r="J204">
        <v>95.693244690360004</v>
      </c>
      <c r="K204">
        <v>0.78233241965256906</v>
      </c>
      <c r="L204">
        <v>83.181383076923098</v>
      </c>
      <c r="M204">
        <v>2.7328072825683152</v>
      </c>
      <c r="N204">
        <v>0.54554070595886694</v>
      </c>
      <c r="O204">
        <v>-4.3636593431138501E-2</v>
      </c>
      <c r="P204">
        <v>299</v>
      </c>
      <c r="Q204">
        <v>102</v>
      </c>
      <c r="R204">
        <v>445</v>
      </c>
      <c r="S204">
        <v>112</v>
      </c>
      <c r="T204">
        <v>18</v>
      </c>
      <c r="U204">
        <v>24</v>
      </c>
      <c r="V204">
        <v>154</v>
      </c>
    </row>
    <row r="205" spans="1:22" x14ac:dyDescent="0.25">
      <c r="A205">
        <v>41182</v>
      </c>
      <c r="B205">
        <v>96.159757106247127</v>
      </c>
      <c r="C205">
        <v>92.663276461154041</v>
      </c>
      <c r="D205">
        <v>100.06941067775598</v>
      </c>
      <c r="E205">
        <v>96.120000892621292</v>
      </c>
      <c r="F205">
        <v>99.226062487439506</v>
      </c>
      <c r="G205">
        <v>98.889261550535934</v>
      </c>
      <c r="H205">
        <v>82.976582341582699</v>
      </c>
      <c r="I205">
        <v>103.68401053509801</v>
      </c>
      <c r="J205">
        <v>96.132770683416496</v>
      </c>
      <c r="K205">
        <v>0.77949894334766001</v>
      </c>
      <c r="L205">
        <v>84.087635384615396</v>
      </c>
      <c r="M205">
        <v>2.6338769922366603</v>
      </c>
      <c r="N205">
        <v>0.31575128789910001</v>
      </c>
      <c r="O205">
        <v>-7.0602534907149003E-2</v>
      </c>
      <c r="P205">
        <v>299</v>
      </c>
      <c r="Q205">
        <v>102</v>
      </c>
      <c r="R205">
        <v>445</v>
      </c>
      <c r="S205">
        <v>112</v>
      </c>
      <c r="T205">
        <v>18</v>
      </c>
      <c r="U205">
        <v>24</v>
      </c>
      <c r="V205">
        <v>154</v>
      </c>
    </row>
    <row r="206" spans="1:22" x14ac:dyDescent="0.25">
      <c r="A206">
        <v>41274</v>
      </c>
      <c r="B206">
        <v>97.162654247917999</v>
      </c>
      <c r="C206">
        <v>93.826523338900373</v>
      </c>
      <c r="D206">
        <v>100.41599137190799</v>
      </c>
      <c r="E206">
        <v>97.577218272869018</v>
      </c>
      <c r="F206">
        <v>100.720386662997</v>
      </c>
      <c r="G206">
        <v>99.479593443291932</v>
      </c>
      <c r="H206">
        <v>84.635244859279169</v>
      </c>
      <c r="I206">
        <v>105.58557801242399</v>
      </c>
      <c r="J206">
        <v>97.110964269244803</v>
      </c>
      <c r="K206">
        <v>0.78154662829000898</v>
      </c>
      <c r="L206">
        <v>83.635050000000007</v>
      </c>
      <c r="M206">
        <v>2.8395493192289751</v>
      </c>
      <c r="N206">
        <v>0.104563536497584</v>
      </c>
      <c r="O206">
        <v>0.17002043948124901</v>
      </c>
      <c r="P206">
        <v>299</v>
      </c>
      <c r="Q206">
        <v>102</v>
      </c>
      <c r="R206">
        <v>445</v>
      </c>
      <c r="S206">
        <v>112</v>
      </c>
      <c r="T206">
        <v>18</v>
      </c>
      <c r="U206">
        <v>24</v>
      </c>
      <c r="V206">
        <v>154</v>
      </c>
    </row>
    <row r="207" spans="1:22" x14ac:dyDescent="0.25">
      <c r="A207">
        <v>41364</v>
      </c>
      <c r="B207">
        <v>97.878204369286664</v>
      </c>
      <c r="C207">
        <v>94.497713062964138</v>
      </c>
      <c r="D207">
        <v>100.25492351994366</v>
      </c>
      <c r="E207">
        <v>98.933189023488126</v>
      </c>
      <c r="F207">
        <v>101.831219987024</v>
      </c>
      <c r="G207">
        <v>101.77752488879499</v>
      </c>
      <c r="H207">
        <v>85.719780021004397</v>
      </c>
      <c r="I207">
        <v>108.31118169835234</v>
      </c>
      <c r="J207">
        <v>97.925488465259704</v>
      </c>
      <c r="K207">
        <v>0.79884478823621796</v>
      </c>
      <c r="L207">
        <v>80.442884375000006</v>
      </c>
      <c r="M207">
        <v>2.7984394444998073</v>
      </c>
      <c r="N207">
        <v>0.324024369524822</v>
      </c>
      <c r="O207">
        <v>0.241460052475615</v>
      </c>
      <c r="P207">
        <v>296</v>
      </c>
      <c r="Q207">
        <v>88</v>
      </c>
      <c r="R207">
        <v>466</v>
      </c>
      <c r="S207">
        <v>106</v>
      </c>
      <c r="T207">
        <v>20</v>
      </c>
      <c r="U207">
        <v>24</v>
      </c>
      <c r="V207">
        <v>150</v>
      </c>
    </row>
    <row r="208" spans="1:22" x14ac:dyDescent="0.25">
      <c r="A208">
        <v>41455</v>
      </c>
      <c r="B208">
        <v>98.251378473589838</v>
      </c>
      <c r="C208">
        <v>95.046476257027862</v>
      </c>
      <c r="D208">
        <v>100.27978237194566</v>
      </c>
      <c r="E208">
        <v>99.859685215060438</v>
      </c>
      <c r="F208">
        <v>102.75500391936266</v>
      </c>
      <c r="G208">
        <v>101.836289917104</v>
      </c>
      <c r="H208">
        <v>87.210873548229799</v>
      </c>
      <c r="I208">
        <v>107.83201654009734</v>
      </c>
      <c r="J208">
        <v>98.272753366828596</v>
      </c>
      <c r="K208">
        <v>0.79167951163778205</v>
      </c>
      <c r="L208">
        <v>80.515092307692299</v>
      </c>
      <c r="M208">
        <v>2.5464188172083313</v>
      </c>
      <c r="N208">
        <v>0.31364041349556798</v>
      </c>
      <c r="O208">
        <v>-4.6266301499783898E-2</v>
      </c>
      <c r="P208">
        <v>296</v>
      </c>
      <c r="Q208">
        <v>88</v>
      </c>
      <c r="R208">
        <v>466</v>
      </c>
      <c r="S208">
        <v>106</v>
      </c>
      <c r="T208">
        <v>20</v>
      </c>
      <c r="U208">
        <v>24</v>
      </c>
      <c r="V208">
        <v>150</v>
      </c>
    </row>
    <row r="209" spans="1:22" x14ac:dyDescent="0.25">
      <c r="A209">
        <v>41547</v>
      </c>
      <c r="B209">
        <v>98.752854591939908</v>
      </c>
      <c r="C209">
        <v>95.572863782293311</v>
      </c>
      <c r="D209">
        <v>100.44629317566866</v>
      </c>
      <c r="E209">
        <v>100.64149809400267</v>
      </c>
      <c r="F209">
        <v>103.29671967476033</v>
      </c>
      <c r="G209">
        <v>102.71419074656801</v>
      </c>
      <c r="H209">
        <v>88.583060290652668</v>
      </c>
      <c r="I209">
        <v>108.30898115607933</v>
      </c>
      <c r="J209">
        <v>98.742078767920106</v>
      </c>
      <c r="K209">
        <v>0.79239358474646304</v>
      </c>
      <c r="L209">
        <v>81.208398484848502</v>
      </c>
      <c r="M209">
        <v>2.5748216030053293</v>
      </c>
      <c r="N209">
        <v>0.43632015937909602</v>
      </c>
      <c r="O209">
        <v>5.0228150077548703E-2</v>
      </c>
      <c r="P209">
        <v>296</v>
      </c>
      <c r="Q209">
        <v>88</v>
      </c>
      <c r="R209">
        <v>466</v>
      </c>
      <c r="S209">
        <v>106</v>
      </c>
      <c r="T209">
        <v>20</v>
      </c>
      <c r="U209">
        <v>24</v>
      </c>
      <c r="V209">
        <v>150</v>
      </c>
    </row>
    <row r="210" spans="1:22" x14ac:dyDescent="0.25">
      <c r="A210">
        <v>41639</v>
      </c>
      <c r="B210">
        <v>99.16645698771913</v>
      </c>
      <c r="C210">
        <v>96.228078680329631</v>
      </c>
      <c r="D210">
        <v>100.78376977819967</v>
      </c>
      <c r="E210">
        <v>101.17449901115033</v>
      </c>
      <c r="F210">
        <v>103.58088696547502</v>
      </c>
      <c r="G210">
        <v>102.56867208326467</v>
      </c>
      <c r="H210">
        <v>90.447371162377706</v>
      </c>
      <c r="I210">
        <v>107.92752093511767</v>
      </c>
      <c r="J210">
        <v>99.137279807018302</v>
      </c>
      <c r="K210">
        <v>0.77685805948687903</v>
      </c>
      <c r="L210">
        <v>83.550871212121194</v>
      </c>
      <c r="M210">
        <v>2.8319255146371365</v>
      </c>
      <c r="N210">
        <v>0.22219070211023301</v>
      </c>
      <c r="O210">
        <v>-3.9462920803342003E-2</v>
      </c>
      <c r="P210">
        <v>296</v>
      </c>
      <c r="Q210">
        <v>88</v>
      </c>
      <c r="R210">
        <v>466</v>
      </c>
      <c r="S210">
        <v>106</v>
      </c>
      <c r="T210">
        <v>20</v>
      </c>
      <c r="U210">
        <v>24</v>
      </c>
      <c r="V210">
        <v>150</v>
      </c>
    </row>
    <row r="211" spans="1:22" x14ac:dyDescent="0.25">
      <c r="A211">
        <v>41729</v>
      </c>
      <c r="B211">
        <v>99.615965019554665</v>
      </c>
      <c r="C211">
        <v>96.761795187350572</v>
      </c>
      <c r="D211">
        <v>100.74134078545767</v>
      </c>
      <c r="E211">
        <v>101.51263395869665</v>
      </c>
      <c r="F211">
        <v>103.69940747537733</v>
      </c>
      <c r="G211">
        <v>102.60369891342134</v>
      </c>
      <c r="H211">
        <v>91.971291673900566</v>
      </c>
      <c r="I211">
        <v>109.70553215533168</v>
      </c>
      <c r="J211">
        <v>99.631583657680906</v>
      </c>
      <c r="K211">
        <v>0.77005639191864195</v>
      </c>
      <c r="L211">
        <v>85.572229687499998</v>
      </c>
      <c r="M211">
        <v>2.2293252935517471</v>
      </c>
      <c r="N211">
        <v>9.8094031068240703E-2</v>
      </c>
      <c r="O211">
        <v>0.118953558534671</v>
      </c>
      <c r="P211">
        <v>303</v>
      </c>
      <c r="Q211">
        <v>80</v>
      </c>
      <c r="R211">
        <v>460</v>
      </c>
      <c r="S211">
        <v>112</v>
      </c>
      <c r="T211">
        <v>20</v>
      </c>
      <c r="U211">
        <v>25</v>
      </c>
      <c r="V211">
        <v>157</v>
      </c>
    </row>
    <row r="212" spans="1:22" x14ac:dyDescent="0.25">
      <c r="A212">
        <v>41820</v>
      </c>
      <c r="B212">
        <v>99.965838125717156</v>
      </c>
      <c r="C212">
        <v>97.447287714361963</v>
      </c>
      <c r="D212">
        <v>101.19548548535266</v>
      </c>
      <c r="E212">
        <v>101.10270726469498</v>
      </c>
      <c r="F212">
        <v>102.71213136249001</v>
      </c>
      <c r="G212">
        <v>102.60684242225399</v>
      </c>
      <c r="H212">
        <v>93.613842075338894</v>
      </c>
      <c r="I212">
        <v>108.99814611378167</v>
      </c>
      <c r="J212">
        <v>99.977142779752299</v>
      </c>
      <c r="K212">
        <v>0.76186138184852603</v>
      </c>
      <c r="L212">
        <v>86.910458461538497</v>
      </c>
      <c r="M212">
        <v>2.056924231171823</v>
      </c>
      <c r="N212">
        <v>0.10587156808661601</v>
      </c>
      <c r="O212">
        <v>-3.9039395433083303E-2</v>
      </c>
      <c r="P212">
        <v>303</v>
      </c>
      <c r="Q212">
        <v>80</v>
      </c>
      <c r="R212">
        <v>460</v>
      </c>
      <c r="S212">
        <v>112</v>
      </c>
      <c r="T212">
        <v>20</v>
      </c>
      <c r="U212">
        <v>25</v>
      </c>
      <c r="V212">
        <v>157</v>
      </c>
    </row>
    <row r="213" spans="1:22" x14ac:dyDescent="0.25">
      <c r="A213">
        <v>41912</v>
      </c>
      <c r="B213">
        <v>100.15677739650266</v>
      </c>
      <c r="C213">
        <v>97.959458747727567</v>
      </c>
      <c r="D213">
        <v>101.00929650617768</v>
      </c>
      <c r="E213">
        <v>101.19990884372199</v>
      </c>
      <c r="F213">
        <v>102.32972761473133</v>
      </c>
      <c r="G213">
        <v>102.08085754246467</v>
      </c>
      <c r="H213">
        <v>95.727338342374765</v>
      </c>
      <c r="I213">
        <v>108.44621183848399</v>
      </c>
      <c r="J213">
        <v>100.162977213931</v>
      </c>
      <c r="K213">
        <v>0.75226035278899805</v>
      </c>
      <c r="L213">
        <v>88.037404545454507</v>
      </c>
      <c r="M213">
        <v>2.1248729237613553</v>
      </c>
      <c r="N213">
        <v>3.7153210251410003E-2</v>
      </c>
      <c r="O213">
        <v>-1.7614852146566599E-2</v>
      </c>
      <c r="P213">
        <v>303</v>
      </c>
      <c r="Q213">
        <v>80</v>
      </c>
      <c r="R213">
        <v>460</v>
      </c>
      <c r="S213">
        <v>112</v>
      </c>
      <c r="T213">
        <v>20</v>
      </c>
      <c r="U213">
        <v>25</v>
      </c>
      <c r="V213">
        <v>157</v>
      </c>
    </row>
    <row r="214" spans="1:22" x14ac:dyDescent="0.25">
      <c r="A214">
        <v>42004</v>
      </c>
      <c r="B214">
        <v>100.07191441089135</v>
      </c>
      <c r="C214">
        <v>98.543422853539013</v>
      </c>
      <c r="D214">
        <v>100.49867292423799</v>
      </c>
      <c r="E214">
        <v>101.34937351147433</v>
      </c>
      <c r="F214">
        <v>101.90270688934201</v>
      </c>
      <c r="G214">
        <v>102.878615332145</v>
      </c>
      <c r="H214">
        <v>97.585296483620894</v>
      </c>
      <c r="I214">
        <v>105.70751267500732</v>
      </c>
      <c r="J214">
        <v>100.062422966814</v>
      </c>
      <c r="K214">
        <v>0.74632537520411302</v>
      </c>
      <c r="L214">
        <v>87.311537878787902</v>
      </c>
      <c r="M214">
        <v>1.7035599242558022</v>
      </c>
      <c r="N214">
        <v>-0.13202299430424599</v>
      </c>
      <c r="O214">
        <v>-0.210741219358592</v>
      </c>
      <c r="P214">
        <v>303</v>
      </c>
      <c r="Q214">
        <v>80</v>
      </c>
      <c r="R214">
        <v>460</v>
      </c>
      <c r="S214">
        <v>112</v>
      </c>
      <c r="T214">
        <v>20</v>
      </c>
      <c r="U214">
        <v>25</v>
      </c>
      <c r="V214">
        <v>157</v>
      </c>
    </row>
    <row r="215" spans="1:22" x14ac:dyDescent="0.25">
      <c r="A215">
        <v>42094</v>
      </c>
      <c r="B215">
        <v>99.755632787090562</v>
      </c>
      <c r="C215">
        <v>99.111039798440231</v>
      </c>
      <c r="D215">
        <v>100.21652259142411</v>
      </c>
      <c r="E215">
        <v>100.36849154654267</v>
      </c>
      <c r="F215">
        <v>100.68630581811134</v>
      </c>
      <c r="G215">
        <v>100.86594542534101</v>
      </c>
      <c r="H215">
        <v>98.714854790735032</v>
      </c>
      <c r="I215">
        <v>100.82974492430633</v>
      </c>
      <c r="J215">
        <v>99.740973780307399</v>
      </c>
      <c r="K215">
        <v>0.72680000070606599</v>
      </c>
      <c r="L215">
        <v>89.392121875000001</v>
      </c>
      <c r="M215">
        <v>1.1817637648378063</v>
      </c>
      <c r="N215">
        <v>-0.67043039392008297</v>
      </c>
      <c r="O215">
        <v>-0.39290195513478698</v>
      </c>
      <c r="P215">
        <v>303</v>
      </c>
      <c r="Q215">
        <v>76</v>
      </c>
      <c r="R215">
        <v>468</v>
      </c>
      <c r="S215">
        <v>110</v>
      </c>
      <c r="T215">
        <v>19</v>
      </c>
      <c r="U215">
        <v>24</v>
      </c>
      <c r="V215">
        <v>153</v>
      </c>
    </row>
    <row r="216" spans="1:22" x14ac:dyDescent="0.25">
      <c r="A216">
        <v>42185</v>
      </c>
      <c r="B216">
        <v>99.962623598589502</v>
      </c>
      <c r="C216">
        <v>99.576148438704664</v>
      </c>
      <c r="D216">
        <v>100.00497941655489</v>
      </c>
      <c r="E216">
        <v>100.17230383339533</v>
      </c>
      <c r="F216">
        <v>100.35619812088034</v>
      </c>
      <c r="G216">
        <v>100.54274488878302</v>
      </c>
      <c r="H216">
        <v>99.287739181330423</v>
      </c>
      <c r="I216">
        <v>101.88314359924034</v>
      </c>
      <c r="J216">
        <v>99.9740506397914</v>
      </c>
      <c r="K216">
        <v>0.72070090592318703</v>
      </c>
      <c r="L216">
        <v>91.205161538461496</v>
      </c>
      <c r="M216">
        <v>1.1947961687177484</v>
      </c>
      <c r="N216">
        <v>-0.50994347456409705</v>
      </c>
      <c r="O216">
        <v>0.11255125087073201</v>
      </c>
      <c r="P216">
        <v>303</v>
      </c>
      <c r="Q216">
        <v>76</v>
      </c>
      <c r="R216">
        <v>468</v>
      </c>
      <c r="S216">
        <v>110</v>
      </c>
      <c r="T216">
        <v>19</v>
      </c>
      <c r="U216">
        <v>24</v>
      </c>
      <c r="V216">
        <v>153</v>
      </c>
    </row>
    <row r="217" spans="1:22" x14ac:dyDescent="0.25">
      <c r="A217">
        <v>42277</v>
      </c>
      <c r="B217">
        <v>100.13001772567468</v>
      </c>
      <c r="C217">
        <v>100.26240995605899</v>
      </c>
      <c r="D217">
        <v>100.00264360420393</v>
      </c>
      <c r="E217">
        <v>99.895477823443045</v>
      </c>
      <c r="F217">
        <v>99.79550176561402</v>
      </c>
      <c r="G217">
        <v>99.805491883149145</v>
      </c>
      <c r="H217">
        <v>100.32517757628733</v>
      </c>
      <c r="I217">
        <v>99.959338478605204</v>
      </c>
      <c r="J217">
        <v>100.14053571658999</v>
      </c>
      <c r="K217">
        <v>0.71483241580357104</v>
      </c>
      <c r="L217">
        <v>92.868804545454594</v>
      </c>
      <c r="M217">
        <v>1.4668407504949574</v>
      </c>
      <c r="N217">
        <v>-0.60863214371339502</v>
      </c>
      <c r="O217">
        <v>-0.116694425304383</v>
      </c>
      <c r="P217">
        <v>303</v>
      </c>
      <c r="Q217">
        <v>76</v>
      </c>
      <c r="R217">
        <v>468</v>
      </c>
      <c r="S217">
        <v>110</v>
      </c>
      <c r="T217">
        <v>19</v>
      </c>
      <c r="U217">
        <v>24</v>
      </c>
      <c r="V217">
        <v>153</v>
      </c>
    </row>
    <row r="218" spans="1:22" x14ac:dyDescent="0.25">
      <c r="A218">
        <v>42369</v>
      </c>
      <c r="B218">
        <v>100.13180041585167</v>
      </c>
      <c r="C218">
        <v>101.03828066760633</v>
      </c>
      <c r="D218">
        <v>99.774836953145766</v>
      </c>
      <c r="E218">
        <v>99.558799446286272</v>
      </c>
      <c r="F218">
        <v>99.150770780724528</v>
      </c>
      <c r="G218">
        <v>98.665856625776954</v>
      </c>
      <c r="H218">
        <v>101.75459475617431</v>
      </c>
      <c r="I218">
        <v>97.165613855363333</v>
      </c>
      <c r="J218">
        <v>100.14443986331101</v>
      </c>
      <c r="K218">
        <v>0.70507772014187198</v>
      </c>
      <c r="L218">
        <v>92.134557575757597</v>
      </c>
      <c r="M218">
        <v>1.2905237090286479</v>
      </c>
      <c r="N218">
        <v>-0.61794357561025104</v>
      </c>
      <c r="O218">
        <v>-0.218829887052228</v>
      </c>
      <c r="P218">
        <v>303</v>
      </c>
      <c r="Q218">
        <v>76</v>
      </c>
      <c r="R218">
        <v>468</v>
      </c>
      <c r="S218">
        <v>110</v>
      </c>
      <c r="T218">
        <v>19</v>
      </c>
      <c r="U218">
        <v>24</v>
      </c>
      <c r="V218">
        <v>153</v>
      </c>
    </row>
    <row r="219" spans="1:22" x14ac:dyDescent="0.25">
      <c r="A219">
        <v>42460</v>
      </c>
      <c r="B219">
        <v>100.133489818812</v>
      </c>
      <c r="C219">
        <v>101.63112738985866</v>
      </c>
      <c r="D219">
        <v>99.608929671352641</v>
      </c>
      <c r="E219">
        <v>98.872707165271251</v>
      </c>
      <c r="F219">
        <v>98.164825487484862</v>
      </c>
      <c r="G219">
        <v>97.542297449576765</v>
      </c>
      <c r="H219">
        <v>102.86857682741932</v>
      </c>
      <c r="I219">
        <v>95.365136992549097</v>
      </c>
      <c r="J219">
        <v>100.093931219314</v>
      </c>
      <c r="K219">
        <v>0.72125814315421499</v>
      </c>
      <c r="L219">
        <v>86.998107692307698</v>
      </c>
      <c r="M219">
        <v>1.4081096049117914</v>
      </c>
      <c r="N219">
        <v>-0.425228377492884</v>
      </c>
      <c r="O219">
        <v>-0.196273681624174</v>
      </c>
      <c r="P219">
        <v>305</v>
      </c>
      <c r="Q219">
        <v>67</v>
      </c>
      <c r="R219">
        <v>483</v>
      </c>
      <c r="S219">
        <v>103</v>
      </c>
      <c r="T219">
        <v>19</v>
      </c>
      <c r="U219">
        <v>23</v>
      </c>
      <c r="V219">
        <v>145</v>
      </c>
    </row>
    <row r="220" spans="1:22" x14ac:dyDescent="0.25">
      <c r="A220">
        <v>42551</v>
      </c>
      <c r="B220">
        <v>100.31947375560632</v>
      </c>
      <c r="C220">
        <v>102.171692471244</v>
      </c>
      <c r="D220">
        <v>99.2159855091666</v>
      </c>
      <c r="E220">
        <v>98.48501779648133</v>
      </c>
      <c r="F220">
        <v>97.580678786642167</v>
      </c>
      <c r="G220">
        <v>96.31966917445807</v>
      </c>
      <c r="H220">
        <v>104.016084212427</v>
      </c>
      <c r="I220">
        <v>96.8491934681375</v>
      </c>
      <c r="J220">
        <v>100.33085845991801</v>
      </c>
      <c r="K220">
        <v>0.73626310989779298</v>
      </c>
      <c r="L220">
        <v>85.581083076923093</v>
      </c>
      <c r="M220">
        <v>1.5354544995855299</v>
      </c>
      <c r="N220">
        <v>-0.37357259263352899</v>
      </c>
      <c r="O220">
        <v>0.16448627630259699</v>
      </c>
      <c r="P220">
        <v>305</v>
      </c>
      <c r="Q220">
        <v>67</v>
      </c>
      <c r="R220">
        <v>483</v>
      </c>
      <c r="S220">
        <v>103</v>
      </c>
      <c r="T220">
        <v>19</v>
      </c>
      <c r="U220">
        <v>23</v>
      </c>
      <c r="V220">
        <v>145</v>
      </c>
    </row>
    <row r="221" spans="1:22" x14ac:dyDescent="0.25">
      <c r="A221">
        <v>42643</v>
      </c>
      <c r="B221">
        <v>100.82481509832233</v>
      </c>
      <c r="C221">
        <v>102.97930867263966</v>
      </c>
      <c r="D221">
        <v>99.172353616571925</v>
      </c>
      <c r="E221">
        <v>98.706664288254828</v>
      </c>
      <c r="F221">
        <v>97.440009421386776</v>
      </c>
      <c r="G221">
        <v>96.302258368281045</v>
      </c>
      <c r="H221">
        <v>105.933670642178</v>
      </c>
      <c r="I221">
        <v>97.784261523339822</v>
      </c>
      <c r="J221">
        <v>100.84211070442799</v>
      </c>
      <c r="K221">
        <v>0.766086099222828</v>
      </c>
      <c r="L221">
        <v>78.850371212121203</v>
      </c>
      <c r="M221">
        <v>1.7661002699234809</v>
      </c>
      <c r="N221">
        <v>-0.16392502505228099</v>
      </c>
      <c r="O221">
        <v>9.3194942011814802E-2</v>
      </c>
      <c r="P221">
        <v>305</v>
      </c>
      <c r="Q221">
        <v>67</v>
      </c>
      <c r="R221">
        <v>483</v>
      </c>
      <c r="S221">
        <v>103</v>
      </c>
      <c r="T221">
        <v>19</v>
      </c>
      <c r="U221">
        <v>23</v>
      </c>
      <c r="V221">
        <v>145</v>
      </c>
    </row>
    <row r="222" spans="1:22" x14ac:dyDescent="0.25">
      <c r="A222">
        <v>42735</v>
      </c>
      <c r="B222">
        <v>101.35186664603434</v>
      </c>
      <c r="C222">
        <v>103.43266050427299</v>
      </c>
      <c r="D222">
        <v>99.731752332473789</v>
      </c>
      <c r="E222">
        <v>98.872277310440268</v>
      </c>
      <c r="F222">
        <v>97.339348637610328</v>
      </c>
      <c r="G222">
        <v>97.007124293648772</v>
      </c>
      <c r="H222">
        <v>106.76438524670732</v>
      </c>
      <c r="I222">
        <v>100.00842211959575</v>
      </c>
      <c r="J222">
        <v>101.37727529972901</v>
      </c>
      <c r="K222">
        <v>0.78559038900338896</v>
      </c>
      <c r="L222">
        <v>76.623536923076898</v>
      </c>
      <c r="M222">
        <v>2.4293341619440096</v>
      </c>
      <c r="N222">
        <v>0.19889993586245699</v>
      </c>
      <c r="O222">
        <v>0.144100722711589</v>
      </c>
      <c r="P222">
        <v>305</v>
      </c>
      <c r="Q222">
        <v>67</v>
      </c>
      <c r="R222">
        <v>483</v>
      </c>
      <c r="S222">
        <v>103</v>
      </c>
      <c r="T222">
        <v>19</v>
      </c>
      <c r="U222">
        <v>23</v>
      </c>
      <c r="V222">
        <v>145</v>
      </c>
    </row>
    <row r="223" spans="1:22" x14ac:dyDescent="0.25">
      <c r="A223">
        <v>42825</v>
      </c>
      <c r="B223">
        <v>102.29072148417767</v>
      </c>
      <c r="C223">
        <v>104.16574844695931</v>
      </c>
      <c r="D223">
        <v>100.32431772350587</v>
      </c>
      <c r="E223">
        <v>100.01716640617356</v>
      </c>
      <c r="F223">
        <v>98.469796587441408</v>
      </c>
      <c r="G223">
        <v>97.889312835343688</v>
      </c>
      <c r="H223">
        <v>108.38779638595433</v>
      </c>
      <c r="I223">
        <v>103.5530457314</v>
      </c>
      <c r="J223">
        <v>102.233675240322</v>
      </c>
      <c r="K223">
        <v>0.79643989370686996</v>
      </c>
      <c r="L223">
        <v>77.053801538461499</v>
      </c>
      <c r="M223">
        <v>2.5776958521780435</v>
      </c>
      <c r="N223">
        <v>0.55056420967961694</v>
      </c>
      <c r="O223">
        <v>0.148333381346754</v>
      </c>
      <c r="P223">
        <v>313.33333333333331</v>
      </c>
      <c r="Q223">
        <v>66.333333333333329</v>
      </c>
      <c r="R223">
        <v>475.33333333333331</v>
      </c>
      <c r="S223">
        <v>102.66666666666667</v>
      </c>
      <c r="T223">
        <v>19.666666666666668</v>
      </c>
      <c r="U223">
        <v>22.666666666666668</v>
      </c>
      <c r="V223">
        <v>145</v>
      </c>
    </row>
    <row r="224" spans="1:22" x14ac:dyDescent="0.25">
      <c r="A224">
        <v>42916</v>
      </c>
      <c r="B224">
        <v>103.078107156494</v>
      </c>
      <c r="C224">
        <v>105.061771391146</v>
      </c>
      <c r="D224">
        <v>101.16649714443766</v>
      </c>
      <c r="E224">
        <v>101.23327770850166</v>
      </c>
      <c r="F224">
        <v>99.492434787397642</v>
      </c>
      <c r="G224">
        <v>99.075892579948189</v>
      </c>
      <c r="H224">
        <v>110.413144859841</v>
      </c>
      <c r="I224">
        <v>102.40742771068601</v>
      </c>
      <c r="J224">
        <v>103.090096344523</v>
      </c>
      <c r="K224">
        <v>0.79618408814021602</v>
      </c>
      <c r="L224">
        <v>77.968176923076896</v>
      </c>
      <c r="M224">
        <v>2.5814129404766706</v>
      </c>
      <c r="N224">
        <v>0.38598699929055602</v>
      </c>
      <c r="O224">
        <v>3.52988700838464E-3</v>
      </c>
      <c r="P224">
        <v>312</v>
      </c>
      <c r="Q224">
        <v>67</v>
      </c>
      <c r="R224">
        <v>475</v>
      </c>
      <c r="S224">
        <v>103</v>
      </c>
      <c r="T224">
        <v>20</v>
      </c>
      <c r="U224">
        <v>23</v>
      </c>
      <c r="V224">
        <v>146</v>
      </c>
    </row>
    <row r="225" spans="1:22" x14ac:dyDescent="0.25">
      <c r="A225">
        <v>43008</v>
      </c>
      <c r="B225">
        <v>103.64314014108032</v>
      </c>
      <c r="C225">
        <v>105.71176823488101</v>
      </c>
      <c r="D225">
        <v>101.61593641104533</v>
      </c>
      <c r="E225">
        <v>101.81678087546034</v>
      </c>
      <c r="F225">
        <v>99.909845665063088</v>
      </c>
      <c r="G225">
        <v>99.60222576777214</v>
      </c>
      <c r="H225">
        <v>111.81790391896266</v>
      </c>
      <c r="I225">
        <v>102.44660614568433</v>
      </c>
      <c r="J225">
        <v>103.66947598665099</v>
      </c>
      <c r="K225">
        <v>0.79936167572472205</v>
      </c>
      <c r="L225">
        <v>76.548027692307699</v>
      </c>
      <c r="M225">
        <v>2.5453003999512136</v>
      </c>
      <c r="N225">
        <v>0.33037874466038097</v>
      </c>
      <c r="O225">
        <v>3.7966343152193403E-2</v>
      </c>
      <c r="P225">
        <v>312</v>
      </c>
      <c r="Q225">
        <v>67</v>
      </c>
      <c r="R225">
        <v>475</v>
      </c>
      <c r="S225">
        <v>103</v>
      </c>
      <c r="T225">
        <v>20</v>
      </c>
      <c r="U225">
        <v>23</v>
      </c>
      <c r="V225">
        <v>146</v>
      </c>
    </row>
    <row r="226" spans="1:22" x14ac:dyDescent="0.25">
      <c r="A226">
        <v>43100</v>
      </c>
      <c r="B226">
        <v>104.42514916507599</v>
      </c>
      <c r="C226">
        <v>106.23712720059832</v>
      </c>
      <c r="D226">
        <v>102.24479571733666</v>
      </c>
      <c r="E226">
        <v>103.07894664460666</v>
      </c>
      <c r="F226">
        <v>101.25666960001233</v>
      </c>
      <c r="G226">
        <v>99.75402409166152</v>
      </c>
      <c r="H226">
        <v>113.51340915161866</v>
      </c>
      <c r="I226">
        <v>105.162171100789</v>
      </c>
      <c r="J226">
        <v>104.455453723315</v>
      </c>
      <c r="K226">
        <v>0.80579439262368302</v>
      </c>
      <c r="L226">
        <v>77.708216923076904</v>
      </c>
      <c r="M226">
        <v>2.7170212072523583</v>
      </c>
      <c r="N226">
        <v>0.33802634456306002</v>
      </c>
      <c r="O226">
        <v>0.14910290843450899</v>
      </c>
      <c r="P226">
        <v>312</v>
      </c>
      <c r="Q226">
        <v>67</v>
      </c>
      <c r="R226">
        <v>475</v>
      </c>
      <c r="S226">
        <v>103</v>
      </c>
      <c r="T226">
        <v>20</v>
      </c>
      <c r="U226">
        <v>23</v>
      </c>
      <c r="V226">
        <v>146</v>
      </c>
    </row>
    <row r="227" spans="1:22" x14ac:dyDescent="0.25">
      <c r="A227">
        <v>43190</v>
      </c>
      <c r="B227">
        <v>105.07830633175031</v>
      </c>
      <c r="C227">
        <v>106.84352480592867</v>
      </c>
      <c r="D227">
        <v>102.60423698833932</v>
      </c>
      <c r="E227">
        <v>103.73972690662868</v>
      </c>
      <c r="F227">
        <v>101.67692960922902</v>
      </c>
      <c r="G227">
        <v>99.91807672034507</v>
      </c>
      <c r="H227">
        <v>116.01780429054334</v>
      </c>
      <c r="I227">
        <v>107.57945237941033</v>
      </c>
      <c r="J227">
        <v>104.998311713889</v>
      </c>
      <c r="K227">
        <v>0.81529753488664503</v>
      </c>
      <c r="L227">
        <v>79.033741538461499</v>
      </c>
      <c r="M227">
        <v>2.4396786818528224</v>
      </c>
      <c r="N227">
        <v>0.24733463127710101</v>
      </c>
      <c r="O227">
        <v>5.4503903268826599E-2</v>
      </c>
      <c r="P227">
        <v>311.66666666666669</v>
      </c>
      <c r="Q227">
        <v>64.666666666666671</v>
      </c>
      <c r="R227">
        <v>481</v>
      </c>
      <c r="S227">
        <v>101</v>
      </c>
      <c r="T227">
        <v>19.666666666666668</v>
      </c>
      <c r="U227">
        <v>22</v>
      </c>
      <c r="V227">
        <v>142.66666666666669</v>
      </c>
    </row>
    <row r="228" spans="1:22" x14ac:dyDescent="0.25">
      <c r="A228">
        <v>43281</v>
      </c>
      <c r="B228">
        <v>105.56474582955633</v>
      </c>
      <c r="C228">
        <v>107.41384559290634</v>
      </c>
      <c r="D228">
        <v>102.91320704023001</v>
      </c>
      <c r="E228">
        <v>104.06474181882066</v>
      </c>
      <c r="F228">
        <v>101.77099681092902</v>
      </c>
      <c r="G228">
        <v>99.720037234909057</v>
      </c>
      <c r="H228">
        <v>118.05846295492934</v>
      </c>
      <c r="I228">
        <v>108.69293740124967</v>
      </c>
      <c r="J228">
        <v>105.59874310155099</v>
      </c>
      <c r="K228">
        <v>0.81863826660980799</v>
      </c>
      <c r="L228">
        <v>79.101027692307696</v>
      </c>
      <c r="M228">
        <v>2.4860103785103598</v>
      </c>
      <c r="N228">
        <v>0.40714614504868402</v>
      </c>
      <c r="O228">
        <v>0.16437025473436201</v>
      </c>
      <c r="P228">
        <v>311</v>
      </c>
      <c r="Q228">
        <v>65</v>
      </c>
      <c r="R228">
        <v>481</v>
      </c>
      <c r="S228">
        <v>101</v>
      </c>
      <c r="T228">
        <v>20</v>
      </c>
      <c r="U228">
        <v>22</v>
      </c>
      <c r="V228">
        <v>143</v>
      </c>
    </row>
    <row r="229" spans="1:22" x14ac:dyDescent="0.25">
      <c r="A229">
        <v>43373</v>
      </c>
      <c r="B229">
        <v>106.24111830317599</v>
      </c>
      <c r="C229">
        <v>108.25622904895333</v>
      </c>
      <c r="D229">
        <v>102.849024366881</v>
      </c>
      <c r="E229">
        <v>104.47243524284534</v>
      </c>
      <c r="F229">
        <v>101.96865580305767</v>
      </c>
      <c r="G229">
        <v>99.976991198166061</v>
      </c>
      <c r="H229">
        <v>119.75310510822634</v>
      </c>
      <c r="I229">
        <v>111.74228545577701</v>
      </c>
      <c r="J229">
        <v>106.264776934575</v>
      </c>
      <c r="K229">
        <v>0.827664917308371</v>
      </c>
      <c r="L229">
        <v>77.813970769230806</v>
      </c>
      <c r="M229">
        <v>2.6759360893479318</v>
      </c>
      <c r="N229">
        <v>0.59026787322204399</v>
      </c>
      <c r="O229">
        <v>0.21968415645398701</v>
      </c>
      <c r="P229">
        <v>311</v>
      </c>
      <c r="Q229">
        <v>65</v>
      </c>
      <c r="R229">
        <v>481</v>
      </c>
      <c r="S229">
        <v>101</v>
      </c>
      <c r="T229">
        <v>20</v>
      </c>
      <c r="U229">
        <v>22</v>
      </c>
      <c r="V229">
        <v>143</v>
      </c>
    </row>
    <row r="230" spans="1:22" x14ac:dyDescent="0.25">
      <c r="A230">
        <v>43465</v>
      </c>
      <c r="B230">
        <v>106.79819467718634</v>
      </c>
      <c r="C230">
        <v>108.863811690649</v>
      </c>
      <c r="D230">
        <v>103.19250248918267</v>
      </c>
      <c r="E230">
        <v>104.96451236826</v>
      </c>
      <c r="F230">
        <v>101.96227264327433</v>
      </c>
      <c r="G230">
        <v>100.266200933883</v>
      </c>
      <c r="H230">
        <v>122.71904686377233</v>
      </c>
      <c r="I230">
        <v>113.99764934990235</v>
      </c>
      <c r="J230">
        <v>106.82547362140301</v>
      </c>
      <c r="K230">
        <v>0.82610064085679102</v>
      </c>
      <c r="L230">
        <v>77.843365151515201</v>
      </c>
      <c r="M230">
        <v>2.7140589507350836</v>
      </c>
      <c r="N230">
        <v>0.53549829449636599</v>
      </c>
      <c r="O230">
        <v>9.5964640682364502E-2</v>
      </c>
      <c r="P230">
        <v>311</v>
      </c>
      <c r="Q230">
        <v>65</v>
      </c>
      <c r="R230">
        <v>481</v>
      </c>
      <c r="S230">
        <v>101</v>
      </c>
      <c r="T230">
        <v>20</v>
      </c>
      <c r="U230">
        <v>22</v>
      </c>
      <c r="V230">
        <v>143</v>
      </c>
    </row>
    <row r="231" spans="1:22" x14ac:dyDescent="0.25">
      <c r="A231">
        <v>43555</v>
      </c>
      <c r="B231">
        <v>107.07065987406367</v>
      </c>
      <c r="C231">
        <v>109.50362203026934</v>
      </c>
      <c r="D231">
        <v>103.54776466208834</v>
      </c>
      <c r="E231">
        <v>105.88237163900699</v>
      </c>
      <c r="F231">
        <v>102.66410131178965</v>
      </c>
      <c r="G231">
        <v>100.896818387238</v>
      </c>
      <c r="H231">
        <v>125.21584018877734</v>
      </c>
      <c r="I231">
        <v>109.33760901339868</v>
      </c>
      <c r="J231">
        <v>106.96537965736999</v>
      </c>
      <c r="K231">
        <v>0.82186357580014402</v>
      </c>
      <c r="L231">
        <v>78.730029687499993</v>
      </c>
      <c r="M231">
        <v>2.7331364493732195</v>
      </c>
      <c r="N231">
        <v>0.111501420298973</v>
      </c>
      <c r="O231">
        <v>-0.324727992496813</v>
      </c>
      <c r="P231">
        <v>318.33333333333331</v>
      </c>
      <c r="Q231">
        <v>61.666666666666664</v>
      </c>
      <c r="R231">
        <v>480</v>
      </c>
      <c r="S231">
        <v>100</v>
      </c>
      <c r="T231">
        <v>19</v>
      </c>
      <c r="U231">
        <v>21</v>
      </c>
      <c r="V231">
        <v>140</v>
      </c>
    </row>
    <row r="232" spans="1:22" x14ac:dyDescent="0.25">
      <c r="A232">
        <v>43646</v>
      </c>
      <c r="B232">
        <v>107.70041211587333</v>
      </c>
      <c r="C232">
        <v>110.25025651536366</v>
      </c>
      <c r="D232">
        <v>103.31881835658901</v>
      </c>
      <c r="E232">
        <v>105.96247233678935</v>
      </c>
      <c r="F232">
        <v>102.90181489149199</v>
      </c>
      <c r="G232">
        <v>100.39083237761901</v>
      </c>
      <c r="H232">
        <v>125.29006150804834</v>
      </c>
      <c r="I232">
        <v>115.30591783247799</v>
      </c>
      <c r="J232">
        <v>107.77555903789001</v>
      </c>
      <c r="K232">
        <v>0.82949036029431999</v>
      </c>
      <c r="L232">
        <v>78.457547692307699</v>
      </c>
      <c r="M232">
        <v>2.6212425518623172</v>
      </c>
      <c r="N232">
        <v>0.40244228624181999</v>
      </c>
      <c r="O232">
        <v>0.450193982701309</v>
      </c>
      <c r="P232">
        <v>318</v>
      </c>
      <c r="Q232">
        <v>61</v>
      </c>
      <c r="R232">
        <v>481</v>
      </c>
      <c r="S232">
        <v>100</v>
      </c>
      <c r="T232">
        <v>19</v>
      </c>
      <c r="U232">
        <v>21</v>
      </c>
      <c r="V232">
        <v>140</v>
      </c>
    </row>
    <row r="233" spans="1:22" x14ac:dyDescent="0.25">
      <c r="A233">
        <v>43738</v>
      </c>
      <c r="B233">
        <v>108.19067065768434</v>
      </c>
      <c r="C233">
        <v>110.88186438031533</v>
      </c>
      <c r="D233">
        <v>103.48744032378632</v>
      </c>
      <c r="E233">
        <v>106.69509169850033</v>
      </c>
      <c r="F233">
        <v>103.62425680879767</v>
      </c>
      <c r="G233">
        <v>100.92432301925366</v>
      </c>
      <c r="H233">
        <v>126.24912389103433</v>
      </c>
      <c r="I233">
        <v>114.875297330347</v>
      </c>
      <c r="J233">
        <v>108.20201446995</v>
      </c>
      <c r="K233">
        <v>0.84436390000637895</v>
      </c>
      <c r="L233">
        <v>75.795746969697007</v>
      </c>
      <c r="M233">
        <v>2.9781745842670815</v>
      </c>
      <c r="N233">
        <v>0.17462163035891601</v>
      </c>
      <c r="O233">
        <v>-8.21163442679727E-3</v>
      </c>
      <c r="P233">
        <v>318</v>
      </c>
      <c r="Q233">
        <v>61</v>
      </c>
      <c r="R233">
        <v>481</v>
      </c>
      <c r="S233">
        <v>100</v>
      </c>
      <c r="T233">
        <v>19</v>
      </c>
      <c r="U233">
        <v>21</v>
      </c>
      <c r="V233">
        <v>140</v>
      </c>
    </row>
    <row r="234" spans="1:22" x14ac:dyDescent="0.25">
      <c r="A234">
        <v>43830</v>
      </c>
      <c r="B234">
        <v>108.30435827001334</v>
      </c>
      <c r="C234">
        <v>111.43137794905333</v>
      </c>
      <c r="D234">
        <v>103.65087563153101</v>
      </c>
      <c r="E234">
        <v>106.92037383554499</v>
      </c>
      <c r="F234">
        <v>103.70219769545167</v>
      </c>
      <c r="G234">
        <v>101.56593504136465</v>
      </c>
      <c r="H234">
        <v>126.31113155636866</v>
      </c>
      <c r="I234">
        <v>112.10913678380966</v>
      </c>
      <c r="J234">
        <v>108.323574868143</v>
      </c>
      <c r="K234">
        <v>0.82504169474928601</v>
      </c>
      <c r="L234">
        <v>79.403969696969696</v>
      </c>
      <c r="M234">
        <v>2.5033196655575458</v>
      </c>
      <c r="N234">
        <v>-0.11693353700046701</v>
      </c>
      <c r="O234">
        <v>-0.19324283466898201</v>
      </c>
      <c r="P234">
        <v>318</v>
      </c>
      <c r="Q234">
        <v>61</v>
      </c>
      <c r="R234">
        <v>481</v>
      </c>
      <c r="S234">
        <v>100</v>
      </c>
      <c r="T234">
        <v>19</v>
      </c>
      <c r="U234">
        <v>21</v>
      </c>
      <c r="V234">
        <v>140</v>
      </c>
    </row>
    <row r="235" spans="1:22" x14ac:dyDescent="0.25">
      <c r="A235">
        <v>43921</v>
      </c>
      <c r="B235">
        <v>108.90634649909633</v>
      </c>
      <c r="C235">
        <v>112.20774949701099</v>
      </c>
      <c r="D235">
        <v>103.98833715920932</v>
      </c>
      <c r="E235">
        <v>107.27607337307568</v>
      </c>
      <c r="F235">
        <v>104.05376184878433</v>
      </c>
      <c r="G235">
        <v>101.86987851832366</v>
      </c>
      <c r="H235">
        <v>126.67811277124234</v>
      </c>
      <c r="I235">
        <v>112.88803408675399</v>
      </c>
      <c r="J235">
        <v>108.769487200033</v>
      </c>
      <c r="K235">
        <v>0.81896626934969596</v>
      </c>
      <c r="L235">
        <v>79.231538461538506</v>
      </c>
      <c r="M235">
        <v>2.6753569594618285</v>
      </c>
      <c r="N235">
        <v>0.18927622328845001</v>
      </c>
      <c r="O235">
        <v>-5.2128643277585103E-2</v>
      </c>
      <c r="P235">
        <v>308.33333333333331</v>
      </c>
      <c r="Q235">
        <v>63.666666666666664</v>
      </c>
      <c r="R235">
        <v>489.33333333333331</v>
      </c>
      <c r="S235">
        <v>99</v>
      </c>
      <c r="T235">
        <v>19.666666666666668</v>
      </c>
      <c r="U235">
        <v>20</v>
      </c>
      <c r="V235">
        <v>138.66666666666669</v>
      </c>
    </row>
    <row r="236" spans="1:22" x14ac:dyDescent="0.25">
      <c r="A236">
        <v>44012</v>
      </c>
      <c r="B236">
        <v>108.303362615308</v>
      </c>
      <c r="C236">
        <v>112.324651874241</v>
      </c>
      <c r="D236">
        <v>103.80857337539202</v>
      </c>
      <c r="E236">
        <v>107.74754140122501</v>
      </c>
      <c r="F236">
        <v>104.34346429090067</v>
      </c>
      <c r="G236">
        <v>102.44296494218133</v>
      </c>
      <c r="H236">
        <v>128.61565162153101</v>
      </c>
      <c r="I236">
        <v>102.54472067931165</v>
      </c>
      <c r="J236">
        <v>108.439368781261</v>
      </c>
      <c r="K236">
        <v>0.80862292439016603</v>
      </c>
      <c r="L236">
        <v>77.416984615384607</v>
      </c>
      <c r="M236">
        <v>3.0786650622291059</v>
      </c>
      <c r="N236">
        <v>-0.70211571573449605</v>
      </c>
      <c r="O236">
        <v>-0.45655752598020999</v>
      </c>
      <c r="P236">
        <v>307</v>
      </c>
      <c r="Q236">
        <v>64</v>
      </c>
      <c r="R236">
        <v>490</v>
      </c>
      <c r="S236">
        <v>99</v>
      </c>
      <c r="T236">
        <v>20</v>
      </c>
      <c r="U236">
        <v>20</v>
      </c>
      <c r="V236">
        <v>139</v>
      </c>
    </row>
    <row r="237" spans="1:22" x14ac:dyDescent="0.25">
      <c r="A237">
        <v>44104</v>
      </c>
      <c r="B237">
        <v>108.84607786104732</v>
      </c>
      <c r="C237">
        <v>112.44563472779366</v>
      </c>
      <c r="D237">
        <v>104.624947573298</v>
      </c>
      <c r="E237">
        <v>107.63909292525334</v>
      </c>
      <c r="F237">
        <v>103.96241815718167</v>
      </c>
      <c r="G237">
        <v>101.79012873180933</v>
      </c>
      <c r="H237">
        <v>130.62274333271469</v>
      </c>
      <c r="I237">
        <v>104.98447309946266</v>
      </c>
      <c r="J237">
        <v>108.829736313296</v>
      </c>
      <c r="K237">
        <v>0.810392277477061</v>
      </c>
      <c r="L237">
        <v>77.450487878787897</v>
      </c>
      <c r="M237">
        <v>3.1319434989789481</v>
      </c>
      <c r="N237">
        <v>-0.57563884899936701</v>
      </c>
      <c r="O237">
        <v>0.118900887754049</v>
      </c>
      <c r="P237">
        <v>307</v>
      </c>
      <c r="Q237">
        <v>64</v>
      </c>
      <c r="R237">
        <v>490</v>
      </c>
      <c r="S237">
        <v>99</v>
      </c>
      <c r="T237">
        <v>20</v>
      </c>
      <c r="U237">
        <v>20</v>
      </c>
      <c r="V237">
        <v>139</v>
      </c>
    </row>
    <row r="238" spans="1:22" x14ac:dyDescent="0.25">
      <c r="A238">
        <v>44196</v>
      </c>
      <c r="B238">
        <v>108.88690430044467</v>
      </c>
      <c r="C238">
        <v>113.02038140705299</v>
      </c>
      <c r="D238">
        <v>104.88812615868066</v>
      </c>
      <c r="E238">
        <v>107.30487809386567</v>
      </c>
      <c r="F238">
        <v>103.19449116217601</v>
      </c>
      <c r="G238">
        <v>101.93470330339267</v>
      </c>
      <c r="H238">
        <v>131.91327139222167</v>
      </c>
      <c r="I238">
        <v>102.07040266952434</v>
      </c>
      <c r="J238">
        <v>108.888599619003</v>
      </c>
      <c r="K238">
        <v>0.82076763633163197</v>
      </c>
      <c r="L238">
        <v>77.959993939393897</v>
      </c>
      <c r="M238">
        <v>3.4145577808828897</v>
      </c>
      <c r="N238">
        <v>-0.57586475394540204</v>
      </c>
      <c r="O238">
        <v>-0.193774322000975</v>
      </c>
      <c r="P238">
        <v>307</v>
      </c>
      <c r="Q238">
        <v>64</v>
      </c>
      <c r="R238">
        <v>490</v>
      </c>
      <c r="S238">
        <v>99</v>
      </c>
      <c r="T238">
        <v>20</v>
      </c>
      <c r="U238">
        <v>20</v>
      </c>
      <c r="V238">
        <v>139</v>
      </c>
    </row>
    <row r="239" spans="1:22" x14ac:dyDescent="0.25">
      <c r="A239">
        <v>44286</v>
      </c>
      <c r="B239">
        <v>109.62443116872799</v>
      </c>
      <c r="C239">
        <v>114.02558918908967</v>
      </c>
      <c r="D239">
        <v>104.74841692999367</v>
      </c>
      <c r="E239">
        <v>107.48109772562434</v>
      </c>
      <c r="F239">
        <v>103.17080170780234</v>
      </c>
      <c r="G239">
        <v>102.19877984144865</v>
      </c>
      <c r="H239">
        <v>133.15248097733135</v>
      </c>
      <c r="I239">
        <v>106.37111543444666</v>
      </c>
      <c r="J239">
        <v>109.501363734799</v>
      </c>
      <c r="K239">
        <v>0.81629886389552497</v>
      </c>
      <c r="L239">
        <v>80.480732812499994</v>
      </c>
      <c r="M239">
        <v>2.9821807365306072</v>
      </c>
      <c r="N239">
        <v>-0.348601630197937</v>
      </c>
      <c r="O239">
        <v>0.17080172065947599</v>
      </c>
      <c r="P239">
        <v>348.33333333333331</v>
      </c>
      <c r="Q239">
        <v>59.666666666666664</v>
      </c>
      <c r="R239">
        <v>433.33333333333331</v>
      </c>
      <c r="S239">
        <v>114</v>
      </c>
      <c r="T239">
        <v>22.666666666666668</v>
      </c>
      <c r="U239">
        <v>22</v>
      </c>
      <c r="V239">
        <v>158.66666666666666</v>
      </c>
    </row>
    <row r="240" spans="1:22" x14ac:dyDescent="0.25">
      <c r="A240">
        <v>44377</v>
      </c>
      <c r="B240">
        <v>110.44978593428367</v>
      </c>
      <c r="C240">
        <v>114.37272770811234</v>
      </c>
      <c r="D240">
        <v>105.85979112598267</v>
      </c>
      <c r="E240">
        <v>107.77476832443467</v>
      </c>
      <c r="F240">
        <v>103.53597468448567</v>
      </c>
      <c r="G240">
        <v>103.32417392394166</v>
      </c>
      <c r="H240">
        <v>132.45914330683036</v>
      </c>
      <c r="I240">
        <v>111.47824915505699</v>
      </c>
      <c r="J240">
        <v>110.613080184569</v>
      </c>
      <c r="K240">
        <v>0.82433035561079504</v>
      </c>
      <c r="L240">
        <v>81.787815384615399</v>
      </c>
      <c r="M240">
        <v>2.7653976909254645</v>
      </c>
      <c r="N240">
        <v>0.54964160198908096</v>
      </c>
      <c r="O240">
        <v>0.45347528115059499</v>
      </c>
      <c r="P240">
        <v>347</v>
      </c>
      <c r="Q240">
        <v>60</v>
      </c>
      <c r="R240">
        <v>434</v>
      </c>
      <c r="S240">
        <v>114</v>
      </c>
      <c r="T240">
        <v>23</v>
      </c>
      <c r="U240">
        <v>22</v>
      </c>
      <c r="V240">
        <v>159</v>
      </c>
    </row>
    <row r="241" spans="1:22" x14ac:dyDescent="0.25">
      <c r="A241">
        <v>44469</v>
      </c>
      <c r="B241">
        <v>111.87199334694968</v>
      </c>
      <c r="C241">
        <v>115.143371709628</v>
      </c>
      <c r="D241">
        <v>107.74891577984067</v>
      </c>
      <c r="E241">
        <v>108.42010374180366</v>
      </c>
      <c r="F241">
        <v>104.09365584180433</v>
      </c>
      <c r="G241">
        <v>103.39592544728633</v>
      </c>
      <c r="H241">
        <v>134.15344996532698</v>
      </c>
      <c r="I241">
        <v>115.32827381164232</v>
      </c>
      <c r="J241">
        <v>111.822515807565</v>
      </c>
      <c r="K241">
        <v>0.83992954942113196</v>
      </c>
      <c r="L241">
        <v>81.774842424242394</v>
      </c>
      <c r="M241">
        <v>3.4330399377282408</v>
      </c>
      <c r="N241">
        <v>0.580538015574526</v>
      </c>
      <c r="O241">
        <v>0.14217114750364401</v>
      </c>
      <c r="P241">
        <v>347</v>
      </c>
      <c r="Q241">
        <v>60</v>
      </c>
      <c r="R241">
        <v>434</v>
      </c>
      <c r="S241">
        <v>114</v>
      </c>
      <c r="T241">
        <v>23</v>
      </c>
      <c r="U241">
        <v>22</v>
      </c>
      <c r="V241">
        <v>159</v>
      </c>
    </row>
    <row r="242" spans="1:22" x14ac:dyDescent="0.25">
      <c r="A242">
        <v>44561</v>
      </c>
      <c r="B242">
        <v>114.25306744932533</v>
      </c>
      <c r="C242">
        <v>116.76302625711266</v>
      </c>
      <c r="D242">
        <v>109.67549652028868</v>
      </c>
      <c r="E242">
        <v>110.39334148594567</v>
      </c>
      <c r="F242">
        <v>105.91460997218799</v>
      </c>
      <c r="G242">
        <v>104.10666918788034</v>
      </c>
      <c r="H242">
        <v>138.27029888760299</v>
      </c>
      <c r="I242">
        <v>126.88976627866468</v>
      </c>
      <c r="J242">
        <v>114.237890257296</v>
      </c>
      <c r="K242">
        <v>0.89390208248498604</v>
      </c>
      <c r="L242">
        <v>81.611703030303005</v>
      </c>
      <c r="M242">
        <v>5.1936780789271362</v>
      </c>
      <c r="N242">
        <v>1.4272711973059899</v>
      </c>
      <c r="O242">
        <v>0.63228111747361804</v>
      </c>
      <c r="P242">
        <v>347</v>
      </c>
      <c r="Q242">
        <v>60</v>
      </c>
      <c r="R242">
        <v>434</v>
      </c>
      <c r="S242">
        <v>114</v>
      </c>
      <c r="T242">
        <v>23</v>
      </c>
      <c r="U242">
        <v>22</v>
      </c>
      <c r="V242">
        <v>159</v>
      </c>
    </row>
    <row r="243" spans="1:22" x14ac:dyDescent="0.25">
      <c r="A243">
        <v>44651</v>
      </c>
      <c r="B243">
        <v>116.49437909453967</v>
      </c>
      <c r="C243">
        <v>118.19773272860134</v>
      </c>
      <c r="D243">
        <v>112.12398274956865</v>
      </c>
      <c r="E243">
        <v>112.63036972856032</v>
      </c>
      <c r="F243">
        <v>108.48169373394467</v>
      </c>
      <c r="G243">
        <v>104.05011901519934</v>
      </c>
      <c r="H243">
        <v>141.15794942272467</v>
      </c>
      <c r="I243">
        <v>132.05596111427903</v>
      </c>
      <c r="J243">
        <v>116.398638086178</v>
      </c>
      <c r="K243">
        <v>0.92184313282267805</v>
      </c>
      <c r="L243">
        <v>82.334651562499999</v>
      </c>
      <c r="M243">
        <v>6.6732619097853254</v>
      </c>
      <c r="N243">
        <v>1.47498838130139</v>
      </c>
      <c r="O243">
        <v>0.224820323383816</v>
      </c>
      <c r="P243">
        <v>331.33333333333331</v>
      </c>
      <c r="Q243">
        <v>67</v>
      </c>
      <c r="R243">
        <v>436.66666666666669</v>
      </c>
      <c r="S243">
        <v>115.66666666666667</v>
      </c>
      <c r="T243">
        <v>26.333333333333332</v>
      </c>
      <c r="U243">
        <v>23</v>
      </c>
      <c r="V243">
        <v>165</v>
      </c>
    </row>
    <row r="244" spans="1:22" x14ac:dyDescent="0.25">
      <c r="A244">
        <v>44742</v>
      </c>
      <c r="B244">
        <v>120.48508528790366</v>
      </c>
      <c r="C244">
        <v>119.95711784402799</v>
      </c>
      <c r="D244">
        <v>113.43538883551601</v>
      </c>
      <c r="E244">
        <v>115.56914639817933</v>
      </c>
      <c r="F244">
        <v>112.15563187398099</v>
      </c>
      <c r="G244">
        <v>104.806103774509</v>
      </c>
      <c r="H244">
        <v>143.007143380673</v>
      </c>
      <c r="I244">
        <v>171.24752002418504</v>
      </c>
      <c r="J244">
        <v>120.676964265745</v>
      </c>
      <c r="K244">
        <v>0.98383656619553195</v>
      </c>
      <c r="L244">
        <v>80.184107692307705</v>
      </c>
      <c r="M244">
        <v>8.7447876447877011</v>
      </c>
      <c r="N244">
        <v>3.3583088320854499</v>
      </c>
      <c r="O244">
        <v>2.2888186897604901</v>
      </c>
      <c r="P244">
        <v>330</v>
      </c>
      <c r="Q244">
        <v>67</v>
      </c>
      <c r="R244">
        <v>437</v>
      </c>
      <c r="S244">
        <v>116</v>
      </c>
      <c r="T244">
        <v>27</v>
      </c>
      <c r="U244">
        <v>23</v>
      </c>
      <c r="V244">
        <v>166</v>
      </c>
    </row>
    <row r="245" spans="1:22" x14ac:dyDescent="0.25">
      <c r="A245">
        <v>44834</v>
      </c>
      <c r="B245">
        <v>123.092655676498</v>
      </c>
      <c r="C245">
        <v>121.93038479780267</v>
      </c>
      <c r="D245">
        <v>114.97338346875132</v>
      </c>
      <c r="E245">
        <v>120.35673521909234</v>
      </c>
      <c r="F245">
        <v>118.01815436538732</v>
      </c>
      <c r="G245">
        <v>106.37793133113432</v>
      </c>
      <c r="H245">
        <v>145.19121688029801</v>
      </c>
      <c r="I245">
        <v>177.48507078919064</v>
      </c>
      <c r="J245">
        <v>122.995270577592</v>
      </c>
      <c r="K245">
        <v>1.0233011494340301</v>
      </c>
      <c r="L245">
        <v>78.172721212121203</v>
      </c>
      <c r="M245">
        <v>8.9090090090090914</v>
      </c>
      <c r="N245">
        <v>3.3339333644410498</v>
      </c>
      <c r="O245">
        <v>0.13877735543773001</v>
      </c>
      <c r="P245">
        <v>330</v>
      </c>
      <c r="Q245">
        <v>67</v>
      </c>
      <c r="R245">
        <v>437</v>
      </c>
      <c r="S245">
        <v>116</v>
      </c>
      <c r="T245">
        <v>27</v>
      </c>
      <c r="U245">
        <v>23</v>
      </c>
      <c r="V245">
        <v>166</v>
      </c>
    </row>
    <row r="246" spans="1:22" x14ac:dyDescent="0.25">
      <c r="A246">
        <v>44926</v>
      </c>
      <c r="B246">
        <v>126.57249077978565</v>
      </c>
      <c r="C246">
        <v>124.33443847729801</v>
      </c>
      <c r="D246">
        <v>116.605202296355</v>
      </c>
      <c r="E246">
        <v>124.62848092163368</v>
      </c>
      <c r="F246">
        <v>123.35004826728168</v>
      </c>
      <c r="G246">
        <v>107.95521631247334</v>
      </c>
      <c r="H246">
        <v>145.93076459690067</v>
      </c>
      <c r="I246">
        <v>197.85529267705101</v>
      </c>
      <c r="J246">
        <v>126.54644360022201</v>
      </c>
      <c r="K246">
        <v>1.01216531698448</v>
      </c>
      <c r="L246">
        <v>78.101493846153801</v>
      </c>
      <c r="M246">
        <v>7.2128482156615119</v>
      </c>
      <c r="N246">
        <v>3.73152831160392</v>
      </c>
      <c r="O246">
        <v>1.02568077887582</v>
      </c>
      <c r="P246">
        <v>330</v>
      </c>
      <c r="Q246">
        <v>67</v>
      </c>
      <c r="R246">
        <v>437</v>
      </c>
      <c r="S246">
        <v>116</v>
      </c>
      <c r="T246">
        <v>27</v>
      </c>
      <c r="U246">
        <v>23</v>
      </c>
      <c r="V246">
        <v>166</v>
      </c>
    </row>
    <row r="247" spans="1:22" x14ac:dyDescent="0.25">
      <c r="A247">
        <v>45016</v>
      </c>
      <c r="B247">
        <v>128.38716869753435</v>
      </c>
      <c r="C247">
        <v>125.86144301761266</v>
      </c>
      <c r="D247">
        <v>118.51394146473801</v>
      </c>
      <c r="E247">
        <v>128.62755721879668</v>
      </c>
      <c r="F247">
        <v>128.03620505103001</v>
      </c>
      <c r="G247">
        <v>110.11820535447266</v>
      </c>
      <c r="H247">
        <v>148.02952185889964</v>
      </c>
      <c r="I247">
        <v>193.04977581573766</v>
      </c>
      <c r="J247">
        <v>128.34142996117501</v>
      </c>
      <c r="K247">
        <v>1.0215437277533299</v>
      </c>
      <c r="L247">
        <v>78.168284615384593</v>
      </c>
      <c r="M247">
        <v>5.4496808271530108</v>
      </c>
      <c r="N247">
        <v>3.21017686418904</v>
      </c>
      <c r="O247">
        <v>-0.17012066426360101</v>
      </c>
      <c r="P247">
        <v>294.66666666666669</v>
      </c>
      <c r="Q247">
        <v>80</v>
      </c>
      <c r="R247">
        <v>465</v>
      </c>
      <c r="S247">
        <v>118.33333333333333</v>
      </c>
      <c r="T247">
        <v>21</v>
      </c>
      <c r="U247">
        <v>21</v>
      </c>
      <c r="V247">
        <v>160.33333333333331</v>
      </c>
    </row>
    <row r="248" spans="1:22" x14ac:dyDescent="0.25">
      <c r="A248">
        <v>45107</v>
      </c>
      <c r="B248">
        <v>130.56138712395398</v>
      </c>
      <c r="C248">
        <v>128.47449609462467</v>
      </c>
      <c r="D248">
        <v>120.85429497306298</v>
      </c>
      <c r="E248">
        <v>133.49217878399133</v>
      </c>
      <c r="F248">
        <v>132.56217876159201</v>
      </c>
      <c r="G248">
        <v>112.114838383828</v>
      </c>
      <c r="H248">
        <v>159.04024520112731</v>
      </c>
      <c r="I248">
        <v>183.75726900744965</v>
      </c>
      <c r="J248">
        <v>130.74946319922401</v>
      </c>
      <c r="K248">
        <v>1.00005844742037</v>
      </c>
      <c r="L248">
        <v>80.456900000000005</v>
      </c>
      <c r="M248">
        <v>4.9659010810981856</v>
      </c>
      <c r="N248">
        <v>0.70170723997551099</v>
      </c>
      <c r="O248">
        <v>-0.231251350162267</v>
      </c>
      <c r="P248">
        <v>293</v>
      </c>
      <c r="Q248">
        <v>80</v>
      </c>
      <c r="R248">
        <v>466</v>
      </c>
      <c r="S248">
        <v>119</v>
      </c>
      <c r="T248">
        <v>21</v>
      </c>
      <c r="U248">
        <v>21</v>
      </c>
      <c r="V248">
        <v>161</v>
      </c>
    </row>
    <row r="249" spans="1:22" x14ac:dyDescent="0.25">
      <c r="A249">
        <v>45199</v>
      </c>
      <c r="B249">
        <v>131.35178086867901</v>
      </c>
      <c r="C249">
        <v>130.48216816175366</v>
      </c>
      <c r="D249">
        <v>121.02668559150034</v>
      </c>
      <c r="E249">
        <v>135.43663586923799</v>
      </c>
      <c r="F249">
        <v>133.90766615943767</v>
      </c>
      <c r="G249">
        <v>115.79947132789233</v>
      </c>
      <c r="H249">
        <v>162.59407559120734</v>
      </c>
      <c r="I249">
        <v>171.49723514857797</v>
      </c>
      <c r="J249">
        <v>131.21387847850599</v>
      </c>
      <c r="K249">
        <v>0.98423499823385696</v>
      </c>
      <c r="L249">
        <v>82.197903076923097</v>
      </c>
      <c r="M249">
        <v>4.3007323969777262</v>
      </c>
      <c r="N249">
        <v>-0.16340187781012599</v>
      </c>
      <c r="O249">
        <v>-0.673433352934243</v>
      </c>
      <c r="P249">
        <v>293</v>
      </c>
      <c r="Q249">
        <v>80</v>
      </c>
      <c r="R249">
        <v>466</v>
      </c>
      <c r="S249">
        <v>119</v>
      </c>
      <c r="T249">
        <v>21</v>
      </c>
      <c r="U249">
        <v>21</v>
      </c>
      <c r="V249">
        <v>161</v>
      </c>
    </row>
    <row r="250" spans="1:22" x14ac:dyDescent="0.25">
      <c r="A250">
        <v>45291</v>
      </c>
      <c r="B250">
        <v>131.90742868082333</v>
      </c>
      <c r="C250">
        <v>132.33914338104398</v>
      </c>
      <c r="D250">
        <v>120.81283188458333</v>
      </c>
      <c r="E250">
        <v>136.65815991549266</v>
      </c>
      <c r="F250">
        <v>134.56146663509199</v>
      </c>
      <c r="G250">
        <v>118.01076709177534</v>
      </c>
      <c r="H250">
        <v>165.53417244105165</v>
      </c>
      <c r="I250">
        <v>164.99782673189367</v>
      </c>
      <c r="J250">
        <v>131.88052879150999</v>
      </c>
      <c r="K250">
        <v>0.99409752445047195</v>
      </c>
      <c r="L250">
        <v>81.178133846153798</v>
      </c>
      <c r="M250">
        <v>3.8582721147576735</v>
      </c>
      <c r="N250">
        <v>-1.3678165112816401</v>
      </c>
      <c r="O250">
        <v>-0.21694556148073699</v>
      </c>
      <c r="P250">
        <v>293</v>
      </c>
      <c r="Q250">
        <v>80</v>
      </c>
      <c r="R250">
        <v>466</v>
      </c>
      <c r="S250">
        <v>119</v>
      </c>
      <c r="T250">
        <v>21</v>
      </c>
      <c r="U250">
        <v>21</v>
      </c>
      <c r="V250">
        <v>161</v>
      </c>
    </row>
    <row r="251" spans="1:22" x14ac:dyDescent="0.25">
      <c r="A251">
        <v>45382</v>
      </c>
      <c r="B251">
        <v>132.94843116884735</v>
      </c>
      <c r="C251">
        <v>133.75886718003835</v>
      </c>
      <c r="D251">
        <v>120.91458822342501</v>
      </c>
      <c r="E251">
        <v>137.67280155287366</v>
      </c>
      <c r="F251">
        <v>134.87068887930101</v>
      </c>
      <c r="G251">
        <v>118.88041870657833</v>
      </c>
      <c r="H251">
        <v>171.54211892933236</v>
      </c>
      <c r="I251">
        <v>165.90492516430066</v>
      </c>
      <c r="J251">
        <v>132.95382336549201</v>
      </c>
      <c r="K251">
        <v>0.98573900024007299</v>
      </c>
      <c r="L251">
        <v>82.5681923076923</v>
      </c>
      <c r="M251">
        <v>3.6255376960251078</v>
      </c>
      <c r="N251">
        <v>-1.0717785266822</v>
      </c>
      <c r="O251">
        <v>4.3541846025459997E-2</v>
      </c>
      <c r="P251">
        <v>286.49313333333339</v>
      </c>
      <c r="Q251">
        <v>71.188066666666657</v>
      </c>
      <c r="R251">
        <v>490.4566333333334</v>
      </c>
      <c r="S251">
        <v>113.06706666666666</v>
      </c>
      <c r="T251">
        <v>20.664833333333334</v>
      </c>
      <c r="U251">
        <v>18.130266666666667</v>
      </c>
      <c r="V251">
        <v>151.86216666666667</v>
      </c>
    </row>
    <row r="252" spans="1:22" x14ac:dyDescent="0.25">
      <c r="A252">
        <v>45473</v>
      </c>
      <c r="B252">
        <v>133.24691582971434</v>
      </c>
      <c r="C252">
        <v>135.807487639561</v>
      </c>
      <c r="D252">
        <v>120.983232584186</v>
      </c>
      <c r="E252">
        <v>138.14194228561868</v>
      </c>
      <c r="F252">
        <v>135.26029032285135</v>
      </c>
      <c r="G252">
        <v>118.618104054439</v>
      </c>
      <c r="H252">
        <v>174.69183378053467</v>
      </c>
      <c r="I252">
        <v>154.08732720665034</v>
      </c>
      <c r="J252">
        <v>133.42686731999399</v>
      </c>
      <c r="K252">
        <v>0.99610252238445296</v>
      </c>
      <c r="L252">
        <v>82.944390769230793</v>
      </c>
      <c r="M252">
        <v>2.979353541970323</v>
      </c>
      <c r="N252">
        <v>-1.2261098957021399</v>
      </c>
      <c r="O252">
        <v>-0.40443614577732501</v>
      </c>
      <c r="P252">
        <v>285.86950000000007</v>
      </c>
      <c r="Q252">
        <v>71.750699999999995</v>
      </c>
      <c r="R252">
        <v>490.08380000000005</v>
      </c>
      <c r="S252">
        <v>113.14640000000001</v>
      </c>
      <c r="T252">
        <v>20.931000000000001</v>
      </c>
      <c r="U252">
        <v>18.218599999999999</v>
      </c>
      <c r="V252">
        <v>152.29600000000002</v>
      </c>
    </row>
    <row r="253" spans="1:22" x14ac:dyDescent="0.25">
      <c r="A253">
        <v>45565</v>
      </c>
      <c r="B253">
        <v>134.02113951227832</v>
      </c>
      <c r="C253">
        <v>137.24167755432401</v>
      </c>
      <c r="D253">
        <v>121.26116177752665</v>
      </c>
      <c r="E253">
        <v>139.04979349184765</v>
      </c>
      <c r="F253">
        <v>135.96104514689134</v>
      </c>
      <c r="G253">
        <v>118.89478155606633</v>
      </c>
      <c r="H253">
        <v>178.04940428229733</v>
      </c>
      <c r="I253">
        <v>148.602268953947</v>
      </c>
      <c r="J253">
        <v>133.86174972626199</v>
      </c>
      <c r="K253">
        <v>0.97405812511554302</v>
      </c>
      <c r="L253">
        <v>84.302587878787904</v>
      </c>
      <c r="M253">
        <v>2.9717312535901965</v>
      </c>
      <c r="N253">
        <v>-0.96369939332577004</v>
      </c>
      <c r="O253">
        <v>-0.39830475465660198</v>
      </c>
      <c r="P253">
        <v>285.86950000000007</v>
      </c>
      <c r="Q253">
        <v>71.750699999999995</v>
      </c>
      <c r="R253">
        <v>490.08380000000005</v>
      </c>
      <c r="S253">
        <v>113.14640000000001</v>
      </c>
      <c r="T253">
        <v>20.931000000000001</v>
      </c>
      <c r="U253">
        <v>18.218599999999999</v>
      </c>
      <c r="V253">
        <v>152.29600000000002</v>
      </c>
    </row>
    <row r="254" spans="1:22" x14ac:dyDescent="0.25">
      <c r="A254">
        <v>45657</v>
      </c>
      <c r="B254">
        <v>135.21692150454535</v>
      </c>
      <c r="C254">
        <v>138.73512918149299</v>
      </c>
      <c r="D254">
        <v>121.95064728995</v>
      </c>
      <c r="E254">
        <v>140.6494084587417</v>
      </c>
      <c r="F254">
        <v>137.18250796092101</v>
      </c>
      <c r="G254">
        <v>119.71565409241767</v>
      </c>
      <c r="H254">
        <v>182.63413734439936</v>
      </c>
      <c r="I254">
        <v>151.46663061603667</v>
      </c>
      <c r="J254">
        <v>135.17362578586099</v>
      </c>
      <c r="K254">
        <v>0.97624661192587803</v>
      </c>
      <c r="L254">
        <v>84.621425757575807</v>
      </c>
      <c r="M254">
        <v>3.468785277541127</v>
      </c>
      <c r="N254">
        <v>-0.58156090930256898</v>
      </c>
      <c r="O254">
        <v>0.16500605812762401</v>
      </c>
      <c r="P254">
        <v>285.86950000000007</v>
      </c>
      <c r="Q254">
        <v>71.750699999999995</v>
      </c>
      <c r="R254">
        <v>490.08380000000005</v>
      </c>
      <c r="S254">
        <v>113.14640000000001</v>
      </c>
      <c r="T254">
        <v>20.931000000000001</v>
      </c>
      <c r="U254">
        <v>18.218599999999999</v>
      </c>
      <c r="V254">
        <v>152.29600000000002</v>
      </c>
    </row>
    <row r="255" spans="1:22" x14ac:dyDescent="0.25">
      <c r="A255">
        <v>45747</v>
      </c>
      <c r="B255">
        <v>136.66636322417534</v>
      </c>
      <c r="C255">
        <v>140.36418737698366</v>
      </c>
      <c r="D255">
        <v>122.41564888421966</v>
      </c>
      <c r="E255">
        <v>142.83718215793434</v>
      </c>
      <c r="F255">
        <v>139.24581727100133</v>
      </c>
      <c r="G255">
        <v>121.28173307555301</v>
      </c>
      <c r="H255">
        <v>186.68218521967401</v>
      </c>
      <c r="I255">
        <v>153.63014026696965</v>
      </c>
      <c r="J255">
        <v>136.72048345699301</v>
      </c>
      <c r="K255">
        <v>0.99895086639782105</v>
      </c>
      <c r="L255">
        <v>84.062595312499994</v>
      </c>
      <c r="M255">
        <v>3.8021957884789486</v>
      </c>
      <c r="N255">
        <v>-0.518303217993346</v>
      </c>
      <c r="O255">
        <v>0.107917584062745</v>
      </c>
      <c r="P255">
        <v>287.15600000000001</v>
      </c>
      <c r="Q255">
        <v>61.402300000000004</v>
      </c>
      <c r="R255">
        <v>500.89830000000001</v>
      </c>
      <c r="S255">
        <v>112.20923333333333</v>
      </c>
      <c r="T255">
        <v>19.879166666666666</v>
      </c>
      <c r="U255">
        <v>18.454999999999998</v>
      </c>
      <c r="V255">
        <v>150.54340000000002</v>
      </c>
    </row>
    <row r="256" spans="1:22" x14ac:dyDescent="0.25">
      <c r="A256">
        <v>45838</v>
      </c>
      <c r="B256">
        <v>137.87719142171133</v>
      </c>
      <c r="C256">
        <v>142.46948558894698</v>
      </c>
      <c r="D256">
        <v>122.76407304939568</v>
      </c>
      <c r="E256">
        <v>144.468705122405</v>
      </c>
      <c r="F256">
        <v>140.85289772657967</v>
      </c>
      <c r="G256">
        <v>123.38669147618701</v>
      </c>
      <c r="H256">
        <v>188.655395162697</v>
      </c>
      <c r="I256">
        <v>152.76916417597667</v>
      </c>
      <c r="J256">
        <v>138.03988302570099</v>
      </c>
      <c r="K256">
        <v>0.99251729977824699</v>
      </c>
      <c r="L256">
        <v>85.4313261538462</v>
      </c>
      <c r="M256">
        <v>4.011042611251681</v>
      </c>
      <c r="N256">
        <v>-8.0156162901135294E-2</v>
      </c>
      <c r="O256">
        <v>4.1047258462795402E-2</v>
      </c>
      <c r="P256">
        <v>286.36329999999998</v>
      </c>
      <c r="Q256">
        <v>61.652700000000003</v>
      </c>
      <c r="R256">
        <v>500.83539999999999</v>
      </c>
      <c r="S256">
        <v>112.5699</v>
      </c>
      <c r="T256">
        <v>20.052600000000002</v>
      </c>
      <c r="U256">
        <v>18.5261</v>
      </c>
      <c r="V256">
        <v>151.14859999999999</v>
      </c>
    </row>
    <row r="257" spans="1:22" x14ac:dyDescent="0.25">
      <c r="A257">
        <v>45930</v>
      </c>
      <c r="B257">
        <v>139.09545717782768</v>
      </c>
      <c r="C257">
        <v>143.78240380057602</v>
      </c>
      <c r="D257">
        <v>123.18031748475732</v>
      </c>
      <c r="E257">
        <v>146.14273136936666</v>
      </c>
      <c r="F257">
        <v>142.54855925628667</v>
      </c>
      <c r="G257">
        <v>123.57445647162565</v>
      </c>
      <c r="H257">
        <v>192.27285372944732</v>
      </c>
      <c r="I257">
        <v>152.42786105279069</v>
      </c>
      <c r="J257">
        <v>138.929155953021</v>
      </c>
      <c r="K257">
        <v>0.98609274706816596</v>
      </c>
      <c r="L257">
        <v>85.000674242424196</v>
      </c>
      <c r="M257">
        <v>3.9691108090385026</v>
      </c>
      <c r="N257">
        <v>0.17385582924148901</v>
      </c>
      <c r="O257">
        <v>-0.14024893238342001</v>
      </c>
      <c r="P257">
        <v>286.36329999999998</v>
      </c>
      <c r="Q257">
        <v>61.652700000000003</v>
      </c>
      <c r="R257">
        <v>500.83539999999999</v>
      </c>
      <c r="S257">
        <v>112.5699</v>
      </c>
      <c r="T257">
        <v>20.052600000000002</v>
      </c>
      <c r="U257">
        <v>18.5261</v>
      </c>
      <c r="V257">
        <v>151.14859999999999</v>
      </c>
    </row>
    <row r="258" spans="1:22" x14ac:dyDescent="0.25">
      <c r="A258">
        <v>46022</v>
      </c>
      <c r="B258">
        <v>139.84769778751667</v>
      </c>
      <c r="C258">
        <v>144.98449505097366</v>
      </c>
      <c r="D258">
        <v>123.40676558081833</v>
      </c>
      <c r="E258">
        <v>147.21304703282601</v>
      </c>
      <c r="F258">
        <v>143.43158365664303</v>
      </c>
      <c r="G258">
        <v>124.406993625732</v>
      </c>
      <c r="H258">
        <v>193.70000748203401</v>
      </c>
      <c r="I258">
        <v>154.36457447399667</v>
      </c>
      <c r="J258">
        <v>139.784107563296</v>
      </c>
      <c r="K258">
        <v>1.0048143678035899</v>
      </c>
      <c r="L258">
        <v>84.160324242424196</v>
      </c>
      <c r="M258">
        <v>3.8470567349792795</v>
      </c>
      <c r="N258">
        <v>0.1119962</v>
      </c>
      <c r="O258">
        <v>9.7460178220928104E-2</v>
      </c>
      <c r="P258">
        <v>286.36329999999998</v>
      </c>
      <c r="Q258">
        <v>61.652700000000003</v>
      </c>
      <c r="R258">
        <v>500.83539999999999</v>
      </c>
      <c r="S258">
        <v>112.5699</v>
      </c>
      <c r="T258">
        <v>20.052600000000002</v>
      </c>
      <c r="U258">
        <v>18.5261</v>
      </c>
      <c r="V258">
        <v>151.14859999999999</v>
      </c>
    </row>
    <row r="259" spans="1:22" x14ac:dyDescent="0.25">
      <c r="A259">
        <v>46112</v>
      </c>
      <c r="B259">
        <v>140.89011318576533</v>
      </c>
      <c r="C259">
        <v>146.55774137733101</v>
      </c>
      <c r="D259">
        <v>123.576506834233</v>
      </c>
      <c r="E259">
        <v>147.97730557310334</v>
      </c>
      <c r="F259">
        <v>144.19076339892868</v>
      </c>
      <c r="G259">
        <v>123.052083490431</v>
      </c>
      <c r="H259">
        <v>198.54377838412969</v>
      </c>
      <c r="I259">
        <v>155.57223430815199</v>
      </c>
      <c r="J259">
        <v>140.96859532877701</v>
      </c>
      <c r="K259">
        <v>1.0026831227361801</v>
      </c>
      <c r="L259">
        <v>84.782439062500004</v>
      </c>
      <c r="M259">
        <v>4.1639091291217634</v>
      </c>
      <c r="N259">
        <v>8.20304116706497E-2</v>
      </c>
      <c r="O259">
        <v>8.1472436362840003E-2</v>
      </c>
      <c r="P259">
        <v>277.11993333333328</v>
      </c>
      <c r="Q259">
        <v>58.344600000000007</v>
      </c>
      <c r="R259">
        <v>518.13319999999987</v>
      </c>
      <c r="S259">
        <v>109.45673333333333</v>
      </c>
      <c r="T259">
        <v>20.782733333333333</v>
      </c>
      <c r="U259">
        <v>16.162800000000001</v>
      </c>
      <c r="V259">
        <v>146.40226666666666</v>
      </c>
    </row>
    <row r="260" spans="1:22" x14ac:dyDescent="0.25">
      <c r="A260">
        <v>46203</v>
      </c>
      <c r="B260">
        <v>142.17688398956633</v>
      </c>
      <c r="C260">
        <v>147.61775133787967</v>
      </c>
      <c r="D260">
        <v>123.96744171654666</v>
      </c>
      <c r="E260">
        <v>149.50397975256399</v>
      </c>
      <c r="F260">
        <v>145.93077251103333</v>
      </c>
      <c r="G260">
        <v>123.61603258953666</v>
      </c>
      <c r="H260">
        <v>201.25939295992498</v>
      </c>
      <c r="I260">
        <v>165.17818160477432</v>
      </c>
      <c r="J260">
        <v>142.34484745777499</v>
      </c>
      <c r="K260">
        <v>1.03470568254168</v>
      </c>
      <c r="L260">
        <v>83.852547542572495</v>
      </c>
      <c r="M260">
        <v>5.4104651194166893</v>
      </c>
      <c r="N260">
        <v>0.46770181567943597</v>
      </c>
      <c r="O260">
        <v>0.41784976947829</v>
      </c>
      <c r="P260">
        <v>276.51159999999993</v>
      </c>
      <c r="Q260">
        <v>58.350900000000003</v>
      </c>
      <c r="R260">
        <v>518.36659999999995</v>
      </c>
      <c r="S260">
        <v>109.60590000000001</v>
      </c>
      <c r="T260">
        <v>20.937899999999999</v>
      </c>
      <c r="U260">
        <v>16.2271</v>
      </c>
      <c r="V260">
        <v>146.77090000000001</v>
      </c>
    </row>
    <row r="261" spans="1:22" x14ac:dyDescent="0.25">
      <c r="A261">
        <v>46295</v>
      </c>
      <c r="B261">
        <v>143.739508018078</v>
      </c>
      <c r="C261">
        <v>148.92058350320198</v>
      </c>
      <c r="D261">
        <v>124.47896005002734</v>
      </c>
      <c r="E261">
        <v>151.74457930821367</v>
      </c>
      <c r="F261">
        <v>148.39397242089967</v>
      </c>
      <c r="G261">
        <v>124.52848919332399</v>
      </c>
      <c r="H261">
        <v>203.06582905204769</v>
      </c>
      <c r="I261">
        <v>168.52415136763133</v>
      </c>
      <c r="J261">
        <v>143.576397728773</v>
      </c>
      <c r="K261">
        <v>1.03126921064787</v>
      </c>
      <c r="L261">
        <v>83.739870212059401</v>
      </c>
      <c r="M261">
        <v>4.9139696600199789</v>
      </c>
      <c r="N261">
        <v>0.62946641974350404</v>
      </c>
      <c r="O261">
        <v>2.7533676138149901E-2</v>
      </c>
      <c r="P261">
        <v>276.51159999999993</v>
      </c>
      <c r="Q261">
        <v>58.350900000000003</v>
      </c>
      <c r="R261">
        <v>518.36659999999995</v>
      </c>
      <c r="S261">
        <v>109.60590000000001</v>
      </c>
      <c r="T261">
        <v>20.937899999999999</v>
      </c>
      <c r="U261">
        <v>16.2271</v>
      </c>
      <c r="V261">
        <v>146.77090000000001</v>
      </c>
    </row>
    <row r="262" spans="1:22" x14ac:dyDescent="0.25">
      <c r="A262">
        <v>46387</v>
      </c>
      <c r="B262">
        <v>144.99550409639835</v>
      </c>
      <c r="C262">
        <v>150.69589000548399</v>
      </c>
      <c r="D262">
        <v>125.00435843674568</v>
      </c>
      <c r="E262">
        <v>155.70181660089335</v>
      </c>
      <c r="F262">
        <v>151.43452849278165</v>
      </c>
      <c r="G262">
        <v>124.92840642016832</v>
      </c>
      <c r="H262">
        <v>220.13614424077198</v>
      </c>
      <c r="I262">
        <v>166.03112379057998</v>
      </c>
      <c r="J262">
        <v>144.90812892177101</v>
      </c>
      <c r="K262">
        <v>1.02108565765283</v>
      </c>
      <c r="L262">
        <v>83.626772015095</v>
      </c>
      <c r="M262">
        <v>4.0011512098701685</v>
      </c>
      <c r="N262">
        <v>0.43966995093679601</v>
      </c>
      <c r="O262">
        <v>-8.6012428087150206E-2</v>
      </c>
      <c r="P262">
        <v>276.51159999999993</v>
      </c>
      <c r="Q262">
        <v>58.350900000000003</v>
      </c>
      <c r="R262">
        <v>518.36659999999995</v>
      </c>
      <c r="S262">
        <v>109.60590000000001</v>
      </c>
      <c r="T262">
        <v>20.937899999999999</v>
      </c>
      <c r="U262">
        <v>16.2271</v>
      </c>
      <c r="V262">
        <v>146.77090000000001</v>
      </c>
    </row>
    <row r="263" spans="1:22" x14ac:dyDescent="0.25">
      <c r="A263">
        <v>46477</v>
      </c>
      <c r="I263">
        <v>164.99159620008598</v>
      </c>
      <c r="J263">
        <v>145.85027265183999</v>
      </c>
      <c r="K263">
        <v>1.0159086217453499</v>
      </c>
      <c r="L263">
        <v>83.511782227374596</v>
      </c>
      <c r="M263">
        <v>3.3715300668176842</v>
      </c>
      <c r="N263">
        <v>0.35352551299761398</v>
      </c>
      <c r="O263">
        <v>1.81903390419846E-4</v>
      </c>
      <c r="P263">
        <v>277.11993333333328</v>
      </c>
      <c r="Q263">
        <v>58.344600000000007</v>
      </c>
      <c r="R263">
        <v>518.13319999999987</v>
      </c>
      <c r="S263">
        <v>109.45673333333333</v>
      </c>
      <c r="T263">
        <v>20.782733333333333</v>
      </c>
      <c r="U263">
        <v>16.162800000000001</v>
      </c>
      <c r="V263">
        <v>146.40226666666666</v>
      </c>
    </row>
    <row r="264" spans="1:22" x14ac:dyDescent="0.25">
      <c r="A264">
        <v>46568</v>
      </c>
      <c r="I264">
        <v>162.6478364146233</v>
      </c>
      <c r="J264">
        <v>146.61458563050601</v>
      </c>
      <c r="K264">
        <v>1.0126519664022899</v>
      </c>
      <c r="L264">
        <v>83.394217743676407</v>
      </c>
      <c r="M264">
        <v>2.9319715449134089</v>
      </c>
      <c r="N264">
        <v>-0.10110608693769101</v>
      </c>
      <c r="O264">
        <v>-3.4253926787450102E-2</v>
      </c>
      <c r="P264">
        <v>276.51159999999993</v>
      </c>
      <c r="Q264">
        <v>58.350900000000003</v>
      </c>
      <c r="R264">
        <v>518.36659999999995</v>
      </c>
      <c r="S264">
        <v>109.60590000000001</v>
      </c>
      <c r="T264">
        <v>20.937899999999999</v>
      </c>
      <c r="U264">
        <v>16.2271</v>
      </c>
      <c r="V264">
        <v>146.77090000000001</v>
      </c>
    </row>
    <row r="265" spans="1:22" x14ac:dyDescent="0.25">
      <c r="A265">
        <v>46660</v>
      </c>
      <c r="I265">
        <v>161.60506776520634</v>
      </c>
      <c r="J265">
        <v>147.160073363885</v>
      </c>
      <c r="K265">
        <v>1.01034866830139</v>
      </c>
      <c r="L265">
        <v>83.272276764652105</v>
      </c>
      <c r="M265">
        <v>2.624058833894372</v>
      </c>
      <c r="N265">
        <v>-0.23265208863300799</v>
      </c>
      <c r="O265">
        <v>-0.10587901821204999</v>
      </c>
      <c r="P265">
        <v>276.51159999999993</v>
      </c>
      <c r="Q265">
        <v>58.350900000000003</v>
      </c>
      <c r="R265">
        <v>518.36659999999995</v>
      </c>
      <c r="S265">
        <v>109.60590000000001</v>
      </c>
      <c r="T265">
        <v>20.937899999999999</v>
      </c>
      <c r="U265">
        <v>16.2271</v>
      </c>
      <c r="V265">
        <v>146.77090000000001</v>
      </c>
    </row>
    <row r="266" spans="1:22" x14ac:dyDescent="0.25">
      <c r="A266">
        <v>46752</v>
      </c>
      <c r="I266">
        <v>159.57272865145001</v>
      </c>
      <c r="J266">
        <v>147.70275880738399</v>
      </c>
      <c r="K266">
        <v>1.00825272538385</v>
      </c>
      <c r="L266">
        <v>83.146696505323803</v>
      </c>
      <c r="M266">
        <v>2.4687156565697737</v>
      </c>
      <c r="N266">
        <v>-0.22557547231543701</v>
      </c>
      <c r="O266">
        <v>-8.0643982069679904E-2</v>
      </c>
      <c r="P266">
        <v>276.51159999999993</v>
      </c>
      <c r="Q266">
        <v>58.350900000000003</v>
      </c>
      <c r="R266">
        <v>518.36659999999995</v>
      </c>
      <c r="S266">
        <v>109.60590000000001</v>
      </c>
      <c r="T266">
        <v>20.937899999999999</v>
      </c>
      <c r="U266">
        <v>16.2271</v>
      </c>
      <c r="V266">
        <v>146.77090000000001</v>
      </c>
    </row>
    <row r="267" spans="1:22" x14ac:dyDescent="0.25">
      <c r="A267">
        <v>46843</v>
      </c>
      <c r="I267">
        <v>157.00167776002502</v>
      </c>
      <c r="J267">
        <v>148.23762334590799</v>
      </c>
      <c r="K267">
        <v>1.00659242366188</v>
      </c>
      <c r="L267">
        <v>83.019750750202704</v>
      </c>
      <c r="M267">
        <v>2.4272584547421974</v>
      </c>
      <c r="N267">
        <v>-0.292579106135544</v>
      </c>
      <c r="O267">
        <v>-7.1473628390959901E-2</v>
      </c>
      <c r="P267">
        <v>277.11993333333328</v>
      </c>
      <c r="Q267">
        <v>58.344600000000007</v>
      </c>
      <c r="R267">
        <v>518.13319999999987</v>
      </c>
      <c r="S267">
        <v>109.45673333333333</v>
      </c>
      <c r="T267">
        <v>20.782733333333333</v>
      </c>
      <c r="U267">
        <v>16.162800000000001</v>
      </c>
      <c r="V267">
        <v>146.40226666666666</v>
      </c>
    </row>
    <row r="268" spans="1:22" x14ac:dyDescent="0.25">
      <c r="A268">
        <v>46934</v>
      </c>
      <c r="I268">
        <v>154.98879882385665</v>
      </c>
      <c r="J268">
        <v>149.02794682730701</v>
      </c>
      <c r="K268">
        <v>1.00503851607327</v>
      </c>
      <c r="L268">
        <v>82.893671077881507</v>
      </c>
      <c r="M268">
        <v>2.4505337246023733</v>
      </c>
      <c r="N268">
        <v>-0.27639477261600398</v>
      </c>
      <c r="O268">
        <v>-2.1510396662669899E-2</v>
      </c>
      <c r="P268">
        <v>276.51159999999993</v>
      </c>
      <c r="Q268">
        <v>58.350900000000003</v>
      </c>
      <c r="R268">
        <v>518.36659999999995</v>
      </c>
      <c r="S268">
        <v>109.60590000000001</v>
      </c>
      <c r="T268">
        <v>20.937899999999999</v>
      </c>
      <c r="U268">
        <v>16.2271</v>
      </c>
      <c r="V268">
        <v>146.77090000000001</v>
      </c>
    </row>
    <row r="269" spans="1:22" x14ac:dyDescent="0.25">
      <c r="A269">
        <v>47026</v>
      </c>
      <c r="I269">
        <v>156.01777770224967</v>
      </c>
      <c r="J269">
        <v>149.62609821928601</v>
      </c>
      <c r="K269">
        <v>1.0036277909031399</v>
      </c>
      <c r="L269">
        <v>82.769687239930306</v>
      </c>
      <c r="M269">
        <v>2.4399426350808717</v>
      </c>
      <c r="N269">
        <v>-0.18992010659112199</v>
      </c>
      <c r="O269">
        <v>-1.9383107023809999E-2</v>
      </c>
      <c r="P269">
        <v>276.51159999999993</v>
      </c>
      <c r="Q269">
        <v>58.350900000000003</v>
      </c>
      <c r="R269">
        <v>518.36659999999995</v>
      </c>
      <c r="S269">
        <v>109.60590000000001</v>
      </c>
      <c r="T269">
        <v>20.937899999999999</v>
      </c>
      <c r="U269">
        <v>16.2271</v>
      </c>
      <c r="V269">
        <v>146.77090000000001</v>
      </c>
    </row>
    <row r="270" spans="1:22" x14ac:dyDescent="0.25">
      <c r="A270">
        <v>47118</v>
      </c>
      <c r="I270">
        <v>156.41787406037233</v>
      </c>
      <c r="J270">
        <v>150.239139540514</v>
      </c>
      <c r="K270">
        <v>1.00235794119012</v>
      </c>
      <c r="L270">
        <v>82.648532501598893</v>
      </c>
      <c r="M270">
        <v>2.4724757454078841</v>
      </c>
      <c r="N270">
        <v>-0.117011613692185</v>
      </c>
      <c r="O270">
        <v>-7.6941422171599499E-3</v>
      </c>
      <c r="P270">
        <v>276.51159999999993</v>
      </c>
      <c r="Q270">
        <v>58.350900000000003</v>
      </c>
      <c r="R270">
        <v>518.36659999999995</v>
      </c>
      <c r="S270">
        <v>109.60590000000001</v>
      </c>
      <c r="T270">
        <v>20.937899999999999</v>
      </c>
      <c r="U270">
        <v>16.2271</v>
      </c>
      <c r="V270">
        <v>146.77090000000001</v>
      </c>
    </row>
    <row r="271" spans="1:22" x14ac:dyDescent="0.25">
      <c r="A271">
        <v>47208</v>
      </c>
      <c r="I271">
        <v>155.56522251420802</v>
      </c>
      <c r="J271">
        <v>150.84127839502901</v>
      </c>
      <c r="K271">
        <v>1.00106999055868</v>
      </c>
      <c r="L271">
        <v>82.530537938462103</v>
      </c>
      <c r="M271">
        <v>2.5381252562448622</v>
      </c>
      <c r="N271">
        <v>-5.67299892812883E-2</v>
      </c>
      <c r="O271">
        <v>-9.1409025819499095E-3</v>
      </c>
      <c r="P271">
        <v>277.11993333333328</v>
      </c>
      <c r="Q271">
        <v>58.344600000000007</v>
      </c>
      <c r="R271">
        <v>518.13319999999987</v>
      </c>
      <c r="S271">
        <v>109.45673333333333</v>
      </c>
      <c r="T271">
        <v>20.782733333333333</v>
      </c>
      <c r="U271">
        <v>16.162800000000001</v>
      </c>
      <c r="V271">
        <v>146.40226666666666</v>
      </c>
    </row>
    <row r="272" spans="1:22" x14ac:dyDescent="0.25">
      <c r="A272">
        <v>47299</v>
      </c>
      <c r="I272">
        <v>155.56522251420802</v>
      </c>
      <c r="J272">
        <v>151.581874361823</v>
      </c>
      <c r="K272">
        <v>0.99979892453025199</v>
      </c>
      <c r="L272">
        <v>82.415651645429406</v>
      </c>
      <c r="M272">
        <v>2.6576871518365146</v>
      </c>
      <c r="N272">
        <v>5.0718542367155998E-2</v>
      </c>
      <c r="O272">
        <v>9.1481009494209994E-2</v>
      </c>
      <c r="P272">
        <v>276.51159999999993</v>
      </c>
      <c r="Q272">
        <v>58.350900000000003</v>
      </c>
      <c r="R272">
        <v>518.36659999999995</v>
      </c>
      <c r="S272">
        <v>109.60590000000001</v>
      </c>
      <c r="T272">
        <v>20.937899999999999</v>
      </c>
      <c r="U272">
        <v>16.2271</v>
      </c>
      <c r="V272">
        <v>146.77090000000001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M23</vt:lpstr>
      <vt:lpstr>A23</vt:lpstr>
      <vt:lpstr>N23</vt:lpstr>
      <vt:lpstr>F24</vt:lpstr>
      <vt:lpstr>M24</vt:lpstr>
      <vt:lpstr>A24</vt:lpstr>
      <vt:lpstr>N24</vt:lpstr>
      <vt:lpstr>F25</vt:lpstr>
      <vt:lpstr>M25</vt:lpstr>
      <vt:lpstr>A25</vt:lpstr>
      <vt:lpstr>N25</vt:lpstr>
      <vt:lpstr>F26</vt:lpstr>
      <vt:lpstr>M26</vt:lpstr>
      <vt:lpstr>Sheet1</vt:lpstr>
      <vt:lpstr>Sheet2</vt:lpstr>
      <vt:lpstr>Sheet3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Karasoy Can, Gokce</dc:creator>
  <cp:lastModifiedBy>Karasoy Can, Gokce</cp:lastModifiedBy>
  <dcterms:created xsi:type="dcterms:W3CDTF">2026-06-04T09:50:19Z</dcterms:created>
  <dcterms:modified xsi:type="dcterms:W3CDTF">2026-06-05T11:05:09Z</dcterms:modified>
</cp:coreProperties>
</file>