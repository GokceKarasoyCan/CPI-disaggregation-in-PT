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4792\Gokce\GIT PROJECTS\DisaggCPI\CPI-disaggregation-in-PT\"/>
    </mc:Choice>
  </mc:AlternateContent>
  <xr:revisionPtr revIDLastSave="0" documentId="8_{572EC278-2C63-4C78-9E1D-96AD1CD23A51}" xr6:coauthVersionLast="47" xr6:coauthVersionMax="47" xr10:uidLastSave="{00000000-0000-0000-0000-000000000000}"/>
  <bookViews>
    <workbookView xWindow="-120" yWindow="-120" windowWidth="29040" windowHeight="17520" firstSheet="1" activeTab="13" xr2:uid="{7A994B15-2DA1-442C-A8B3-44B091D65DA6}"/>
  </bookViews>
  <sheets>
    <sheet name="FAME Persistence2" sheetId="8" state="veryHidden" r:id="rId1"/>
    <sheet name="M23" sheetId="17" r:id="rId2"/>
    <sheet name="A23" sheetId="16" r:id="rId3"/>
    <sheet name="N23" sheetId="15" r:id="rId4"/>
    <sheet name="F24" sheetId="14" r:id="rId5"/>
    <sheet name="M24" sheetId="13" r:id="rId6"/>
    <sheet name="A24" sheetId="12" r:id="rId7"/>
    <sheet name="N24" sheetId="11" r:id="rId8"/>
    <sheet name="F25" sheetId="10" r:id="rId9"/>
    <sheet name="M25" sheetId="9" r:id="rId10"/>
    <sheet name="A25" sheetId="7" r:id="rId11"/>
    <sheet name="N25" sheetId="6" r:id="rId12"/>
    <sheet name="F26" sheetId="5" r:id="rId13"/>
    <sheet name="M26" sheetId="4" r:id="rId14"/>
    <sheet name="Sheet1" sheetId="1" r:id="rId15"/>
    <sheet name="Sheet2" sheetId="2" r:id="rId16"/>
    <sheet name="Sheet3" sheetId="3" r:id="rId17"/>
  </sheets>
  <externalReferences>
    <externalReference r:id="rId18"/>
    <externalReference r:id="rId19"/>
    <externalReference r:id="rId20"/>
  </externalReferences>
  <definedNames>
    <definedName name="ForecastHorizon">'[1]Controls and README'!$C$8</definedName>
    <definedName name="ForecastRound">'[1]Controls and README'!$C$4</definedName>
    <definedName name="ForecastVersion">'[1]Controls and README'!$C$5</definedName>
    <definedName name="mpc_fcst_end">[1]VAR_controls!#REF!</definedName>
    <definedName name="mpc_fcst_start">[1]VAR_controls!#REF!</definedName>
    <definedName name="StartDate">'[1]Controls and README'!$C$3</definedName>
    <definedName name="STIFHorizon">'[1]Controls and README'!$C$7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9" l="1"/>
  <c r="I10" i="10"/>
  <c r="I10" i="16"/>
  <c r="I10" i="17"/>
  <c r="B10" i="17"/>
  <c r="Q12" i="4"/>
  <c r="T12" i="4"/>
  <c r="R12" i="4"/>
  <c r="O12" i="4"/>
  <c r="G12" i="4"/>
  <c r="F12" i="4"/>
  <c r="E12" i="4"/>
  <c r="V12" i="4"/>
  <c r="P12" i="4"/>
  <c r="S12" i="4"/>
  <c r="B12" i="4"/>
  <c r="H12" i="4"/>
  <c r="N12" i="4"/>
  <c r="L12" i="4"/>
  <c r="K12" i="4"/>
  <c r="J12" i="4"/>
  <c r="U12" i="4"/>
  <c r="I12" i="4"/>
  <c r="D12" i="4"/>
  <c r="C12" i="4"/>
  <c r="Q12" i="5"/>
  <c r="G12" i="5"/>
  <c r="L12" i="5"/>
  <c r="S12" i="5"/>
  <c r="O12" i="5"/>
  <c r="F12" i="5"/>
  <c r="K12" i="5"/>
  <c r="I12" i="5"/>
  <c r="E12" i="5"/>
  <c r="J12" i="5"/>
  <c r="U12" i="5"/>
  <c r="D12" i="5"/>
  <c r="C12" i="5"/>
  <c r="T12" i="5"/>
  <c r="R12" i="5"/>
  <c r="H12" i="5"/>
  <c r="N12" i="5"/>
  <c r="V12" i="5"/>
  <c r="P12" i="5"/>
  <c r="B12" i="5"/>
  <c r="Q12" i="6"/>
  <c r="V12" i="6"/>
  <c r="T12" i="6"/>
  <c r="I12" i="6"/>
  <c r="R12" i="6"/>
  <c r="G12" i="6"/>
  <c r="U12" i="6"/>
  <c r="E12" i="6"/>
  <c r="S12" i="6"/>
  <c r="F12" i="6"/>
  <c r="P12" i="6"/>
  <c r="N12" i="6"/>
  <c r="B12" i="6"/>
  <c r="O12" i="6"/>
  <c r="K12" i="6"/>
  <c r="J12" i="6"/>
  <c r="H12" i="6"/>
  <c r="L12" i="6"/>
  <c r="C12" i="6"/>
  <c r="D12" i="6"/>
  <c r="Q12" i="7"/>
  <c r="B12" i="7"/>
  <c r="O12" i="7"/>
  <c r="H12" i="7"/>
  <c r="N12" i="7"/>
  <c r="G12" i="7"/>
  <c r="L12" i="7"/>
  <c r="F12" i="7"/>
  <c r="K12" i="7"/>
  <c r="E12" i="7"/>
  <c r="J12" i="7"/>
  <c r="U12" i="7"/>
  <c r="P12" i="7"/>
  <c r="S12" i="7"/>
  <c r="D12" i="7"/>
  <c r="T12" i="7"/>
  <c r="C12" i="7"/>
  <c r="I12" i="7"/>
  <c r="R12" i="7"/>
  <c r="V12" i="7"/>
  <c r="Q12" i="9"/>
  <c r="D12" i="9"/>
  <c r="C12" i="9"/>
  <c r="R12" i="9"/>
  <c r="F12" i="9"/>
  <c r="V12" i="9"/>
  <c r="I12" i="9"/>
  <c r="U12" i="9"/>
  <c r="T12" i="9"/>
  <c r="P12" i="9"/>
  <c r="O12" i="9"/>
  <c r="S12" i="9"/>
  <c r="B12" i="9"/>
  <c r="L12" i="9"/>
  <c r="K12" i="9"/>
  <c r="E12" i="9"/>
  <c r="G12" i="9"/>
  <c r="J12" i="9"/>
  <c r="H12" i="9"/>
  <c r="N12" i="9"/>
  <c r="Q12" i="10"/>
  <c r="I12" i="10"/>
  <c r="R12" i="10"/>
  <c r="O12" i="10"/>
  <c r="D12" i="10"/>
  <c r="B12" i="10"/>
  <c r="L12" i="10"/>
  <c r="H12" i="10"/>
  <c r="N12" i="10"/>
  <c r="G12" i="10"/>
  <c r="K12" i="10"/>
  <c r="E12" i="10"/>
  <c r="F12" i="10"/>
  <c r="J12" i="10"/>
  <c r="C12" i="10"/>
  <c r="V12" i="10"/>
  <c r="P12" i="10"/>
  <c r="U12" i="10"/>
  <c r="S12" i="10"/>
  <c r="T12" i="10"/>
  <c r="Q12" i="11"/>
  <c r="F12" i="11"/>
  <c r="K12" i="11"/>
  <c r="E12" i="11"/>
  <c r="D12" i="11"/>
  <c r="C12" i="11"/>
  <c r="V12" i="11"/>
  <c r="N12" i="11"/>
  <c r="J12" i="11"/>
  <c r="B12" i="11"/>
  <c r="H12" i="11"/>
  <c r="G12" i="11"/>
  <c r="U12" i="11"/>
  <c r="T12" i="11"/>
  <c r="P12" i="11"/>
  <c r="S12" i="11"/>
  <c r="I12" i="11"/>
  <c r="R12" i="11"/>
  <c r="O12" i="11"/>
  <c r="L12" i="11"/>
  <c r="Q12" i="12"/>
  <c r="U12" i="12"/>
  <c r="B12" i="12"/>
  <c r="H12" i="12"/>
  <c r="T12" i="12"/>
  <c r="P12" i="12"/>
  <c r="S12" i="12"/>
  <c r="N12" i="12"/>
  <c r="G12" i="12"/>
  <c r="E12" i="12"/>
  <c r="J12" i="12"/>
  <c r="I12" i="12"/>
  <c r="O12" i="12"/>
  <c r="F12" i="12"/>
  <c r="D12" i="12"/>
  <c r="L12" i="12"/>
  <c r="C12" i="12"/>
  <c r="R12" i="12"/>
  <c r="V12" i="12"/>
  <c r="K12" i="12"/>
  <c r="Q12" i="13"/>
  <c r="H12" i="13"/>
  <c r="N12" i="13"/>
  <c r="L12" i="13"/>
  <c r="E12" i="13"/>
  <c r="G12" i="13"/>
  <c r="K12" i="13"/>
  <c r="F12" i="13"/>
  <c r="J12" i="13"/>
  <c r="C12" i="13"/>
  <c r="V12" i="13"/>
  <c r="U12" i="13"/>
  <c r="T12" i="13"/>
  <c r="S12" i="13"/>
  <c r="I12" i="13"/>
  <c r="D12" i="13"/>
  <c r="B12" i="13"/>
  <c r="P12" i="13"/>
  <c r="R12" i="13"/>
  <c r="O12" i="13"/>
  <c r="Q12" i="14"/>
  <c r="C12" i="14"/>
  <c r="V12" i="14"/>
  <c r="U12" i="14"/>
  <c r="P12" i="14"/>
  <c r="S12" i="14"/>
  <c r="O12" i="14"/>
  <c r="T12" i="14"/>
  <c r="R12" i="14"/>
  <c r="I12" i="14"/>
  <c r="B12" i="14"/>
  <c r="H12" i="14"/>
  <c r="N12" i="14"/>
  <c r="G12" i="14"/>
  <c r="J12" i="14"/>
  <c r="D12" i="14"/>
  <c r="L12" i="14"/>
  <c r="F12" i="14"/>
  <c r="K12" i="14"/>
  <c r="E12" i="14"/>
  <c r="Q12" i="15"/>
  <c r="I12" i="15"/>
  <c r="R12" i="15"/>
  <c r="B12" i="15"/>
  <c r="O12" i="15"/>
  <c r="G12" i="15"/>
  <c r="K12" i="15"/>
  <c r="S12" i="15"/>
  <c r="N12" i="15"/>
  <c r="F12" i="15"/>
  <c r="H12" i="15"/>
  <c r="L12" i="15"/>
  <c r="E12" i="15"/>
  <c r="J12" i="15"/>
  <c r="T12" i="15"/>
  <c r="D12" i="15"/>
  <c r="P12" i="15"/>
  <c r="C12" i="15"/>
  <c r="V12" i="15"/>
  <c r="U12" i="15"/>
  <c r="Q12" i="16"/>
  <c r="D12" i="16"/>
  <c r="C12" i="16"/>
  <c r="V12" i="16"/>
  <c r="U12" i="16"/>
  <c r="B12" i="16"/>
  <c r="O12" i="16"/>
  <c r="H12" i="16"/>
  <c r="N12" i="16"/>
  <c r="G12" i="16"/>
  <c r="E12" i="16"/>
  <c r="P12" i="16"/>
  <c r="L12" i="16"/>
  <c r="R12" i="16"/>
  <c r="F12" i="16"/>
  <c r="K12" i="16"/>
  <c r="J12" i="16"/>
  <c r="T12" i="16"/>
  <c r="S12" i="16"/>
  <c r="I12" i="16"/>
  <c r="Q12" i="17"/>
  <c r="R12" i="17"/>
  <c r="I12" i="17"/>
  <c r="C12" i="17"/>
  <c r="O12" i="17"/>
  <c r="H12" i="17"/>
  <c r="N12" i="17"/>
  <c r="K12" i="17"/>
  <c r="D12" i="17"/>
  <c r="B12" i="17"/>
  <c r="V12" i="17"/>
  <c r="U12" i="17"/>
  <c r="P12" i="17"/>
  <c r="J12" i="17"/>
  <c r="S12" i="17"/>
  <c r="G12" i="17"/>
  <c r="L12" i="17"/>
  <c r="F12" i="17"/>
  <c r="E12" i="17"/>
  <c r="T12" i="17"/>
  <c r="B10" i="4" l="1"/>
  <c r="B10" i="5"/>
  <c r="W123" i="17"/>
  <c r="W127" i="17" s="1"/>
  <c r="W131" i="17" s="1"/>
  <c r="W122" i="17"/>
  <c r="W126" i="17" s="1"/>
  <c r="W130" i="17" s="1"/>
  <c r="W134" i="17" s="1"/>
  <c r="M122" i="17"/>
  <c r="W121" i="17"/>
  <c r="W125" i="17" s="1"/>
  <c r="W129" i="17" s="1"/>
  <c r="W133" i="17" s="1"/>
  <c r="M121" i="17"/>
  <c r="W120" i="17"/>
  <c r="W124" i="17" s="1"/>
  <c r="W128" i="17" s="1"/>
  <c r="W132" i="17" s="1"/>
  <c r="M120" i="17"/>
  <c r="W119" i="17"/>
  <c r="M119" i="17"/>
  <c r="W118" i="17"/>
  <c r="M118" i="17"/>
  <c r="W117" i="17"/>
  <c r="M117" i="17"/>
  <c r="W116" i="17"/>
  <c r="M116" i="17"/>
  <c r="W115" i="17"/>
  <c r="M115" i="17"/>
  <c r="W114" i="17"/>
  <c r="M114" i="17"/>
  <c r="W113" i="17"/>
  <c r="M113" i="17"/>
  <c r="W112" i="17"/>
  <c r="M112" i="17"/>
  <c r="W111" i="17"/>
  <c r="M111" i="17"/>
  <c r="W110" i="17"/>
  <c r="M110" i="17"/>
  <c r="W109" i="17"/>
  <c r="M109" i="17"/>
  <c r="W108" i="17"/>
  <c r="M108" i="17"/>
  <c r="W107" i="17"/>
  <c r="M107" i="17"/>
  <c r="W106" i="17"/>
  <c r="M106" i="17"/>
  <c r="W105" i="17"/>
  <c r="M105" i="17"/>
  <c r="W104" i="17"/>
  <c r="M104" i="17"/>
  <c r="W103" i="17"/>
  <c r="M103" i="17"/>
  <c r="W102" i="17"/>
  <c r="M102" i="17"/>
  <c r="W101" i="17"/>
  <c r="M101" i="17"/>
  <c r="W100" i="17"/>
  <c r="M100" i="17"/>
  <c r="W99" i="17"/>
  <c r="M99" i="17"/>
  <c r="W98" i="17"/>
  <c r="M98" i="17"/>
  <c r="W97" i="17"/>
  <c r="M97" i="17"/>
  <c r="W96" i="17"/>
  <c r="M96" i="17"/>
  <c r="W95" i="17"/>
  <c r="M95" i="17"/>
  <c r="W94" i="17"/>
  <c r="M94" i="17"/>
  <c r="W93" i="17"/>
  <c r="M93" i="17"/>
  <c r="W92" i="17"/>
  <c r="M92" i="17"/>
  <c r="W91" i="17"/>
  <c r="M91" i="17"/>
  <c r="W90" i="17"/>
  <c r="M90" i="17"/>
  <c r="W89" i="17"/>
  <c r="M89" i="17"/>
  <c r="W88" i="17"/>
  <c r="M88" i="17"/>
  <c r="W87" i="17"/>
  <c r="M87" i="17"/>
  <c r="W86" i="17"/>
  <c r="M86" i="17"/>
  <c r="W85" i="17"/>
  <c r="M85" i="17"/>
  <c r="W84" i="17"/>
  <c r="M84" i="17"/>
  <c r="W83" i="17"/>
  <c r="M83" i="17"/>
  <c r="W82" i="17"/>
  <c r="M82" i="17"/>
  <c r="W81" i="17"/>
  <c r="M81" i="17"/>
  <c r="W80" i="17"/>
  <c r="M80" i="17"/>
  <c r="W79" i="17"/>
  <c r="M79" i="17"/>
  <c r="W78" i="17"/>
  <c r="M78" i="17"/>
  <c r="W77" i="17"/>
  <c r="M77" i="17"/>
  <c r="W76" i="17"/>
  <c r="M76" i="17"/>
  <c r="W75" i="17"/>
  <c r="M75" i="17"/>
  <c r="W74" i="17"/>
  <c r="M74" i="17"/>
  <c r="W73" i="17"/>
  <c r="M73" i="17"/>
  <c r="W72" i="17"/>
  <c r="M72" i="17"/>
  <c r="W71" i="17"/>
  <c r="M71" i="17"/>
  <c r="W70" i="17"/>
  <c r="M70" i="17"/>
  <c r="W69" i="17"/>
  <c r="M69" i="17"/>
  <c r="W68" i="17"/>
  <c r="M68" i="17"/>
  <c r="W67" i="17"/>
  <c r="M67" i="17"/>
  <c r="W66" i="17"/>
  <c r="M66" i="17"/>
  <c r="W65" i="17"/>
  <c r="M65" i="17"/>
  <c r="W64" i="17"/>
  <c r="M64" i="17"/>
  <c r="W63" i="17"/>
  <c r="M63" i="17"/>
  <c r="W62" i="17"/>
  <c r="M62" i="17"/>
  <c r="W61" i="17"/>
  <c r="M61" i="17"/>
  <c r="W60" i="17"/>
  <c r="M60" i="17"/>
  <c r="W59" i="17"/>
  <c r="M59" i="17"/>
  <c r="W58" i="17"/>
  <c r="M58" i="17"/>
  <c r="W57" i="17"/>
  <c r="M57" i="17"/>
  <c r="W56" i="17"/>
  <c r="M56" i="17"/>
  <c r="W55" i="17"/>
  <c r="M55" i="17"/>
  <c r="W54" i="17"/>
  <c r="M54" i="17"/>
  <c r="W53" i="17"/>
  <c r="M53" i="17"/>
  <c r="W52" i="17"/>
  <c r="M52" i="17"/>
  <c r="W51" i="17"/>
  <c r="M51" i="17"/>
  <c r="W50" i="17"/>
  <c r="M50" i="17"/>
  <c r="W49" i="17"/>
  <c r="M49" i="17"/>
  <c r="W48" i="17"/>
  <c r="M48" i="17"/>
  <c r="W47" i="17"/>
  <c r="M47" i="17"/>
  <c r="W46" i="17"/>
  <c r="M46" i="17"/>
  <c r="W45" i="17"/>
  <c r="M45" i="17"/>
  <c r="W44" i="17"/>
  <c r="M44" i="17"/>
  <c r="W43" i="17"/>
  <c r="M43" i="17"/>
  <c r="W42" i="17"/>
  <c r="M42" i="17"/>
  <c r="W41" i="17"/>
  <c r="M41" i="17"/>
  <c r="W40" i="17"/>
  <c r="M40" i="17"/>
  <c r="W39" i="17"/>
  <c r="M39" i="17"/>
  <c r="W38" i="17"/>
  <c r="M38" i="17"/>
  <c r="W37" i="17"/>
  <c r="M37" i="17"/>
  <c r="W36" i="17"/>
  <c r="M36" i="17"/>
  <c r="W35" i="17"/>
  <c r="M35" i="17"/>
  <c r="W34" i="17"/>
  <c r="M34" i="17"/>
  <c r="W33" i="17"/>
  <c r="M33" i="17"/>
  <c r="W32" i="17"/>
  <c r="M32" i="17"/>
  <c r="W31" i="17"/>
  <c r="M31" i="17"/>
  <c r="W30" i="17"/>
  <c r="M30" i="17"/>
  <c r="W29" i="17"/>
  <c r="M29" i="17"/>
  <c r="W28" i="17"/>
  <c r="M28" i="17"/>
  <c r="W27" i="17"/>
  <c r="M27" i="17"/>
  <c r="W26" i="17"/>
  <c r="M26" i="17"/>
  <c r="W25" i="17"/>
  <c r="M25" i="17"/>
  <c r="W24" i="17"/>
  <c r="M24" i="17"/>
  <c r="W23" i="17"/>
  <c r="M23" i="17"/>
  <c r="W22" i="17"/>
  <c r="M22" i="17"/>
  <c r="W21" i="17"/>
  <c r="M21" i="17"/>
  <c r="W20" i="17"/>
  <c r="M20" i="17"/>
  <c r="W19" i="17"/>
  <c r="M19" i="17"/>
  <c r="W18" i="17"/>
  <c r="M18" i="17"/>
  <c r="W17" i="17"/>
  <c r="M17" i="17"/>
  <c r="W16" i="17"/>
  <c r="M16" i="17"/>
  <c r="W15" i="17"/>
  <c r="M15" i="17"/>
  <c r="W14" i="17"/>
  <c r="M14" i="17"/>
  <c r="W13" i="17"/>
  <c r="M13" i="17"/>
  <c r="M12" i="17"/>
  <c r="H10" i="17"/>
  <c r="G10" i="17"/>
  <c r="F10" i="17"/>
  <c r="E10" i="17"/>
  <c r="D10" i="17"/>
  <c r="C10" i="17"/>
  <c r="W12" i="17" l="1"/>
  <c r="W145" i="16"/>
  <c r="M145" i="16"/>
  <c r="W144" i="16"/>
  <c r="M144" i="16"/>
  <c r="W143" i="16"/>
  <c r="M143" i="16"/>
  <c r="W142" i="16"/>
  <c r="M142" i="16"/>
  <c r="W141" i="16"/>
  <c r="M141" i="16"/>
  <c r="W140" i="16"/>
  <c r="M140" i="16"/>
  <c r="W139" i="16"/>
  <c r="M139" i="16"/>
  <c r="W138" i="16"/>
  <c r="M138" i="16"/>
  <c r="W137" i="16"/>
  <c r="M137" i="16"/>
  <c r="W136" i="16"/>
  <c r="M136" i="16"/>
  <c r="W135" i="16"/>
  <c r="M135" i="16"/>
  <c r="W134" i="16"/>
  <c r="M134" i="16"/>
  <c r="W133" i="16"/>
  <c r="M133" i="16"/>
  <c r="W132" i="16"/>
  <c r="M132" i="16"/>
  <c r="W131" i="16"/>
  <c r="M131" i="16"/>
  <c r="W130" i="16"/>
  <c r="M130" i="16"/>
  <c r="W129" i="16"/>
  <c r="M129" i="16"/>
  <c r="W128" i="16"/>
  <c r="M128" i="16"/>
  <c r="W127" i="16"/>
  <c r="M127" i="16"/>
  <c r="W126" i="16"/>
  <c r="M126" i="16"/>
  <c r="W125" i="16"/>
  <c r="M125" i="16"/>
  <c r="W124" i="16"/>
  <c r="M124" i="16"/>
  <c r="W123" i="16"/>
  <c r="M123" i="16"/>
  <c r="W122" i="16"/>
  <c r="M122" i="16"/>
  <c r="W121" i="16"/>
  <c r="M121" i="16"/>
  <c r="W120" i="16"/>
  <c r="M120" i="16"/>
  <c r="W119" i="16"/>
  <c r="M119" i="16"/>
  <c r="W118" i="16"/>
  <c r="M118" i="16"/>
  <c r="W117" i="16"/>
  <c r="M117" i="16"/>
  <c r="W116" i="16"/>
  <c r="M116" i="16"/>
  <c r="W115" i="16"/>
  <c r="M115" i="16"/>
  <c r="W114" i="16"/>
  <c r="M114" i="16"/>
  <c r="W113" i="16"/>
  <c r="M113" i="16"/>
  <c r="W112" i="16"/>
  <c r="M112" i="16"/>
  <c r="W111" i="16"/>
  <c r="M111" i="16"/>
  <c r="W110" i="16"/>
  <c r="M110" i="16"/>
  <c r="W109" i="16"/>
  <c r="M109" i="16"/>
  <c r="W108" i="16"/>
  <c r="M108" i="16"/>
  <c r="W107" i="16"/>
  <c r="M107" i="16"/>
  <c r="W106" i="16"/>
  <c r="M106" i="16"/>
  <c r="W105" i="16"/>
  <c r="M105" i="16"/>
  <c r="W104" i="16"/>
  <c r="M104" i="16"/>
  <c r="W103" i="16"/>
  <c r="M103" i="16"/>
  <c r="W102" i="16"/>
  <c r="M102" i="16"/>
  <c r="W101" i="16"/>
  <c r="M101" i="16"/>
  <c r="W100" i="16"/>
  <c r="M100" i="16"/>
  <c r="W99" i="16"/>
  <c r="M99" i="16"/>
  <c r="W98" i="16"/>
  <c r="M98" i="16"/>
  <c r="W97" i="16"/>
  <c r="M97" i="16"/>
  <c r="W96" i="16"/>
  <c r="M96" i="16"/>
  <c r="W95" i="16"/>
  <c r="M95" i="16"/>
  <c r="W94" i="16"/>
  <c r="M94" i="16"/>
  <c r="W93" i="16"/>
  <c r="M93" i="16"/>
  <c r="W92" i="16"/>
  <c r="M92" i="16"/>
  <c r="W91" i="16"/>
  <c r="M91" i="16"/>
  <c r="W90" i="16"/>
  <c r="M90" i="16"/>
  <c r="W89" i="16"/>
  <c r="M89" i="16"/>
  <c r="W88" i="16"/>
  <c r="M88" i="16"/>
  <c r="W87" i="16"/>
  <c r="M87" i="16"/>
  <c r="W86" i="16"/>
  <c r="M86" i="16"/>
  <c r="W85" i="16"/>
  <c r="M85" i="16"/>
  <c r="W84" i="16"/>
  <c r="M84" i="16"/>
  <c r="W83" i="16"/>
  <c r="M83" i="16"/>
  <c r="W82" i="16"/>
  <c r="M82" i="16"/>
  <c r="W81" i="16"/>
  <c r="M81" i="16"/>
  <c r="W80" i="16"/>
  <c r="M80" i="16"/>
  <c r="W79" i="16"/>
  <c r="M79" i="16"/>
  <c r="W78" i="16"/>
  <c r="M78" i="16"/>
  <c r="W77" i="16"/>
  <c r="M77" i="16"/>
  <c r="W76" i="16"/>
  <c r="M76" i="16"/>
  <c r="W75" i="16"/>
  <c r="M75" i="16"/>
  <c r="W74" i="16"/>
  <c r="M74" i="16"/>
  <c r="W73" i="16"/>
  <c r="M73" i="16"/>
  <c r="W72" i="16"/>
  <c r="M72" i="16"/>
  <c r="W71" i="16"/>
  <c r="M71" i="16"/>
  <c r="W70" i="16"/>
  <c r="M70" i="16"/>
  <c r="W69" i="16"/>
  <c r="M69" i="16"/>
  <c r="W68" i="16"/>
  <c r="M68" i="16"/>
  <c r="W67" i="16"/>
  <c r="M67" i="16"/>
  <c r="W66" i="16"/>
  <c r="M66" i="16"/>
  <c r="W65" i="16"/>
  <c r="M65" i="16"/>
  <c r="W64" i="16"/>
  <c r="M64" i="16"/>
  <c r="W63" i="16"/>
  <c r="M63" i="16"/>
  <c r="W62" i="16"/>
  <c r="M62" i="16"/>
  <c r="W61" i="16"/>
  <c r="M61" i="16"/>
  <c r="W60" i="16"/>
  <c r="M60" i="16"/>
  <c r="W59" i="16"/>
  <c r="M59" i="16"/>
  <c r="W58" i="16"/>
  <c r="M58" i="16"/>
  <c r="W57" i="16"/>
  <c r="M57" i="16"/>
  <c r="W56" i="16"/>
  <c r="M56" i="16"/>
  <c r="W55" i="16"/>
  <c r="M55" i="16"/>
  <c r="W54" i="16"/>
  <c r="M54" i="16"/>
  <c r="W53" i="16"/>
  <c r="M53" i="16"/>
  <c r="W52" i="16"/>
  <c r="M52" i="16"/>
  <c r="W51" i="16"/>
  <c r="M51" i="16"/>
  <c r="W50" i="16"/>
  <c r="M50" i="16"/>
  <c r="W49" i="16"/>
  <c r="M49" i="16"/>
  <c r="W48" i="16"/>
  <c r="M48" i="16"/>
  <c r="W47" i="16"/>
  <c r="M47" i="16"/>
  <c r="W46" i="16"/>
  <c r="M46" i="16"/>
  <c r="W45" i="16"/>
  <c r="M45" i="16"/>
  <c r="W44" i="16"/>
  <c r="M44" i="16"/>
  <c r="W43" i="16"/>
  <c r="M43" i="16"/>
  <c r="W42" i="16"/>
  <c r="M42" i="16"/>
  <c r="W41" i="16"/>
  <c r="M41" i="16"/>
  <c r="W40" i="16"/>
  <c r="M40" i="16"/>
  <c r="W39" i="16"/>
  <c r="M39" i="16"/>
  <c r="W38" i="16"/>
  <c r="M38" i="16"/>
  <c r="W37" i="16"/>
  <c r="M37" i="16"/>
  <c r="W36" i="16"/>
  <c r="M36" i="16"/>
  <c r="W35" i="16"/>
  <c r="M35" i="16"/>
  <c r="W34" i="16"/>
  <c r="M34" i="16"/>
  <c r="W33" i="16"/>
  <c r="M33" i="16"/>
  <c r="W32" i="16"/>
  <c r="M32" i="16"/>
  <c r="W31" i="16"/>
  <c r="M31" i="16"/>
  <c r="W30" i="16"/>
  <c r="M30" i="16"/>
  <c r="W29" i="16"/>
  <c r="M29" i="16"/>
  <c r="W28" i="16"/>
  <c r="M28" i="16"/>
  <c r="W27" i="16"/>
  <c r="M27" i="16"/>
  <c r="W26" i="16"/>
  <c r="M26" i="16"/>
  <c r="W25" i="16"/>
  <c r="M25" i="16"/>
  <c r="W24" i="16"/>
  <c r="M24" i="16"/>
  <c r="W23" i="16"/>
  <c r="M23" i="16"/>
  <c r="W22" i="16"/>
  <c r="M22" i="16"/>
  <c r="W21" i="16"/>
  <c r="M21" i="16"/>
  <c r="W20" i="16"/>
  <c r="M20" i="16"/>
  <c r="W19" i="16"/>
  <c r="M19" i="16"/>
  <c r="W18" i="16"/>
  <c r="M18" i="16"/>
  <c r="W17" i="16"/>
  <c r="M17" i="16"/>
  <c r="W16" i="16"/>
  <c r="M16" i="16"/>
  <c r="W15" i="16"/>
  <c r="M15" i="16"/>
  <c r="W14" i="16"/>
  <c r="M14" i="16"/>
  <c r="W13" i="16"/>
  <c r="M13" i="16"/>
  <c r="M12" i="16"/>
  <c r="H10" i="16"/>
  <c r="G10" i="16"/>
  <c r="F10" i="16"/>
  <c r="E10" i="16"/>
  <c r="D10" i="16"/>
  <c r="C10" i="16"/>
  <c r="B10" i="16"/>
  <c r="W145" i="15"/>
  <c r="M145" i="15"/>
  <c r="W144" i="15"/>
  <c r="M144" i="15"/>
  <c r="W143" i="15"/>
  <c r="M143" i="15"/>
  <c r="W142" i="15"/>
  <c r="M142" i="15"/>
  <c r="W141" i="15"/>
  <c r="M141" i="15"/>
  <c r="W140" i="15"/>
  <c r="M140" i="15"/>
  <c r="W139" i="15"/>
  <c r="M139" i="15"/>
  <c r="W138" i="15"/>
  <c r="M138" i="15"/>
  <c r="W137" i="15"/>
  <c r="M137" i="15"/>
  <c r="W136" i="15"/>
  <c r="M136" i="15"/>
  <c r="W135" i="15"/>
  <c r="M135" i="15"/>
  <c r="W134" i="15"/>
  <c r="M134" i="15"/>
  <c r="W133" i="15"/>
  <c r="M133" i="15"/>
  <c r="W132" i="15"/>
  <c r="M132" i="15"/>
  <c r="W131" i="15"/>
  <c r="M131" i="15"/>
  <c r="W130" i="15"/>
  <c r="M130" i="15"/>
  <c r="W129" i="15"/>
  <c r="M129" i="15"/>
  <c r="W128" i="15"/>
  <c r="M128" i="15"/>
  <c r="W127" i="15"/>
  <c r="M127" i="15"/>
  <c r="W126" i="15"/>
  <c r="M126" i="15"/>
  <c r="W125" i="15"/>
  <c r="M125" i="15"/>
  <c r="W124" i="15"/>
  <c r="M124" i="15"/>
  <c r="W123" i="15"/>
  <c r="M123" i="15"/>
  <c r="W122" i="15"/>
  <c r="M122" i="15"/>
  <c r="W121" i="15"/>
  <c r="M121" i="15"/>
  <c r="W120" i="15"/>
  <c r="M120" i="15"/>
  <c r="W119" i="15"/>
  <c r="M119" i="15"/>
  <c r="W118" i="15"/>
  <c r="M118" i="15"/>
  <c r="W117" i="15"/>
  <c r="M117" i="15"/>
  <c r="W116" i="15"/>
  <c r="M116" i="15"/>
  <c r="W115" i="15"/>
  <c r="M115" i="15"/>
  <c r="W114" i="15"/>
  <c r="M114" i="15"/>
  <c r="W113" i="15"/>
  <c r="M113" i="15"/>
  <c r="W112" i="15"/>
  <c r="M112" i="15"/>
  <c r="W111" i="15"/>
  <c r="M111" i="15"/>
  <c r="W110" i="15"/>
  <c r="M110" i="15"/>
  <c r="W109" i="15"/>
  <c r="M109" i="15"/>
  <c r="W108" i="15"/>
  <c r="M108" i="15"/>
  <c r="W107" i="15"/>
  <c r="M107" i="15"/>
  <c r="W106" i="15"/>
  <c r="M106" i="15"/>
  <c r="W105" i="15"/>
  <c r="M105" i="15"/>
  <c r="W104" i="15"/>
  <c r="M104" i="15"/>
  <c r="W103" i="15"/>
  <c r="M103" i="15"/>
  <c r="W102" i="15"/>
  <c r="M102" i="15"/>
  <c r="W101" i="15"/>
  <c r="M101" i="15"/>
  <c r="W100" i="15"/>
  <c r="M100" i="15"/>
  <c r="W99" i="15"/>
  <c r="M99" i="15"/>
  <c r="W98" i="15"/>
  <c r="M98" i="15"/>
  <c r="W97" i="15"/>
  <c r="M97" i="15"/>
  <c r="W96" i="15"/>
  <c r="M96" i="15"/>
  <c r="W95" i="15"/>
  <c r="M95" i="15"/>
  <c r="W94" i="15"/>
  <c r="M94" i="15"/>
  <c r="W93" i="15"/>
  <c r="M93" i="15"/>
  <c r="W92" i="15"/>
  <c r="M92" i="15"/>
  <c r="W91" i="15"/>
  <c r="M91" i="15"/>
  <c r="W90" i="15"/>
  <c r="M90" i="15"/>
  <c r="W89" i="15"/>
  <c r="M89" i="15"/>
  <c r="W88" i="15"/>
  <c r="M88" i="15"/>
  <c r="W87" i="15"/>
  <c r="M87" i="15"/>
  <c r="W86" i="15"/>
  <c r="M86" i="15"/>
  <c r="W85" i="15"/>
  <c r="M85" i="15"/>
  <c r="W84" i="15"/>
  <c r="M84" i="15"/>
  <c r="W83" i="15"/>
  <c r="M83" i="15"/>
  <c r="W82" i="15"/>
  <c r="M82" i="15"/>
  <c r="W81" i="15"/>
  <c r="M81" i="15"/>
  <c r="W80" i="15"/>
  <c r="M80" i="15"/>
  <c r="W79" i="15"/>
  <c r="M79" i="15"/>
  <c r="W78" i="15"/>
  <c r="M78" i="15"/>
  <c r="W77" i="15"/>
  <c r="M77" i="15"/>
  <c r="W76" i="15"/>
  <c r="M76" i="15"/>
  <c r="W75" i="15"/>
  <c r="M75" i="15"/>
  <c r="W74" i="15"/>
  <c r="M74" i="15"/>
  <c r="W73" i="15"/>
  <c r="M73" i="15"/>
  <c r="W72" i="15"/>
  <c r="M72" i="15"/>
  <c r="W71" i="15"/>
  <c r="M71" i="15"/>
  <c r="W70" i="15"/>
  <c r="M70" i="15"/>
  <c r="W69" i="15"/>
  <c r="M69" i="15"/>
  <c r="W68" i="15"/>
  <c r="M68" i="15"/>
  <c r="W67" i="15"/>
  <c r="M67" i="15"/>
  <c r="W66" i="15"/>
  <c r="M66" i="15"/>
  <c r="W65" i="15"/>
  <c r="M65" i="15"/>
  <c r="W64" i="15"/>
  <c r="M64" i="15"/>
  <c r="W63" i="15"/>
  <c r="M63" i="15"/>
  <c r="W62" i="15"/>
  <c r="M62" i="15"/>
  <c r="W61" i="15"/>
  <c r="M61" i="15"/>
  <c r="W60" i="15"/>
  <c r="M60" i="15"/>
  <c r="W59" i="15"/>
  <c r="M59" i="15"/>
  <c r="W58" i="15"/>
  <c r="M58" i="15"/>
  <c r="W57" i="15"/>
  <c r="M57" i="15"/>
  <c r="W56" i="15"/>
  <c r="M56" i="15"/>
  <c r="W55" i="15"/>
  <c r="M55" i="15"/>
  <c r="W54" i="15"/>
  <c r="M54" i="15"/>
  <c r="W53" i="15"/>
  <c r="M53" i="15"/>
  <c r="W52" i="15"/>
  <c r="M52" i="15"/>
  <c r="W51" i="15"/>
  <c r="M51" i="15"/>
  <c r="W50" i="15"/>
  <c r="M50" i="15"/>
  <c r="W49" i="15"/>
  <c r="M49" i="15"/>
  <c r="W48" i="15"/>
  <c r="M48" i="15"/>
  <c r="W47" i="15"/>
  <c r="M47" i="15"/>
  <c r="W46" i="15"/>
  <c r="M46" i="15"/>
  <c r="W45" i="15"/>
  <c r="M45" i="15"/>
  <c r="W44" i="15"/>
  <c r="M44" i="15"/>
  <c r="W43" i="15"/>
  <c r="M43" i="15"/>
  <c r="W42" i="15"/>
  <c r="M42" i="15"/>
  <c r="W41" i="15"/>
  <c r="M41" i="15"/>
  <c r="W40" i="15"/>
  <c r="M40" i="15"/>
  <c r="W39" i="15"/>
  <c r="M39" i="15"/>
  <c r="W38" i="15"/>
  <c r="M38" i="15"/>
  <c r="W37" i="15"/>
  <c r="M37" i="15"/>
  <c r="W36" i="15"/>
  <c r="M36" i="15"/>
  <c r="W35" i="15"/>
  <c r="M35" i="15"/>
  <c r="W34" i="15"/>
  <c r="M34" i="15"/>
  <c r="W33" i="15"/>
  <c r="M33" i="15"/>
  <c r="W32" i="15"/>
  <c r="M32" i="15"/>
  <c r="W31" i="15"/>
  <c r="M31" i="15"/>
  <c r="W30" i="15"/>
  <c r="M30" i="15"/>
  <c r="W29" i="15"/>
  <c r="M29" i="15"/>
  <c r="W28" i="15"/>
  <c r="M28" i="15"/>
  <c r="W27" i="15"/>
  <c r="M27" i="15"/>
  <c r="W26" i="15"/>
  <c r="M26" i="15"/>
  <c r="W25" i="15"/>
  <c r="M25" i="15"/>
  <c r="W24" i="15"/>
  <c r="M24" i="15"/>
  <c r="W23" i="15"/>
  <c r="M23" i="15"/>
  <c r="W22" i="15"/>
  <c r="M22" i="15"/>
  <c r="W21" i="15"/>
  <c r="M21" i="15"/>
  <c r="W20" i="15"/>
  <c r="M20" i="15"/>
  <c r="W19" i="15"/>
  <c r="M19" i="15"/>
  <c r="W18" i="15"/>
  <c r="M18" i="15"/>
  <c r="W17" i="15"/>
  <c r="M17" i="15"/>
  <c r="W16" i="15"/>
  <c r="M16" i="15"/>
  <c r="W15" i="15"/>
  <c r="M15" i="15"/>
  <c r="W14" i="15"/>
  <c r="M14" i="15"/>
  <c r="W13" i="15"/>
  <c r="M13" i="15"/>
  <c r="M12" i="15"/>
  <c r="I10" i="15"/>
  <c r="H10" i="15"/>
  <c r="G10" i="15"/>
  <c r="F10" i="15"/>
  <c r="E10" i="15"/>
  <c r="D10" i="15"/>
  <c r="C10" i="15"/>
  <c r="B10" i="15"/>
  <c r="W145" i="14"/>
  <c r="M145" i="14"/>
  <c r="W144" i="14"/>
  <c r="M144" i="14"/>
  <c r="W143" i="14"/>
  <c r="M143" i="14"/>
  <c r="W142" i="14"/>
  <c r="M142" i="14"/>
  <c r="W141" i="14"/>
  <c r="M141" i="14"/>
  <c r="W140" i="14"/>
  <c r="M140" i="14"/>
  <c r="W139" i="14"/>
  <c r="M139" i="14"/>
  <c r="W138" i="14"/>
  <c r="M138" i="14"/>
  <c r="W137" i="14"/>
  <c r="M137" i="14"/>
  <c r="W136" i="14"/>
  <c r="M136" i="14"/>
  <c r="W135" i="14"/>
  <c r="M135" i="14"/>
  <c r="W134" i="14"/>
  <c r="M134" i="14"/>
  <c r="W133" i="14"/>
  <c r="M133" i="14"/>
  <c r="W132" i="14"/>
  <c r="M132" i="14"/>
  <c r="W131" i="14"/>
  <c r="M131" i="14"/>
  <c r="W130" i="14"/>
  <c r="M130" i="14"/>
  <c r="W129" i="14"/>
  <c r="M129" i="14"/>
  <c r="W128" i="14"/>
  <c r="M128" i="14"/>
  <c r="W127" i="14"/>
  <c r="M127" i="14"/>
  <c r="W126" i="14"/>
  <c r="M126" i="14"/>
  <c r="W125" i="14"/>
  <c r="M125" i="14"/>
  <c r="W124" i="14"/>
  <c r="M124" i="14"/>
  <c r="W123" i="14"/>
  <c r="M123" i="14"/>
  <c r="W122" i="14"/>
  <c r="M122" i="14"/>
  <c r="W121" i="14"/>
  <c r="M121" i="14"/>
  <c r="W120" i="14"/>
  <c r="M120" i="14"/>
  <c r="W119" i="14"/>
  <c r="M119" i="14"/>
  <c r="W118" i="14"/>
  <c r="M118" i="14"/>
  <c r="W117" i="14"/>
  <c r="M117" i="14"/>
  <c r="W116" i="14"/>
  <c r="M116" i="14"/>
  <c r="W115" i="14"/>
  <c r="M115" i="14"/>
  <c r="W114" i="14"/>
  <c r="M114" i="14"/>
  <c r="W113" i="14"/>
  <c r="M113" i="14"/>
  <c r="W112" i="14"/>
  <c r="M112" i="14"/>
  <c r="W111" i="14"/>
  <c r="M111" i="14"/>
  <c r="W110" i="14"/>
  <c r="M110" i="14"/>
  <c r="W109" i="14"/>
  <c r="M109" i="14"/>
  <c r="W108" i="14"/>
  <c r="M108" i="14"/>
  <c r="W107" i="14"/>
  <c r="M107" i="14"/>
  <c r="W106" i="14"/>
  <c r="M106" i="14"/>
  <c r="W105" i="14"/>
  <c r="M105" i="14"/>
  <c r="W104" i="14"/>
  <c r="M104" i="14"/>
  <c r="W103" i="14"/>
  <c r="M103" i="14"/>
  <c r="W102" i="14"/>
  <c r="M102" i="14"/>
  <c r="W101" i="14"/>
  <c r="M101" i="14"/>
  <c r="W100" i="14"/>
  <c r="M100" i="14"/>
  <c r="W99" i="14"/>
  <c r="M99" i="14"/>
  <c r="W98" i="14"/>
  <c r="M98" i="14"/>
  <c r="W97" i="14"/>
  <c r="M97" i="14"/>
  <c r="W96" i="14"/>
  <c r="M96" i="14"/>
  <c r="W95" i="14"/>
  <c r="M95" i="14"/>
  <c r="W94" i="14"/>
  <c r="M94" i="14"/>
  <c r="W93" i="14"/>
  <c r="M93" i="14"/>
  <c r="W92" i="14"/>
  <c r="M92" i="14"/>
  <c r="W91" i="14"/>
  <c r="M91" i="14"/>
  <c r="W90" i="14"/>
  <c r="M90" i="14"/>
  <c r="W89" i="14"/>
  <c r="M89" i="14"/>
  <c r="W88" i="14"/>
  <c r="M88" i="14"/>
  <c r="W87" i="14"/>
  <c r="M87" i="14"/>
  <c r="W86" i="14"/>
  <c r="M86" i="14"/>
  <c r="W85" i="14"/>
  <c r="M85" i="14"/>
  <c r="W84" i="14"/>
  <c r="M84" i="14"/>
  <c r="W83" i="14"/>
  <c r="M83" i="14"/>
  <c r="W82" i="14"/>
  <c r="M82" i="14"/>
  <c r="W81" i="14"/>
  <c r="M81" i="14"/>
  <c r="W80" i="14"/>
  <c r="M80" i="14"/>
  <c r="W79" i="14"/>
  <c r="M79" i="14"/>
  <c r="W78" i="14"/>
  <c r="M78" i="14"/>
  <c r="W77" i="14"/>
  <c r="M77" i="14"/>
  <c r="W76" i="14"/>
  <c r="M76" i="14"/>
  <c r="W75" i="14"/>
  <c r="M75" i="14"/>
  <c r="W74" i="14"/>
  <c r="M74" i="14"/>
  <c r="W73" i="14"/>
  <c r="M73" i="14"/>
  <c r="W72" i="14"/>
  <c r="M72" i="14"/>
  <c r="W71" i="14"/>
  <c r="M71" i="14"/>
  <c r="W70" i="14"/>
  <c r="M70" i="14"/>
  <c r="W69" i="14"/>
  <c r="M69" i="14"/>
  <c r="W68" i="14"/>
  <c r="M68" i="14"/>
  <c r="W67" i="14"/>
  <c r="M67" i="14"/>
  <c r="W66" i="14"/>
  <c r="M66" i="14"/>
  <c r="W65" i="14"/>
  <c r="M65" i="14"/>
  <c r="W64" i="14"/>
  <c r="M64" i="14"/>
  <c r="W63" i="14"/>
  <c r="M63" i="14"/>
  <c r="W62" i="14"/>
  <c r="M62" i="14"/>
  <c r="W61" i="14"/>
  <c r="M61" i="14"/>
  <c r="W60" i="14"/>
  <c r="M60" i="14"/>
  <c r="W59" i="14"/>
  <c r="M59" i="14"/>
  <c r="W58" i="14"/>
  <c r="M58" i="14"/>
  <c r="W57" i="14"/>
  <c r="M57" i="14"/>
  <c r="W56" i="14"/>
  <c r="M56" i="14"/>
  <c r="W55" i="14"/>
  <c r="M55" i="14"/>
  <c r="W54" i="14"/>
  <c r="M54" i="14"/>
  <c r="W53" i="14"/>
  <c r="M53" i="14"/>
  <c r="W52" i="14"/>
  <c r="M52" i="14"/>
  <c r="W51" i="14"/>
  <c r="M51" i="14"/>
  <c r="W50" i="14"/>
  <c r="M50" i="14"/>
  <c r="W49" i="14"/>
  <c r="M49" i="14"/>
  <c r="W48" i="14"/>
  <c r="M48" i="14"/>
  <c r="W47" i="14"/>
  <c r="M47" i="14"/>
  <c r="W46" i="14"/>
  <c r="M46" i="14"/>
  <c r="W45" i="14"/>
  <c r="M45" i="14"/>
  <c r="W44" i="14"/>
  <c r="M44" i="14"/>
  <c r="W43" i="14"/>
  <c r="M43" i="14"/>
  <c r="W42" i="14"/>
  <c r="M42" i="14"/>
  <c r="W41" i="14"/>
  <c r="M41" i="14"/>
  <c r="W40" i="14"/>
  <c r="M40" i="14"/>
  <c r="W39" i="14"/>
  <c r="M39" i="14"/>
  <c r="W38" i="14"/>
  <c r="M38" i="14"/>
  <c r="W37" i="14"/>
  <c r="M37" i="14"/>
  <c r="W36" i="14"/>
  <c r="M36" i="14"/>
  <c r="W35" i="14"/>
  <c r="M35" i="14"/>
  <c r="W34" i="14"/>
  <c r="M34" i="14"/>
  <c r="W33" i="14"/>
  <c r="M33" i="14"/>
  <c r="W32" i="14"/>
  <c r="M32" i="14"/>
  <c r="W31" i="14"/>
  <c r="M31" i="14"/>
  <c r="W30" i="14"/>
  <c r="M30" i="14"/>
  <c r="W29" i="14"/>
  <c r="M29" i="14"/>
  <c r="W28" i="14"/>
  <c r="M28" i="14"/>
  <c r="W27" i="14"/>
  <c r="M27" i="14"/>
  <c r="W26" i="14"/>
  <c r="M26" i="14"/>
  <c r="W25" i="14"/>
  <c r="M25" i="14"/>
  <c r="W24" i="14"/>
  <c r="M24" i="14"/>
  <c r="W23" i="14"/>
  <c r="M23" i="14"/>
  <c r="W22" i="14"/>
  <c r="M22" i="14"/>
  <c r="W21" i="14"/>
  <c r="M21" i="14"/>
  <c r="W20" i="14"/>
  <c r="M20" i="14"/>
  <c r="W19" i="14"/>
  <c r="M19" i="14"/>
  <c r="W18" i="14"/>
  <c r="M18" i="14"/>
  <c r="W17" i="14"/>
  <c r="M17" i="14"/>
  <c r="W16" i="14"/>
  <c r="M16" i="14"/>
  <c r="W15" i="14"/>
  <c r="M15" i="14"/>
  <c r="W14" i="14"/>
  <c r="M14" i="14"/>
  <c r="W13" i="14"/>
  <c r="M13" i="14"/>
  <c r="M12" i="14"/>
  <c r="I10" i="14"/>
  <c r="H10" i="14"/>
  <c r="G10" i="14"/>
  <c r="F10" i="14"/>
  <c r="E10" i="14"/>
  <c r="D10" i="14"/>
  <c r="C10" i="14"/>
  <c r="B10" i="14"/>
  <c r="W145" i="13"/>
  <c r="M145" i="13"/>
  <c r="W144" i="13"/>
  <c r="M144" i="13"/>
  <c r="W143" i="13"/>
  <c r="M143" i="13"/>
  <c r="W142" i="13"/>
  <c r="M142" i="13"/>
  <c r="W141" i="13"/>
  <c r="M141" i="13"/>
  <c r="W140" i="13"/>
  <c r="M140" i="13"/>
  <c r="W139" i="13"/>
  <c r="M139" i="13"/>
  <c r="W138" i="13"/>
  <c r="M138" i="13"/>
  <c r="W137" i="13"/>
  <c r="M137" i="13"/>
  <c r="W136" i="13"/>
  <c r="M136" i="13"/>
  <c r="W135" i="13"/>
  <c r="M135" i="13"/>
  <c r="W134" i="13"/>
  <c r="M134" i="13"/>
  <c r="W133" i="13"/>
  <c r="M133" i="13"/>
  <c r="W132" i="13"/>
  <c r="M132" i="13"/>
  <c r="W131" i="13"/>
  <c r="M131" i="13"/>
  <c r="W130" i="13"/>
  <c r="M130" i="13"/>
  <c r="W129" i="13"/>
  <c r="M129" i="13"/>
  <c r="W128" i="13"/>
  <c r="M128" i="13"/>
  <c r="W127" i="13"/>
  <c r="M127" i="13"/>
  <c r="W126" i="13"/>
  <c r="M126" i="13"/>
  <c r="W125" i="13"/>
  <c r="M125" i="13"/>
  <c r="W124" i="13"/>
  <c r="M124" i="13"/>
  <c r="W123" i="13"/>
  <c r="M123" i="13"/>
  <c r="W122" i="13"/>
  <c r="M122" i="13"/>
  <c r="W121" i="13"/>
  <c r="M121" i="13"/>
  <c r="W120" i="13"/>
  <c r="M120" i="13"/>
  <c r="W119" i="13"/>
  <c r="M119" i="13"/>
  <c r="W118" i="13"/>
  <c r="M118" i="13"/>
  <c r="W117" i="13"/>
  <c r="M117" i="13"/>
  <c r="W116" i="13"/>
  <c r="M116" i="13"/>
  <c r="W115" i="13"/>
  <c r="M115" i="13"/>
  <c r="W114" i="13"/>
  <c r="M114" i="13"/>
  <c r="W113" i="13"/>
  <c r="M113" i="13"/>
  <c r="W112" i="13"/>
  <c r="M112" i="13"/>
  <c r="W111" i="13"/>
  <c r="M111" i="13"/>
  <c r="W110" i="13"/>
  <c r="M110" i="13"/>
  <c r="W109" i="13"/>
  <c r="M109" i="13"/>
  <c r="W108" i="13"/>
  <c r="M108" i="13"/>
  <c r="W107" i="13"/>
  <c r="M107" i="13"/>
  <c r="W106" i="13"/>
  <c r="M106" i="13"/>
  <c r="W105" i="13"/>
  <c r="M105" i="13"/>
  <c r="W104" i="13"/>
  <c r="M104" i="13"/>
  <c r="W103" i="13"/>
  <c r="M103" i="13"/>
  <c r="W102" i="13"/>
  <c r="M102" i="13"/>
  <c r="W101" i="13"/>
  <c r="M101" i="13"/>
  <c r="W100" i="13"/>
  <c r="M100" i="13"/>
  <c r="W99" i="13"/>
  <c r="M99" i="13"/>
  <c r="W98" i="13"/>
  <c r="M98" i="13"/>
  <c r="W97" i="13"/>
  <c r="M97" i="13"/>
  <c r="W96" i="13"/>
  <c r="M96" i="13"/>
  <c r="W95" i="13"/>
  <c r="M95" i="13"/>
  <c r="W94" i="13"/>
  <c r="M94" i="13"/>
  <c r="W93" i="13"/>
  <c r="M93" i="13"/>
  <c r="W92" i="13"/>
  <c r="M92" i="13"/>
  <c r="W91" i="13"/>
  <c r="M91" i="13"/>
  <c r="W90" i="13"/>
  <c r="M90" i="13"/>
  <c r="W89" i="13"/>
  <c r="M89" i="13"/>
  <c r="W88" i="13"/>
  <c r="M88" i="13"/>
  <c r="W87" i="13"/>
  <c r="M87" i="13"/>
  <c r="W86" i="13"/>
  <c r="M86" i="13"/>
  <c r="W85" i="13"/>
  <c r="M85" i="13"/>
  <c r="W84" i="13"/>
  <c r="M84" i="13"/>
  <c r="W83" i="13"/>
  <c r="M83" i="13"/>
  <c r="W82" i="13"/>
  <c r="M82" i="13"/>
  <c r="W81" i="13"/>
  <c r="M81" i="13"/>
  <c r="W80" i="13"/>
  <c r="M80" i="13"/>
  <c r="W79" i="13"/>
  <c r="M79" i="13"/>
  <c r="W78" i="13"/>
  <c r="M78" i="13"/>
  <c r="W77" i="13"/>
  <c r="M77" i="13"/>
  <c r="W76" i="13"/>
  <c r="M76" i="13"/>
  <c r="W75" i="13"/>
  <c r="M75" i="13"/>
  <c r="W74" i="13"/>
  <c r="M74" i="13"/>
  <c r="W73" i="13"/>
  <c r="M73" i="13"/>
  <c r="W72" i="13"/>
  <c r="M72" i="13"/>
  <c r="W71" i="13"/>
  <c r="M71" i="13"/>
  <c r="W70" i="13"/>
  <c r="M70" i="13"/>
  <c r="W69" i="13"/>
  <c r="M69" i="13"/>
  <c r="W68" i="13"/>
  <c r="M68" i="13"/>
  <c r="W67" i="13"/>
  <c r="M67" i="13"/>
  <c r="W66" i="13"/>
  <c r="M66" i="13"/>
  <c r="W65" i="13"/>
  <c r="M65" i="13"/>
  <c r="W64" i="13"/>
  <c r="M64" i="13"/>
  <c r="W63" i="13"/>
  <c r="M63" i="13"/>
  <c r="W62" i="13"/>
  <c r="M62" i="13"/>
  <c r="W61" i="13"/>
  <c r="M61" i="13"/>
  <c r="W60" i="13"/>
  <c r="M60" i="13"/>
  <c r="W59" i="13"/>
  <c r="M59" i="13"/>
  <c r="W58" i="13"/>
  <c r="M58" i="13"/>
  <c r="W57" i="13"/>
  <c r="M57" i="13"/>
  <c r="W56" i="13"/>
  <c r="M56" i="13"/>
  <c r="W55" i="13"/>
  <c r="M55" i="13"/>
  <c r="W54" i="13"/>
  <c r="M54" i="13"/>
  <c r="W53" i="13"/>
  <c r="M53" i="13"/>
  <c r="W52" i="13"/>
  <c r="M52" i="13"/>
  <c r="W51" i="13"/>
  <c r="M51" i="13"/>
  <c r="W50" i="13"/>
  <c r="M50" i="13"/>
  <c r="W49" i="13"/>
  <c r="M49" i="13"/>
  <c r="W48" i="13"/>
  <c r="M48" i="13"/>
  <c r="W47" i="13"/>
  <c r="M47" i="13"/>
  <c r="W46" i="13"/>
  <c r="M46" i="13"/>
  <c r="W45" i="13"/>
  <c r="M45" i="13"/>
  <c r="W44" i="13"/>
  <c r="M44" i="13"/>
  <c r="W43" i="13"/>
  <c r="M43" i="13"/>
  <c r="W42" i="13"/>
  <c r="M42" i="13"/>
  <c r="W41" i="13"/>
  <c r="M41" i="13"/>
  <c r="W40" i="13"/>
  <c r="M40" i="13"/>
  <c r="W39" i="13"/>
  <c r="M39" i="13"/>
  <c r="W38" i="13"/>
  <c r="M38" i="13"/>
  <c r="W37" i="13"/>
  <c r="M37" i="13"/>
  <c r="W36" i="13"/>
  <c r="M36" i="13"/>
  <c r="W35" i="13"/>
  <c r="M35" i="13"/>
  <c r="W34" i="13"/>
  <c r="M34" i="13"/>
  <c r="W33" i="13"/>
  <c r="M33" i="13"/>
  <c r="W32" i="13"/>
  <c r="M32" i="13"/>
  <c r="W31" i="13"/>
  <c r="M31" i="13"/>
  <c r="W30" i="13"/>
  <c r="M30" i="13"/>
  <c r="W29" i="13"/>
  <c r="M29" i="13"/>
  <c r="W28" i="13"/>
  <c r="M28" i="13"/>
  <c r="W27" i="13"/>
  <c r="M27" i="13"/>
  <c r="W26" i="13"/>
  <c r="M26" i="13"/>
  <c r="W25" i="13"/>
  <c r="M25" i="13"/>
  <c r="W24" i="13"/>
  <c r="M24" i="13"/>
  <c r="W23" i="13"/>
  <c r="M23" i="13"/>
  <c r="W22" i="13"/>
  <c r="M22" i="13"/>
  <c r="W21" i="13"/>
  <c r="M21" i="13"/>
  <c r="W20" i="13"/>
  <c r="M20" i="13"/>
  <c r="W19" i="13"/>
  <c r="M19" i="13"/>
  <c r="W18" i="13"/>
  <c r="M18" i="13"/>
  <c r="W17" i="13"/>
  <c r="M17" i="13"/>
  <c r="W16" i="13"/>
  <c r="M16" i="13"/>
  <c r="W15" i="13"/>
  <c r="M15" i="13"/>
  <c r="W14" i="13"/>
  <c r="M14" i="13"/>
  <c r="W13" i="13"/>
  <c r="M13" i="13"/>
  <c r="M12" i="13"/>
  <c r="I10" i="13"/>
  <c r="H10" i="13"/>
  <c r="G10" i="13"/>
  <c r="F10" i="13"/>
  <c r="E10" i="13"/>
  <c r="D10" i="13"/>
  <c r="C10" i="13"/>
  <c r="B10" i="13"/>
  <c r="W145" i="12"/>
  <c r="M145" i="12"/>
  <c r="W144" i="12"/>
  <c r="M144" i="12"/>
  <c r="W143" i="12"/>
  <c r="M143" i="12"/>
  <c r="W142" i="12"/>
  <c r="M142" i="12"/>
  <c r="W141" i="12"/>
  <c r="M141" i="12"/>
  <c r="W140" i="12"/>
  <c r="M140" i="12"/>
  <c r="W139" i="12"/>
  <c r="M139" i="12"/>
  <c r="W138" i="12"/>
  <c r="M138" i="12"/>
  <c r="W137" i="12"/>
  <c r="M137" i="12"/>
  <c r="W136" i="12"/>
  <c r="M136" i="12"/>
  <c r="W135" i="12"/>
  <c r="M135" i="12"/>
  <c r="W134" i="12"/>
  <c r="M134" i="12"/>
  <c r="W133" i="12"/>
  <c r="M133" i="12"/>
  <c r="W132" i="12"/>
  <c r="M132" i="12"/>
  <c r="W131" i="12"/>
  <c r="M131" i="12"/>
  <c r="W130" i="12"/>
  <c r="M130" i="12"/>
  <c r="W129" i="12"/>
  <c r="M129" i="12"/>
  <c r="W128" i="12"/>
  <c r="M128" i="12"/>
  <c r="W127" i="12"/>
  <c r="M127" i="12"/>
  <c r="W126" i="12"/>
  <c r="M126" i="12"/>
  <c r="W125" i="12"/>
  <c r="M125" i="12"/>
  <c r="W124" i="12"/>
  <c r="M124" i="12"/>
  <c r="W123" i="12"/>
  <c r="M123" i="12"/>
  <c r="W122" i="12"/>
  <c r="M122" i="12"/>
  <c r="W121" i="12"/>
  <c r="M121" i="12"/>
  <c r="W120" i="12"/>
  <c r="M120" i="12"/>
  <c r="W119" i="12"/>
  <c r="M119" i="12"/>
  <c r="W118" i="12"/>
  <c r="M118" i="12"/>
  <c r="W117" i="12"/>
  <c r="M117" i="12"/>
  <c r="W116" i="12"/>
  <c r="M116" i="12"/>
  <c r="W115" i="12"/>
  <c r="M115" i="12"/>
  <c r="W114" i="12"/>
  <c r="M114" i="12"/>
  <c r="W113" i="12"/>
  <c r="M113" i="12"/>
  <c r="W112" i="12"/>
  <c r="M112" i="12"/>
  <c r="W111" i="12"/>
  <c r="M111" i="12"/>
  <c r="W110" i="12"/>
  <c r="M110" i="12"/>
  <c r="W109" i="12"/>
  <c r="M109" i="12"/>
  <c r="W108" i="12"/>
  <c r="M108" i="12"/>
  <c r="W107" i="12"/>
  <c r="M107" i="12"/>
  <c r="W106" i="12"/>
  <c r="M106" i="12"/>
  <c r="W105" i="12"/>
  <c r="M105" i="12"/>
  <c r="W104" i="12"/>
  <c r="M104" i="12"/>
  <c r="W103" i="12"/>
  <c r="M103" i="12"/>
  <c r="W102" i="12"/>
  <c r="M102" i="12"/>
  <c r="W101" i="12"/>
  <c r="M101" i="12"/>
  <c r="W100" i="12"/>
  <c r="M100" i="12"/>
  <c r="W99" i="12"/>
  <c r="M99" i="12"/>
  <c r="W98" i="12"/>
  <c r="M98" i="12"/>
  <c r="W97" i="12"/>
  <c r="M97" i="12"/>
  <c r="W96" i="12"/>
  <c r="M96" i="12"/>
  <c r="W95" i="12"/>
  <c r="M95" i="12"/>
  <c r="W94" i="12"/>
  <c r="M94" i="12"/>
  <c r="W93" i="12"/>
  <c r="M93" i="12"/>
  <c r="W92" i="12"/>
  <c r="M92" i="12"/>
  <c r="W91" i="12"/>
  <c r="M91" i="12"/>
  <c r="W90" i="12"/>
  <c r="M90" i="12"/>
  <c r="W89" i="12"/>
  <c r="M89" i="12"/>
  <c r="W88" i="12"/>
  <c r="M88" i="12"/>
  <c r="W87" i="12"/>
  <c r="M87" i="12"/>
  <c r="W86" i="12"/>
  <c r="M86" i="12"/>
  <c r="W85" i="12"/>
  <c r="M85" i="12"/>
  <c r="W84" i="12"/>
  <c r="M84" i="12"/>
  <c r="W83" i="12"/>
  <c r="M83" i="12"/>
  <c r="W82" i="12"/>
  <c r="M82" i="12"/>
  <c r="W81" i="12"/>
  <c r="M81" i="12"/>
  <c r="W80" i="12"/>
  <c r="M80" i="12"/>
  <c r="W79" i="12"/>
  <c r="M79" i="12"/>
  <c r="W78" i="12"/>
  <c r="M78" i="12"/>
  <c r="W77" i="12"/>
  <c r="M77" i="12"/>
  <c r="W76" i="12"/>
  <c r="M76" i="12"/>
  <c r="W75" i="12"/>
  <c r="M75" i="12"/>
  <c r="W74" i="12"/>
  <c r="M74" i="12"/>
  <c r="W73" i="12"/>
  <c r="M73" i="12"/>
  <c r="W72" i="12"/>
  <c r="M72" i="12"/>
  <c r="W71" i="12"/>
  <c r="M71" i="12"/>
  <c r="W70" i="12"/>
  <c r="M70" i="12"/>
  <c r="W69" i="12"/>
  <c r="M69" i="12"/>
  <c r="W68" i="12"/>
  <c r="M68" i="12"/>
  <c r="W67" i="12"/>
  <c r="M67" i="12"/>
  <c r="W66" i="12"/>
  <c r="M66" i="12"/>
  <c r="W65" i="12"/>
  <c r="M65" i="12"/>
  <c r="W64" i="12"/>
  <c r="M64" i="12"/>
  <c r="W63" i="12"/>
  <c r="M63" i="12"/>
  <c r="W62" i="12"/>
  <c r="M62" i="12"/>
  <c r="W61" i="12"/>
  <c r="M61" i="12"/>
  <c r="W60" i="12"/>
  <c r="M60" i="12"/>
  <c r="W59" i="12"/>
  <c r="M59" i="12"/>
  <c r="W58" i="12"/>
  <c r="M58" i="12"/>
  <c r="W57" i="12"/>
  <c r="M57" i="12"/>
  <c r="W56" i="12"/>
  <c r="M56" i="12"/>
  <c r="W55" i="12"/>
  <c r="M55" i="12"/>
  <c r="W54" i="12"/>
  <c r="M54" i="12"/>
  <c r="W53" i="12"/>
  <c r="M53" i="12"/>
  <c r="W52" i="12"/>
  <c r="M52" i="12"/>
  <c r="W51" i="12"/>
  <c r="M51" i="12"/>
  <c r="W50" i="12"/>
  <c r="M50" i="12"/>
  <c r="W49" i="12"/>
  <c r="M49" i="12"/>
  <c r="W48" i="12"/>
  <c r="M48" i="12"/>
  <c r="W47" i="12"/>
  <c r="M47" i="12"/>
  <c r="W46" i="12"/>
  <c r="M46" i="12"/>
  <c r="W45" i="12"/>
  <c r="M45" i="12"/>
  <c r="W44" i="12"/>
  <c r="M44" i="12"/>
  <c r="W43" i="12"/>
  <c r="M43" i="12"/>
  <c r="W42" i="12"/>
  <c r="M42" i="12"/>
  <c r="W41" i="12"/>
  <c r="M41" i="12"/>
  <c r="W40" i="12"/>
  <c r="M40" i="12"/>
  <c r="W39" i="12"/>
  <c r="M39" i="12"/>
  <c r="W38" i="12"/>
  <c r="M38" i="12"/>
  <c r="W37" i="12"/>
  <c r="M37" i="12"/>
  <c r="W36" i="12"/>
  <c r="M36" i="12"/>
  <c r="W35" i="12"/>
  <c r="M35" i="12"/>
  <c r="W34" i="12"/>
  <c r="M34" i="12"/>
  <c r="W33" i="12"/>
  <c r="M33" i="12"/>
  <c r="W32" i="12"/>
  <c r="M32" i="12"/>
  <c r="W31" i="12"/>
  <c r="M31" i="12"/>
  <c r="W30" i="12"/>
  <c r="M30" i="12"/>
  <c r="W29" i="12"/>
  <c r="M29" i="12"/>
  <c r="W28" i="12"/>
  <c r="M28" i="12"/>
  <c r="W27" i="12"/>
  <c r="M27" i="12"/>
  <c r="W26" i="12"/>
  <c r="M26" i="12"/>
  <c r="W25" i="12"/>
  <c r="M25" i="12"/>
  <c r="W24" i="12"/>
  <c r="M24" i="12"/>
  <c r="W23" i="12"/>
  <c r="M23" i="12"/>
  <c r="W22" i="12"/>
  <c r="M22" i="12"/>
  <c r="W21" i="12"/>
  <c r="M21" i="12"/>
  <c r="W20" i="12"/>
  <c r="M20" i="12"/>
  <c r="W19" i="12"/>
  <c r="M19" i="12"/>
  <c r="W18" i="12"/>
  <c r="M18" i="12"/>
  <c r="W17" i="12"/>
  <c r="M17" i="12"/>
  <c r="W16" i="12"/>
  <c r="M16" i="12"/>
  <c r="W15" i="12"/>
  <c r="M15" i="12"/>
  <c r="W14" i="12"/>
  <c r="M14" i="12"/>
  <c r="W13" i="12"/>
  <c r="M13" i="12"/>
  <c r="M12" i="12"/>
  <c r="I10" i="12"/>
  <c r="H10" i="12"/>
  <c r="G10" i="12"/>
  <c r="F10" i="12"/>
  <c r="E10" i="12"/>
  <c r="D10" i="12"/>
  <c r="C10" i="12"/>
  <c r="B10" i="12"/>
  <c r="W145" i="11"/>
  <c r="M145" i="11"/>
  <c r="W144" i="11"/>
  <c r="M144" i="11"/>
  <c r="W143" i="11"/>
  <c r="M143" i="11"/>
  <c r="W142" i="11"/>
  <c r="M142" i="11"/>
  <c r="W141" i="11"/>
  <c r="M141" i="11"/>
  <c r="W140" i="11"/>
  <c r="M140" i="11"/>
  <c r="W139" i="11"/>
  <c r="M139" i="11"/>
  <c r="W138" i="11"/>
  <c r="M138" i="11"/>
  <c r="W137" i="11"/>
  <c r="M137" i="11"/>
  <c r="W136" i="11"/>
  <c r="M136" i="11"/>
  <c r="W135" i="11"/>
  <c r="M135" i="11"/>
  <c r="W134" i="11"/>
  <c r="M134" i="11"/>
  <c r="W133" i="11"/>
  <c r="M133" i="11"/>
  <c r="W132" i="11"/>
  <c r="M132" i="11"/>
  <c r="W131" i="11"/>
  <c r="M131" i="11"/>
  <c r="W130" i="11"/>
  <c r="M130" i="11"/>
  <c r="W129" i="11"/>
  <c r="M129" i="11"/>
  <c r="W128" i="11"/>
  <c r="M128" i="11"/>
  <c r="W127" i="11"/>
  <c r="M127" i="11"/>
  <c r="W126" i="11"/>
  <c r="M126" i="11"/>
  <c r="W125" i="11"/>
  <c r="M125" i="11"/>
  <c r="W124" i="11"/>
  <c r="M124" i="11"/>
  <c r="W123" i="11"/>
  <c r="M123" i="11"/>
  <c r="W122" i="11"/>
  <c r="M122" i="11"/>
  <c r="W121" i="11"/>
  <c r="M121" i="11"/>
  <c r="W120" i="11"/>
  <c r="M120" i="11"/>
  <c r="W119" i="11"/>
  <c r="M119" i="11"/>
  <c r="W118" i="11"/>
  <c r="M118" i="11"/>
  <c r="W117" i="11"/>
  <c r="M117" i="11"/>
  <c r="W116" i="11"/>
  <c r="M116" i="11"/>
  <c r="W115" i="11"/>
  <c r="M115" i="11"/>
  <c r="W114" i="11"/>
  <c r="M114" i="11"/>
  <c r="W113" i="11"/>
  <c r="M113" i="11"/>
  <c r="W112" i="11"/>
  <c r="M112" i="11"/>
  <c r="W111" i="11"/>
  <c r="M111" i="11"/>
  <c r="W110" i="11"/>
  <c r="M110" i="11"/>
  <c r="W109" i="11"/>
  <c r="M109" i="11"/>
  <c r="W108" i="11"/>
  <c r="M108" i="11"/>
  <c r="W107" i="11"/>
  <c r="M107" i="11"/>
  <c r="W106" i="11"/>
  <c r="M106" i="11"/>
  <c r="W105" i="11"/>
  <c r="M105" i="11"/>
  <c r="W104" i="11"/>
  <c r="M104" i="11"/>
  <c r="W103" i="11"/>
  <c r="M103" i="11"/>
  <c r="W102" i="11"/>
  <c r="M102" i="11"/>
  <c r="W101" i="11"/>
  <c r="M101" i="11"/>
  <c r="W100" i="11"/>
  <c r="M100" i="11"/>
  <c r="W99" i="11"/>
  <c r="M99" i="11"/>
  <c r="W98" i="11"/>
  <c r="M98" i="11"/>
  <c r="W97" i="11"/>
  <c r="M97" i="11"/>
  <c r="W96" i="11"/>
  <c r="M96" i="11"/>
  <c r="W95" i="11"/>
  <c r="M95" i="11"/>
  <c r="W94" i="11"/>
  <c r="M94" i="11"/>
  <c r="W93" i="11"/>
  <c r="M93" i="11"/>
  <c r="W92" i="11"/>
  <c r="M92" i="11"/>
  <c r="W91" i="11"/>
  <c r="M91" i="11"/>
  <c r="W90" i="11"/>
  <c r="M90" i="11"/>
  <c r="W89" i="11"/>
  <c r="M89" i="11"/>
  <c r="W88" i="11"/>
  <c r="M88" i="11"/>
  <c r="W87" i="11"/>
  <c r="M87" i="11"/>
  <c r="W86" i="11"/>
  <c r="M86" i="11"/>
  <c r="W85" i="11"/>
  <c r="M85" i="11"/>
  <c r="W84" i="11"/>
  <c r="M84" i="11"/>
  <c r="W83" i="11"/>
  <c r="M83" i="11"/>
  <c r="W82" i="11"/>
  <c r="M82" i="11"/>
  <c r="W81" i="11"/>
  <c r="M81" i="11"/>
  <c r="W80" i="11"/>
  <c r="M80" i="11"/>
  <c r="W79" i="11"/>
  <c r="M79" i="11"/>
  <c r="W78" i="11"/>
  <c r="M78" i="11"/>
  <c r="W77" i="11"/>
  <c r="M77" i="11"/>
  <c r="W76" i="11"/>
  <c r="M76" i="11"/>
  <c r="W75" i="11"/>
  <c r="M75" i="11"/>
  <c r="W74" i="11"/>
  <c r="M74" i="11"/>
  <c r="W73" i="11"/>
  <c r="M73" i="11"/>
  <c r="W72" i="11"/>
  <c r="M72" i="11"/>
  <c r="W71" i="11"/>
  <c r="M71" i="11"/>
  <c r="W70" i="11"/>
  <c r="M70" i="11"/>
  <c r="W69" i="11"/>
  <c r="M69" i="11"/>
  <c r="W68" i="11"/>
  <c r="M68" i="11"/>
  <c r="W67" i="11"/>
  <c r="M67" i="11"/>
  <c r="W66" i="11"/>
  <c r="M66" i="11"/>
  <c r="W65" i="11"/>
  <c r="M65" i="11"/>
  <c r="W64" i="11"/>
  <c r="M64" i="11"/>
  <c r="W63" i="11"/>
  <c r="M63" i="11"/>
  <c r="W62" i="11"/>
  <c r="M62" i="11"/>
  <c r="W61" i="11"/>
  <c r="M61" i="11"/>
  <c r="W60" i="11"/>
  <c r="M60" i="11"/>
  <c r="W59" i="11"/>
  <c r="M59" i="11"/>
  <c r="W58" i="11"/>
  <c r="M58" i="11"/>
  <c r="W57" i="11"/>
  <c r="M57" i="11"/>
  <c r="W56" i="11"/>
  <c r="M56" i="11"/>
  <c r="W55" i="11"/>
  <c r="M55" i="11"/>
  <c r="W54" i="11"/>
  <c r="M54" i="11"/>
  <c r="W53" i="11"/>
  <c r="M53" i="11"/>
  <c r="W52" i="11"/>
  <c r="M52" i="11"/>
  <c r="W51" i="11"/>
  <c r="M51" i="11"/>
  <c r="W50" i="11"/>
  <c r="M50" i="11"/>
  <c r="W49" i="11"/>
  <c r="M49" i="11"/>
  <c r="W48" i="11"/>
  <c r="M48" i="11"/>
  <c r="W47" i="11"/>
  <c r="M47" i="11"/>
  <c r="W46" i="11"/>
  <c r="M46" i="11"/>
  <c r="W45" i="11"/>
  <c r="M45" i="11"/>
  <c r="W44" i="11"/>
  <c r="M44" i="11"/>
  <c r="W43" i="11"/>
  <c r="M43" i="11"/>
  <c r="W42" i="11"/>
  <c r="M42" i="11"/>
  <c r="W41" i="11"/>
  <c r="M41" i="11"/>
  <c r="W40" i="11"/>
  <c r="M40" i="11"/>
  <c r="W39" i="11"/>
  <c r="M39" i="11"/>
  <c r="W38" i="11"/>
  <c r="M38" i="11"/>
  <c r="W37" i="11"/>
  <c r="M37" i="11"/>
  <c r="W36" i="11"/>
  <c r="M36" i="11"/>
  <c r="W35" i="11"/>
  <c r="M35" i="11"/>
  <c r="W34" i="11"/>
  <c r="M34" i="11"/>
  <c r="W33" i="11"/>
  <c r="M33" i="11"/>
  <c r="W32" i="11"/>
  <c r="M32" i="11"/>
  <c r="W31" i="11"/>
  <c r="M31" i="11"/>
  <c r="W30" i="11"/>
  <c r="M30" i="11"/>
  <c r="W29" i="11"/>
  <c r="M29" i="11"/>
  <c r="W28" i="11"/>
  <c r="M28" i="11"/>
  <c r="W27" i="11"/>
  <c r="M27" i="11"/>
  <c r="W26" i="11"/>
  <c r="M26" i="11"/>
  <c r="W25" i="11"/>
  <c r="M25" i="11"/>
  <c r="W24" i="11"/>
  <c r="M24" i="11"/>
  <c r="W23" i="11"/>
  <c r="M23" i="11"/>
  <c r="W22" i="11"/>
  <c r="M22" i="11"/>
  <c r="W21" i="11"/>
  <c r="M21" i="11"/>
  <c r="W20" i="11"/>
  <c r="M20" i="11"/>
  <c r="W19" i="11"/>
  <c r="M19" i="11"/>
  <c r="W18" i="11"/>
  <c r="M18" i="11"/>
  <c r="W17" i="11"/>
  <c r="M17" i="11"/>
  <c r="W16" i="11"/>
  <c r="M16" i="11"/>
  <c r="W15" i="11"/>
  <c r="M15" i="11"/>
  <c r="W14" i="11"/>
  <c r="M14" i="11"/>
  <c r="W13" i="11"/>
  <c r="M13" i="11"/>
  <c r="M12" i="11"/>
  <c r="I10" i="11"/>
  <c r="H10" i="11"/>
  <c r="G10" i="11"/>
  <c r="F10" i="11"/>
  <c r="E10" i="11"/>
  <c r="D10" i="11"/>
  <c r="C10" i="11"/>
  <c r="B10" i="11"/>
  <c r="W145" i="10"/>
  <c r="M145" i="10"/>
  <c r="W144" i="10"/>
  <c r="M144" i="10"/>
  <c r="W143" i="10"/>
  <c r="M143" i="10"/>
  <c r="W142" i="10"/>
  <c r="M142" i="10"/>
  <c r="W141" i="10"/>
  <c r="M141" i="10"/>
  <c r="W140" i="10"/>
  <c r="M140" i="10"/>
  <c r="W139" i="10"/>
  <c r="M139" i="10"/>
  <c r="W138" i="10"/>
  <c r="M138" i="10"/>
  <c r="W137" i="10"/>
  <c r="M137" i="10"/>
  <c r="W136" i="10"/>
  <c r="M136" i="10"/>
  <c r="W135" i="10"/>
  <c r="M135" i="10"/>
  <c r="W134" i="10"/>
  <c r="M134" i="10"/>
  <c r="W133" i="10"/>
  <c r="M133" i="10"/>
  <c r="W132" i="10"/>
  <c r="M132" i="10"/>
  <c r="W131" i="10"/>
  <c r="M131" i="10"/>
  <c r="W130" i="10"/>
  <c r="M130" i="10"/>
  <c r="W129" i="10"/>
  <c r="M129" i="10"/>
  <c r="W128" i="10"/>
  <c r="M128" i="10"/>
  <c r="W127" i="10"/>
  <c r="M127" i="10"/>
  <c r="W126" i="10"/>
  <c r="M126" i="10"/>
  <c r="W125" i="10"/>
  <c r="M125" i="10"/>
  <c r="W124" i="10"/>
  <c r="M124" i="10"/>
  <c r="W123" i="10"/>
  <c r="M123" i="10"/>
  <c r="W122" i="10"/>
  <c r="M122" i="10"/>
  <c r="W121" i="10"/>
  <c r="M121" i="10"/>
  <c r="W120" i="10"/>
  <c r="M120" i="10"/>
  <c r="W119" i="10"/>
  <c r="M119" i="10"/>
  <c r="W118" i="10"/>
  <c r="M118" i="10"/>
  <c r="W117" i="10"/>
  <c r="M117" i="10"/>
  <c r="W116" i="10"/>
  <c r="M116" i="10"/>
  <c r="W115" i="10"/>
  <c r="M115" i="10"/>
  <c r="W114" i="10"/>
  <c r="M114" i="10"/>
  <c r="W113" i="10"/>
  <c r="M113" i="10"/>
  <c r="W112" i="10"/>
  <c r="M112" i="10"/>
  <c r="W111" i="10"/>
  <c r="M111" i="10"/>
  <c r="W110" i="10"/>
  <c r="M110" i="10"/>
  <c r="W109" i="10"/>
  <c r="M109" i="10"/>
  <c r="W108" i="10"/>
  <c r="M108" i="10"/>
  <c r="W107" i="10"/>
  <c r="M107" i="10"/>
  <c r="W106" i="10"/>
  <c r="M106" i="10"/>
  <c r="W105" i="10"/>
  <c r="M105" i="10"/>
  <c r="W104" i="10"/>
  <c r="M104" i="10"/>
  <c r="W103" i="10"/>
  <c r="M103" i="10"/>
  <c r="W102" i="10"/>
  <c r="M102" i="10"/>
  <c r="W101" i="10"/>
  <c r="M101" i="10"/>
  <c r="W100" i="10"/>
  <c r="M100" i="10"/>
  <c r="W99" i="10"/>
  <c r="M99" i="10"/>
  <c r="W98" i="10"/>
  <c r="M98" i="10"/>
  <c r="W97" i="10"/>
  <c r="M97" i="10"/>
  <c r="W96" i="10"/>
  <c r="M96" i="10"/>
  <c r="W95" i="10"/>
  <c r="M95" i="10"/>
  <c r="W94" i="10"/>
  <c r="M94" i="10"/>
  <c r="W93" i="10"/>
  <c r="M93" i="10"/>
  <c r="W92" i="10"/>
  <c r="M92" i="10"/>
  <c r="W91" i="10"/>
  <c r="M91" i="10"/>
  <c r="W90" i="10"/>
  <c r="M90" i="10"/>
  <c r="W89" i="10"/>
  <c r="M89" i="10"/>
  <c r="W88" i="10"/>
  <c r="M88" i="10"/>
  <c r="W87" i="10"/>
  <c r="M87" i="10"/>
  <c r="W86" i="10"/>
  <c r="M86" i="10"/>
  <c r="W85" i="10"/>
  <c r="M85" i="10"/>
  <c r="W84" i="10"/>
  <c r="M84" i="10"/>
  <c r="W83" i="10"/>
  <c r="M83" i="10"/>
  <c r="W82" i="10"/>
  <c r="M82" i="10"/>
  <c r="W81" i="10"/>
  <c r="M81" i="10"/>
  <c r="W80" i="10"/>
  <c r="M80" i="10"/>
  <c r="W79" i="10"/>
  <c r="M79" i="10"/>
  <c r="W78" i="10"/>
  <c r="M78" i="10"/>
  <c r="W77" i="10"/>
  <c r="M77" i="10"/>
  <c r="W76" i="10"/>
  <c r="M76" i="10"/>
  <c r="W75" i="10"/>
  <c r="M75" i="10"/>
  <c r="W74" i="10"/>
  <c r="M74" i="10"/>
  <c r="W73" i="10"/>
  <c r="M73" i="10"/>
  <c r="W72" i="10"/>
  <c r="M72" i="10"/>
  <c r="W71" i="10"/>
  <c r="M71" i="10"/>
  <c r="W70" i="10"/>
  <c r="M70" i="10"/>
  <c r="W69" i="10"/>
  <c r="M69" i="10"/>
  <c r="W68" i="10"/>
  <c r="M68" i="10"/>
  <c r="W67" i="10"/>
  <c r="M67" i="10"/>
  <c r="W66" i="10"/>
  <c r="M66" i="10"/>
  <c r="W65" i="10"/>
  <c r="M65" i="10"/>
  <c r="W64" i="10"/>
  <c r="M64" i="10"/>
  <c r="W63" i="10"/>
  <c r="M63" i="10"/>
  <c r="W62" i="10"/>
  <c r="M62" i="10"/>
  <c r="W61" i="10"/>
  <c r="M61" i="10"/>
  <c r="W60" i="10"/>
  <c r="M60" i="10"/>
  <c r="W59" i="10"/>
  <c r="M59" i="10"/>
  <c r="W58" i="10"/>
  <c r="M58" i="10"/>
  <c r="W57" i="10"/>
  <c r="M57" i="10"/>
  <c r="W56" i="10"/>
  <c r="M56" i="10"/>
  <c r="W55" i="10"/>
  <c r="M55" i="10"/>
  <c r="W54" i="10"/>
  <c r="M54" i="10"/>
  <c r="W53" i="10"/>
  <c r="M53" i="10"/>
  <c r="W52" i="10"/>
  <c r="M52" i="10"/>
  <c r="W51" i="10"/>
  <c r="M51" i="10"/>
  <c r="W50" i="10"/>
  <c r="M50" i="10"/>
  <c r="W49" i="10"/>
  <c r="M49" i="10"/>
  <c r="W48" i="10"/>
  <c r="M48" i="10"/>
  <c r="W47" i="10"/>
  <c r="M47" i="10"/>
  <c r="W46" i="10"/>
  <c r="M46" i="10"/>
  <c r="W45" i="10"/>
  <c r="M45" i="10"/>
  <c r="W44" i="10"/>
  <c r="M44" i="10"/>
  <c r="W43" i="10"/>
  <c r="M43" i="10"/>
  <c r="W42" i="10"/>
  <c r="M42" i="10"/>
  <c r="W41" i="10"/>
  <c r="M41" i="10"/>
  <c r="W40" i="10"/>
  <c r="M40" i="10"/>
  <c r="W39" i="10"/>
  <c r="M39" i="10"/>
  <c r="W38" i="10"/>
  <c r="M38" i="10"/>
  <c r="W37" i="10"/>
  <c r="M37" i="10"/>
  <c r="W36" i="10"/>
  <c r="M36" i="10"/>
  <c r="W35" i="10"/>
  <c r="M35" i="10"/>
  <c r="W34" i="10"/>
  <c r="M34" i="10"/>
  <c r="W33" i="10"/>
  <c r="M33" i="10"/>
  <c r="W32" i="10"/>
  <c r="M32" i="10"/>
  <c r="W31" i="10"/>
  <c r="M31" i="10"/>
  <c r="W30" i="10"/>
  <c r="M30" i="10"/>
  <c r="W29" i="10"/>
  <c r="M29" i="10"/>
  <c r="W28" i="10"/>
  <c r="M28" i="10"/>
  <c r="W27" i="10"/>
  <c r="M27" i="10"/>
  <c r="W26" i="10"/>
  <c r="M26" i="10"/>
  <c r="W25" i="10"/>
  <c r="M25" i="10"/>
  <c r="W24" i="10"/>
  <c r="M24" i="10"/>
  <c r="W23" i="10"/>
  <c r="M23" i="10"/>
  <c r="W22" i="10"/>
  <c r="M22" i="10"/>
  <c r="W21" i="10"/>
  <c r="M21" i="10"/>
  <c r="W20" i="10"/>
  <c r="M20" i="10"/>
  <c r="W19" i="10"/>
  <c r="M19" i="10"/>
  <c r="W18" i="10"/>
  <c r="M18" i="10"/>
  <c r="W17" i="10"/>
  <c r="M17" i="10"/>
  <c r="W16" i="10"/>
  <c r="M16" i="10"/>
  <c r="W15" i="10"/>
  <c r="M15" i="10"/>
  <c r="W14" i="10"/>
  <c r="M14" i="10"/>
  <c r="W13" i="10"/>
  <c r="M13" i="10"/>
  <c r="M12" i="10"/>
  <c r="H10" i="10"/>
  <c r="G10" i="10"/>
  <c r="F10" i="10"/>
  <c r="E10" i="10"/>
  <c r="D10" i="10"/>
  <c r="C10" i="10"/>
  <c r="B10" i="10"/>
  <c r="W145" i="9"/>
  <c r="M145" i="9"/>
  <c r="W144" i="9"/>
  <c r="M144" i="9"/>
  <c r="W143" i="9"/>
  <c r="M143" i="9"/>
  <c r="W142" i="9"/>
  <c r="M142" i="9"/>
  <c r="W141" i="9"/>
  <c r="M141" i="9"/>
  <c r="W140" i="9"/>
  <c r="M140" i="9"/>
  <c r="W139" i="9"/>
  <c r="M139" i="9"/>
  <c r="W138" i="9"/>
  <c r="M138" i="9"/>
  <c r="W137" i="9"/>
  <c r="M137" i="9"/>
  <c r="W136" i="9"/>
  <c r="M136" i="9"/>
  <c r="W135" i="9"/>
  <c r="M135" i="9"/>
  <c r="W134" i="9"/>
  <c r="M134" i="9"/>
  <c r="W133" i="9"/>
  <c r="M133" i="9"/>
  <c r="W132" i="9"/>
  <c r="M132" i="9"/>
  <c r="W131" i="9"/>
  <c r="M131" i="9"/>
  <c r="W130" i="9"/>
  <c r="M130" i="9"/>
  <c r="W129" i="9"/>
  <c r="M129" i="9"/>
  <c r="W128" i="9"/>
  <c r="M128" i="9"/>
  <c r="W127" i="9"/>
  <c r="M127" i="9"/>
  <c r="W126" i="9"/>
  <c r="M126" i="9"/>
  <c r="W125" i="9"/>
  <c r="M125" i="9"/>
  <c r="W124" i="9"/>
  <c r="M124" i="9"/>
  <c r="W123" i="9"/>
  <c r="M123" i="9"/>
  <c r="W122" i="9"/>
  <c r="M122" i="9"/>
  <c r="W121" i="9"/>
  <c r="M121" i="9"/>
  <c r="W120" i="9"/>
  <c r="M120" i="9"/>
  <c r="W119" i="9"/>
  <c r="M119" i="9"/>
  <c r="W118" i="9"/>
  <c r="M118" i="9"/>
  <c r="W117" i="9"/>
  <c r="M117" i="9"/>
  <c r="W116" i="9"/>
  <c r="M116" i="9"/>
  <c r="W115" i="9"/>
  <c r="M115" i="9"/>
  <c r="W114" i="9"/>
  <c r="M114" i="9"/>
  <c r="W113" i="9"/>
  <c r="M113" i="9"/>
  <c r="W112" i="9"/>
  <c r="M112" i="9"/>
  <c r="W111" i="9"/>
  <c r="M111" i="9"/>
  <c r="W110" i="9"/>
  <c r="M110" i="9"/>
  <c r="W109" i="9"/>
  <c r="M109" i="9"/>
  <c r="W108" i="9"/>
  <c r="M108" i="9"/>
  <c r="W107" i="9"/>
  <c r="M107" i="9"/>
  <c r="W106" i="9"/>
  <c r="M106" i="9"/>
  <c r="W105" i="9"/>
  <c r="M105" i="9"/>
  <c r="W104" i="9"/>
  <c r="M104" i="9"/>
  <c r="W103" i="9"/>
  <c r="M103" i="9"/>
  <c r="W102" i="9"/>
  <c r="M102" i="9"/>
  <c r="W101" i="9"/>
  <c r="M101" i="9"/>
  <c r="W100" i="9"/>
  <c r="M100" i="9"/>
  <c r="W99" i="9"/>
  <c r="M99" i="9"/>
  <c r="W98" i="9"/>
  <c r="M98" i="9"/>
  <c r="W97" i="9"/>
  <c r="M97" i="9"/>
  <c r="W96" i="9"/>
  <c r="M96" i="9"/>
  <c r="W95" i="9"/>
  <c r="M95" i="9"/>
  <c r="W94" i="9"/>
  <c r="M94" i="9"/>
  <c r="W93" i="9"/>
  <c r="M93" i="9"/>
  <c r="W92" i="9"/>
  <c r="M92" i="9"/>
  <c r="W91" i="9"/>
  <c r="M91" i="9"/>
  <c r="W90" i="9"/>
  <c r="M90" i="9"/>
  <c r="W89" i="9"/>
  <c r="M89" i="9"/>
  <c r="W88" i="9"/>
  <c r="M88" i="9"/>
  <c r="W87" i="9"/>
  <c r="M87" i="9"/>
  <c r="W86" i="9"/>
  <c r="M86" i="9"/>
  <c r="W85" i="9"/>
  <c r="M85" i="9"/>
  <c r="W84" i="9"/>
  <c r="M84" i="9"/>
  <c r="W83" i="9"/>
  <c r="M83" i="9"/>
  <c r="W82" i="9"/>
  <c r="M82" i="9"/>
  <c r="W81" i="9"/>
  <c r="M81" i="9"/>
  <c r="W80" i="9"/>
  <c r="M80" i="9"/>
  <c r="W79" i="9"/>
  <c r="M79" i="9"/>
  <c r="W78" i="9"/>
  <c r="M78" i="9"/>
  <c r="W77" i="9"/>
  <c r="M77" i="9"/>
  <c r="W76" i="9"/>
  <c r="M76" i="9"/>
  <c r="W75" i="9"/>
  <c r="M75" i="9"/>
  <c r="W74" i="9"/>
  <c r="M74" i="9"/>
  <c r="W73" i="9"/>
  <c r="M73" i="9"/>
  <c r="W72" i="9"/>
  <c r="M72" i="9"/>
  <c r="W71" i="9"/>
  <c r="M71" i="9"/>
  <c r="W70" i="9"/>
  <c r="M70" i="9"/>
  <c r="W69" i="9"/>
  <c r="M69" i="9"/>
  <c r="W68" i="9"/>
  <c r="M68" i="9"/>
  <c r="W67" i="9"/>
  <c r="M67" i="9"/>
  <c r="W66" i="9"/>
  <c r="M66" i="9"/>
  <c r="W65" i="9"/>
  <c r="M65" i="9"/>
  <c r="W64" i="9"/>
  <c r="M64" i="9"/>
  <c r="W63" i="9"/>
  <c r="M63" i="9"/>
  <c r="W62" i="9"/>
  <c r="M62" i="9"/>
  <c r="W61" i="9"/>
  <c r="M61" i="9"/>
  <c r="W60" i="9"/>
  <c r="M60" i="9"/>
  <c r="W59" i="9"/>
  <c r="M59" i="9"/>
  <c r="W58" i="9"/>
  <c r="M58" i="9"/>
  <c r="W57" i="9"/>
  <c r="M57" i="9"/>
  <c r="W56" i="9"/>
  <c r="M56" i="9"/>
  <c r="W55" i="9"/>
  <c r="M55" i="9"/>
  <c r="W54" i="9"/>
  <c r="M54" i="9"/>
  <c r="W53" i="9"/>
  <c r="M53" i="9"/>
  <c r="W52" i="9"/>
  <c r="M52" i="9"/>
  <c r="W51" i="9"/>
  <c r="M51" i="9"/>
  <c r="W50" i="9"/>
  <c r="M50" i="9"/>
  <c r="W49" i="9"/>
  <c r="M49" i="9"/>
  <c r="W48" i="9"/>
  <c r="M48" i="9"/>
  <c r="W47" i="9"/>
  <c r="M47" i="9"/>
  <c r="W46" i="9"/>
  <c r="M46" i="9"/>
  <c r="W45" i="9"/>
  <c r="M45" i="9"/>
  <c r="W44" i="9"/>
  <c r="M44" i="9"/>
  <c r="W43" i="9"/>
  <c r="M43" i="9"/>
  <c r="W42" i="9"/>
  <c r="M42" i="9"/>
  <c r="W41" i="9"/>
  <c r="M41" i="9"/>
  <c r="W40" i="9"/>
  <c r="M40" i="9"/>
  <c r="W39" i="9"/>
  <c r="M39" i="9"/>
  <c r="W38" i="9"/>
  <c r="M38" i="9"/>
  <c r="W37" i="9"/>
  <c r="M37" i="9"/>
  <c r="W36" i="9"/>
  <c r="M36" i="9"/>
  <c r="W35" i="9"/>
  <c r="M35" i="9"/>
  <c r="W34" i="9"/>
  <c r="M34" i="9"/>
  <c r="W33" i="9"/>
  <c r="M33" i="9"/>
  <c r="W32" i="9"/>
  <c r="M32" i="9"/>
  <c r="W31" i="9"/>
  <c r="M31" i="9"/>
  <c r="W30" i="9"/>
  <c r="M30" i="9"/>
  <c r="W29" i="9"/>
  <c r="M29" i="9"/>
  <c r="W28" i="9"/>
  <c r="M28" i="9"/>
  <c r="W27" i="9"/>
  <c r="M27" i="9"/>
  <c r="W26" i="9"/>
  <c r="M26" i="9"/>
  <c r="W25" i="9"/>
  <c r="M25" i="9"/>
  <c r="W24" i="9"/>
  <c r="M24" i="9"/>
  <c r="W23" i="9"/>
  <c r="M23" i="9"/>
  <c r="W22" i="9"/>
  <c r="M22" i="9"/>
  <c r="W21" i="9"/>
  <c r="M21" i="9"/>
  <c r="W20" i="9"/>
  <c r="M20" i="9"/>
  <c r="W19" i="9"/>
  <c r="M19" i="9"/>
  <c r="W18" i="9"/>
  <c r="M18" i="9"/>
  <c r="W17" i="9"/>
  <c r="M17" i="9"/>
  <c r="W16" i="9"/>
  <c r="M16" i="9"/>
  <c r="W15" i="9"/>
  <c r="M15" i="9"/>
  <c r="W14" i="9"/>
  <c r="M14" i="9"/>
  <c r="W13" i="9"/>
  <c r="M13" i="9"/>
  <c r="M12" i="9"/>
  <c r="H10" i="9"/>
  <c r="G10" i="9"/>
  <c r="F10" i="9"/>
  <c r="E10" i="9"/>
  <c r="D10" i="9"/>
  <c r="C10" i="9"/>
  <c r="B10" i="9"/>
  <c r="W12" i="16" l="1"/>
  <c r="W12" i="15"/>
  <c r="W12" i="14"/>
  <c r="W12" i="13"/>
  <c r="W12" i="12"/>
  <c r="W12" i="11"/>
  <c r="W12" i="10"/>
  <c r="W12" i="9"/>
  <c r="AE98" i="3"/>
  <c r="AR69" i="3"/>
  <c r="Y1" i="3"/>
  <c r="Z1" i="3"/>
  <c r="AA1" i="3"/>
  <c r="AB1" i="3"/>
  <c r="AC1" i="3"/>
  <c r="AD1" i="3"/>
  <c r="AE1" i="3"/>
  <c r="AF1" i="3"/>
  <c r="AG1" i="3"/>
  <c r="AH1" i="3"/>
  <c r="AJ1" i="3"/>
  <c r="AK1" i="3"/>
  <c r="AL1" i="3"/>
  <c r="AM1" i="3"/>
  <c r="AN1" i="3"/>
  <c r="AO1" i="3"/>
  <c r="AP1" i="3"/>
  <c r="AQ1" i="3"/>
  <c r="AR1" i="3"/>
  <c r="Y2" i="3"/>
  <c r="Z2" i="3"/>
  <c r="AA2" i="3"/>
  <c r="AB2" i="3"/>
  <c r="AC2" i="3"/>
  <c r="AD2" i="3"/>
  <c r="AE2" i="3"/>
  <c r="AF2" i="3"/>
  <c r="AG2" i="3"/>
  <c r="AH2" i="3"/>
  <c r="AJ2" i="3"/>
  <c r="AK2" i="3"/>
  <c r="AL2" i="3"/>
  <c r="AM2" i="3"/>
  <c r="AN2" i="3"/>
  <c r="AO2" i="3"/>
  <c r="AP2" i="3"/>
  <c r="AQ2" i="3"/>
  <c r="AR2" i="3"/>
  <c r="Y3" i="3"/>
  <c r="Z3" i="3"/>
  <c r="AA3" i="3"/>
  <c r="AB3" i="3"/>
  <c r="AC3" i="3"/>
  <c r="AD3" i="3"/>
  <c r="AE3" i="3"/>
  <c r="AF3" i="3"/>
  <c r="AG3" i="3"/>
  <c r="AH3" i="3"/>
  <c r="AJ3" i="3"/>
  <c r="AK3" i="3"/>
  <c r="AL3" i="3"/>
  <c r="AM3" i="3"/>
  <c r="AN3" i="3"/>
  <c r="AO3" i="3"/>
  <c r="AP3" i="3"/>
  <c r="AQ3" i="3"/>
  <c r="AR3" i="3"/>
  <c r="Y4" i="3"/>
  <c r="Z4" i="3"/>
  <c r="AA4" i="3"/>
  <c r="AB4" i="3"/>
  <c r="AC4" i="3"/>
  <c r="AD4" i="3"/>
  <c r="AE4" i="3"/>
  <c r="AF4" i="3"/>
  <c r="AG4" i="3"/>
  <c r="AH4" i="3"/>
  <c r="AJ4" i="3"/>
  <c r="AK4" i="3"/>
  <c r="AL4" i="3"/>
  <c r="AM4" i="3"/>
  <c r="AN4" i="3"/>
  <c r="AO4" i="3"/>
  <c r="AP4" i="3"/>
  <c r="AQ4" i="3"/>
  <c r="AR4" i="3"/>
  <c r="Y5" i="3"/>
  <c r="Z5" i="3"/>
  <c r="AA5" i="3"/>
  <c r="AB5" i="3"/>
  <c r="AC5" i="3"/>
  <c r="AD5" i="3"/>
  <c r="AE5" i="3"/>
  <c r="AF5" i="3"/>
  <c r="AG5" i="3"/>
  <c r="AH5" i="3"/>
  <c r="AJ5" i="3"/>
  <c r="AK5" i="3"/>
  <c r="AL5" i="3"/>
  <c r="AM5" i="3"/>
  <c r="AN5" i="3"/>
  <c r="AO5" i="3"/>
  <c r="AP5" i="3"/>
  <c r="AQ5" i="3"/>
  <c r="AR5" i="3"/>
  <c r="Y6" i="3"/>
  <c r="Z6" i="3"/>
  <c r="AA6" i="3"/>
  <c r="AB6" i="3"/>
  <c r="AC6" i="3"/>
  <c r="AD6" i="3"/>
  <c r="AE6" i="3"/>
  <c r="AF6" i="3"/>
  <c r="AG6" i="3"/>
  <c r="AH6" i="3"/>
  <c r="AJ6" i="3"/>
  <c r="AK6" i="3"/>
  <c r="AL6" i="3"/>
  <c r="AM6" i="3"/>
  <c r="AN6" i="3"/>
  <c r="AO6" i="3"/>
  <c r="AP6" i="3"/>
  <c r="AQ6" i="3"/>
  <c r="AR6" i="3"/>
  <c r="Y7" i="3"/>
  <c r="Z7" i="3"/>
  <c r="AA7" i="3"/>
  <c r="AB7" i="3"/>
  <c r="AC7" i="3"/>
  <c r="AD7" i="3"/>
  <c r="AE7" i="3"/>
  <c r="AF7" i="3"/>
  <c r="AG7" i="3"/>
  <c r="AH7" i="3"/>
  <c r="AJ7" i="3"/>
  <c r="AK7" i="3"/>
  <c r="AL7" i="3"/>
  <c r="AM7" i="3"/>
  <c r="AN7" i="3"/>
  <c r="AO7" i="3"/>
  <c r="AP7" i="3"/>
  <c r="AQ7" i="3"/>
  <c r="AR7" i="3"/>
  <c r="Y8" i="3"/>
  <c r="Z8" i="3"/>
  <c r="AA8" i="3"/>
  <c r="AB8" i="3"/>
  <c r="AC8" i="3"/>
  <c r="AD8" i="3"/>
  <c r="AE8" i="3"/>
  <c r="AF8" i="3"/>
  <c r="AG8" i="3"/>
  <c r="AH8" i="3"/>
  <c r="AJ8" i="3"/>
  <c r="AK8" i="3"/>
  <c r="AL8" i="3"/>
  <c r="AM8" i="3"/>
  <c r="AN8" i="3"/>
  <c r="AO8" i="3"/>
  <c r="AP8" i="3"/>
  <c r="AQ8" i="3"/>
  <c r="AR8" i="3"/>
  <c r="Y9" i="3"/>
  <c r="Z9" i="3"/>
  <c r="AA9" i="3"/>
  <c r="AB9" i="3"/>
  <c r="AC9" i="3"/>
  <c r="AD9" i="3"/>
  <c r="AE9" i="3"/>
  <c r="AF9" i="3"/>
  <c r="AG9" i="3"/>
  <c r="AH9" i="3"/>
  <c r="AJ9" i="3"/>
  <c r="AK9" i="3"/>
  <c r="AL9" i="3"/>
  <c r="AM9" i="3"/>
  <c r="AN9" i="3"/>
  <c r="AO9" i="3"/>
  <c r="AP9" i="3"/>
  <c r="AQ9" i="3"/>
  <c r="AR9" i="3"/>
  <c r="Y10" i="3"/>
  <c r="Z10" i="3"/>
  <c r="AA10" i="3"/>
  <c r="AB10" i="3"/>
  <c r="AC10" i="3"/>
  <c r="AD10" i="3"/>
  <c r="AE10" i="3"/>
  <c r="AF10" i="3"/>
  <c r="AG10" i="3"/>
  <c r="AH10" i="3"/>
  <c r="AJ10" i="3"/>
  <c r="AK10" i="3"/>
  <c r="AL10" i="3"/>
  <c r="AM10" i="3"/>
  <c r="AN10" i="3"/>
  <c r="AO10" i="3"/>
  <c r="AP10" i="3"/>
  <c r="AQ10" i="3"/>
  <c r="AR10" i="3"/>
  <c r="Y11" i="3"/>
  <c r="Z11" i="3"/>
  <c r="AA11" i="3"/>
  <c r="AB11" i="3"/>
  <c r="AC11" i="3"/>
  <c r="AD11" i="3"/>
  <c r="AE11" i="3"/>
  <c r="AF11" i="3"/>
  <c r="AG11" i="3"/>
  <c r="AH11" i="3"/>
  <c r="AJ11" i="3"/>
  <c r="AK11" i="3"/>
  <c r="AL11" i="3"/>
  <c r="AM11" i="3"/>
  <c r="AN11" i="3"/>
  <c r="AO11" i="3"/>
  <c r="AP11" i="3"/>
  <c r="AQ11" i="3"/>
  <c r="AR11" i="3"/>
  <c r="Y12" i="3"/>
  <c r="Z12" i="3"/>
  <c r="AA12" i="3"/>
  <c r="AB12" i="3"/>
  <c r="AC12" i="3"/>
  <c r="AD12" i="3"/>
  <c r="AE12" i="3"/>
  <c r="AF12" i="3"/>
  <c r="AG12" i="3"/>
  <c r="AH12" i="3"/>
  <c r="AJ12" i="3"/>
  <c r="AK12" i="3"/>
  <c r="AL12" i="3"/>
  <c r="AM12" i="3"/>
  <c r="AN12" i="3"/>
  <c r="AO12" i="3"/>
  <c r="AP12" i="3"/>
  <c r="AQ12" i="3"/>
  <c r="AR12" i="3"/>
  <c r="Y13" i="3"/>
  <c r="Z13" i="3"/>
  <c r="AA13" i="3"/>
  <c r="AB13" i="3"/>
  <c r="AC13" i="3"/>
  <c r="AD13" i="3"/>
  <c r="AE13" i="3"/>
  <c r="AF13" i="3"/>
  <c r="AG13" i="3"/>
  <c r="AH13" i="3"/>
  <c r="AJ13" i="3"/>
  <c r="AK13" i="3"/>
  <c r="AL13" i="3"/>
  <c r="AM13" i="3"/>
  <c r="AN13" i="3"/>
  <c r="AO13" i="3"/>
  <c r="AP13" i="3"/>
  <c r="AQ13" i="3"/>
  <c r="AR13" i="3"/>
  <c r="Y14" i="3"/>
  <c r="Z14" i="3"/>
  <c r="AA14" i="3"/>
  <c r="AB14" i="3"/>
  <c r="AC14" i="3"/>
  <c r="AD14" i="3"/>
  <c r="AE14" i="3"/>
  <c r="AF14" i="3"/>
  <c r="AG14" i="3"/>
  <c r="AH14" i="3"/>
  <c r="AJ14" i="3"/>
  <c r="AK14" i="3"/>
  <c r="AL14" i="3"/>
  <c r="AM14" i="3"/>
  <c r="AN14" i="3"/>
  <c r="AO14" i="3"/>
  <c r="AP14" i="3"/>
  <c r="AQ14" i="3"/>
  <c r="AR14" i="3"/>
  <c r="Y15" i="3"/>
  <c r="Z15" i="3"/>
  <c r="AA15" i="3"/>
  <c r="AB15" i="3"/>
  <c r="AC15" i="3"/>
  <c r="AD15" i="3"/>
  <c r="AE15" i="3"/>
  <c r="AF15" i="3"/>
  <c r="AG15" i="3"/>
  <c r="AH15" i="3"/>
  <c r="AJ15" i="3"/>
  <c r="AK15" i="3"/>
  <c r="AL15" i="3"/>
  <c r="AM15" i="3"/>
  <c r="AN15" i="3"/>
  <c r="AO15" i="3"/>
  <c r="AP15" i="3"/>
  <c r="AQ15" i="3"/>
  <c r="AR15" i="3"/>
  <c r="Y16" i="3"/>
  <c r="Z16" i="3"/>
  <c r="AA16" i="3"/>
  <c r="AB16" i="3"/>
  <c r="AC16" i="3"/>
  <c r="AD16" i="3"/>
  <c r="AE16" i="3"/>
  <c r="AF16" i="3"/>
  <c r="AG16" i="3"/>
  <c r="AH16" i="3"/>
  <c r="AJ16" i="3"/>
  <c r="AK16" i="3"/>
  <c r="AL16" i="3"/>
  <c r="AM16" i="3"/>
  <c r="AN16" i="3"/>
  <c r="AO16" i="3"/>
  <c r="AP16" i="3"/>
  <c r="AQ16" i="3"/>
  <c r="AR16" i="3"/>
  <c r="Y17" i="3"/>
  <c r="Z17" i="3"/>
  <c r="AA17" i="3"/>
  <c r="AB17" i="3"/>
  <c r="AC17" i="3"/>
  <c r="AD17" i="3"/>
  <c r="AE17" i="3"/>
  <c r="AF17" i="3"/>
  <c r="AG17" i="3"/>
  <c r="AH17" i="3"/>
  <c r="AJ17" i="3"/>
  <c r="AK17" i="3"/>
  <c r="AL17" i="3"/>
  <c r="AM17" i="3"/>
  <c r="AN17" i="3"/>
  <c r="AO17" i="3"/>
  <c r="AP17" i="3"/>
  <c r="AQ17" i="3"/>
  <c r="AR17" i="3"/>
  <c r="Y18" i="3"/>
  <c r="Z18" i="3"/>
  <c r="AA18" i="3"/>
  <c r="AB18" i="3"/>
  <c r="AC18" i="3"/>
  <c r="AD18" i="3"/>
  <c r="AE18" i="3"/>
  <c r="AF18" i="3"/>
  <c r="AG18" i="3"/>
  <c r="AH18" i="3"/>
  <c r="AJ18" i="3"/>
  <c r="AK18" i="3"/>
  <c r="AL18" i="3"/>
  <c r="AM18" i="3"/>
  <c r="AN18" i="3"/>
  <c r="AO18" i="3"/>
  <c r="AP18" i="3"/>
  <c r="AQ18" i="3"/>
  <c r="AR18" i="3"/>
  <c r="Y19" i="3"/>
  <c r="Z19" i="3"/>
  <c r="AA19" i="3"/>
  <c r="AB19" i="3"/>
  <c r="AC19" i="3"/>
  <c r="AD19" i="3"/>
  <c r="AE19" i="3"/>
  <c r="AF19" i="3"/>
  <c r="AG19" i="3"/>
  <c r="AH19" i="3"/>
  <c r="AJ19" i="3"/>
  <c r="AK19" i="3"/>
  <c r="AL19" i="3"/>
  <c r="AM19" i="3"/>
  <c r="AN19" i="3"/>
  <c r="AO19" i="3"/>
  <c r="AP19" i="3"/>
  <c r="AQ19" i="3"/>
  <c r="AR19" i="3"/>
  <c r="Y20" i="3"/>
  <c r="Z20" i="3"/>
  <c r="AA20" i="3"/>
  <c r="AB20" i="3"/>
  <c r="AC20" i="3"/>
  <c r="AD20" i="3"/>
  <c r="AE20" i="3"/>
  <c r="AF20" i="3"/>
  <c r="AG20" i="3"/>
  <c r="AH20" i="3"/>
  <c r="AJ20" i="3"/>
  <c r="AK20" i="3"/>
  <c r="AL20" i="3"/>
  <c r="AM20" i="3"/>
  <c r="AN20" i="3"/>
  <c r="AO20" i="3"/>
  <c r="AP20" i="3"/>
  <c r="AQ20" i="3"/>
  <c r="AR20" i="3"/>
  <c r="Y21" i="3"/>
  <c r="Z21" i="3"/>
  <c r="AA21" i="3"/>
  <c r="AB21" i="3"/>
  <c r="AC21" i="3"/>
  <c r="AD21" i="3"/>
  <c r="AE21" i="3"/>
  <c r="AF21" i="3"/>
  <c r="AG21" i="3"/>
  <c r="AH21" i="3"/>
  <c r="AJ21" i="3"/>
  <c r="AK21" i="3"/>
  <c r="AL21" i="3"/>
  <c r="AM21" i="3"/>
  <c r="AN21" i="3"/>
  <c r="AO21" i="3"/>
  <c r="AP21" i="3"/>
  <c r="AQ21" i="3"/>
  <c r="AR21" i="3"/>
  <c r="Y22" i="3"/>
  <c r="Z22" i="3"/>
  <c r="AA22" i="3"/>
  <c r="AB22" i="3"/>
  <c r="AC22" i="3"/>
  <c r="AD22" i="3"/>
  <c r="AE22" i="3"/>
  <c r="AF22" i="3"/>
  <c r="AG22" i="3"/>
  <c r="AH22" i="3"/>
  <c r="AJ22" i="3"/>
  <c r="AK22" i="3"/>
  <c r="AL22" i="3"/>
  <c r="AM22" i="3"/>
  <c r="AN22" i="3"/>
  <c r="AO22" i="3"/>
  <c r="AP22" i="3"/>
  <c r="AQ22" i="3"/>
  <c r="AR22" i="3"/>
  <c r="Y23" i="3"/>
  <c r="Z23" i="3"/>
  <c r="AA23" i="3"/>
  <c r="AB23" i="3"/>
  <c r="AC23" i="3"/>
  <c r="AD23" i="3"/>
  <c r="AE23" i="3"/>
  <c r="AF23" i="3"/>
  <c r="AG23" i="3"/>
  <c r="AH23" i="3"/>
  <c r="AJ23" i="3"/>
  <c r="AK23" i="3"/>
  <c r="AL23" i="3"/>
  <c r="AM23" i="3"/>
  <c r="AN23" i="3"/>
  <c r="AO23" i="3"/>
  <c r="AP23" i="3"/>
  <c r="AQ23" i="3"/>
  <c r="AR23" i="3"/>
  <c r="Y24" i="3"/>
  <c r="Z24" i="3"/>
  <c r="AA24" i="3"/>
  <c r="AB24" i="3"/>
  <c r="AC24" i="3"/>
  <c r="AD24" i="3"/>
  <c r="AE24" i="3"/>
  <c r="AF24" i="3"/>
  <c r="AG24" i="3"/>
  <c r="AH24" i="3"/>
  <c r="AJ24" i="3"/>
  <c r="AK24" i="3"/>
  <c r="AL24" i="3"/>
  <c r="AM24" i="3"/>
  <c r="AN24" i="3"/>
  <c r="AO24" i="3"/>
  <c r="AP24" i="3"/>
  <c r="AQ24" i="3"/>
  <c r="AR24" i="3"/>
  <c r="Y25" i="3"/>
  <c r="Z25" i="3"/>
  <c r="AA25" i="3"/>
  <c r="AB25" i="3"/>
  <c r="AC25" i="3"/>
  <c r="AD25" i="3"/>
  <c r="AE25" i="3"/>
  <c r="AF25" i="3"/>
  <c r="AG25" i="3"/>
  <c r="AH25" i="3"/>
  <c r="AJ25" i="3"/>
  <c r="AK25" i="3"/>
  <c r="AL25" i="3"/>
  <c r="AM25" i="3"/>
  <c r="AN25" i="3"/>
  <c r="AO25" i="3"/>
  <c r="AP25" i="3"/>
  <c r="AQ25" i="3"/>
  <c r="AR25" i="3"/>
  <c r="Y26" i="3"/>
  <c r="Z26" i="3"/>
  <c r="AA26" i="3"/>
  <c r="AB26" i="3"/>
  <c r="AC26" i="3"/>
  <c r="AD26" i="3"/>
  <c r="AE26" i="3"/>
  <c r="AF26" i="3"/>
  <c r="AG26" i="3"/>
  <c r="AH26" i="3"/>
  <c r="AJ26" i="3"/>
  <c r="AK26" i="3"/>
  <c r="AL26" i="3"/>
  <c r="AM26" i="3"/>
  <c r="AN26" i="3"/>
  <c r="AO26" i="3"/>
  <c r="AP26" i="3"/>
  <c r="AQ26" i="3"/>
  <c r="AR26" i="3"/>
  <c r="Y27" i="3"/>
  <c r="Z27" i="3"/>
  <c r="AA27" i="3"/>
  <c r="AB27" i="3"/>
  <c r="AC27" i="3"/>
  <c r="AD27" i="3"/>
  <c r="AE27" i="3"/>
  <c r="AF27" i="3"/>
  <c r="AG27" i="3"/>
  <c r="AH27" i="3"/>
  <c r="AJ27" i="3"/>
  <c r="AK27" i="3"/>
  <c r="AL27" i="3"/>
  <c r="AM27" i="3"/>
  <c r="AN27" i="3"/>
  <c r="AO27" i="3"/>
  <c r="AP27" i="3"/>
  <c r="AQ27" i="3"/>
  <c r="AR27" i="3"/>
  <c r="Y28" i="3"/>
  <c r="Z28" i="3"/>
  <c r="AA28" i="3"/>
  <c r="AB28" i="3"/>
  <c r="AC28" i="3"/>
  <c r="AD28" i="3"/>
  <c r="AE28" i="3"/>
  <c r="AF28" i="3"/>
  <c r="AG28" i="3"/>
  <c r="AH28" i="3"/>
  <c r="AJ28" i="3"/>
  <c r="AK28" i="3"/>
  <c r="AL28" i="3"/>
  <c r="AM28" i="3"/>
  <c r="AN28" i="3"/>
  <c r="AO28" i="3"/>
  <c r="AP28" i="3"/>
  <c r="AQ28" i="3"/>
  <c r="AR28" i="3"/>
  <c r="Y29" i="3"/>
  <c r="Z29" i="3"/>
  <c r="AA29" i="3"/>
  <c r="AB29" i="3"/>
  <c r="AC29" i="3"/>
  <c r="AD29" i="3"/>
  <c r="AE29" i="3"/>
  <c r="AF29" i="3"/>
  <c r="AG29" i="3"/>
  <c r="AH29" i="3"/>
  <c r="AJ29" i="3"/>
  <c r="AK29" i="3"/>
  <c r="AL29" i="3"/>
  <c r="AM29" i="3"/>
  <c r="AN29" i="3"/>
  <c r="AO29" i="3"/>
  <c r="AP29" i="3"/>
  <c r="AQ29" i="3"/>
  <c r="AR29" i="3"/>
  <c r="Y30" i="3"/>
  <c r="Z30" i="3"/>
  <c r="AA30" i="3"/>
  <c r="AB30" i="3"/>
  <c r="AC30" i="3"/>
  <c r="AD30" i="3"/>
  <c r="AE30" i="3"/>
  <c r="AF30" i="3"/>
  <c r="AG30" i="3"/>
  <c r="AH30" i="3"/>
  <c r="AJ30" i="3"/>
  <c r="AK30" i="3"/>
  <c r="AL30" i="3"/>
  <c r="AM30" i="3"/>
  <c r="AN30" i="3"/>
  <c r="AO30" i="3"/>
  <c r="AP30" i="3"/>
  <c r="AQ30" i="3"/>
  <c r="AR30" i="3"/>
  <c r="Y31" i="3"/>
  <c r="Z31" i="3"/>
  <c r="AA31" i="3"/>
  <c r="AB31" i="3"/>
  <c r="AC31" i="3"/>
  <c r="AD31" i="3"/>
  <c r="AE31" i="3"/>
  <c r="AF31" i="3"/>
  <c r="AG31" i="3"/>
  <c r="AH31" i="3"/>
  <c r="AJ31" i="3"/>
  <c r="AK31" i="3"/>
  <c r="AL31" i="3"/>
  <c r="AM31" i="3"/>
  <c r="AN31" i="3"/>
  <c r="AO31" i="3"/>
  <c r="AP31" i="3"/>
  <c r="AQ31" i="3"/>
  <c r="AR31" i="3"/>
  <c r="Y32" i="3"/>
  <c r="Z32" i="3"/>
  <c r="AA32" i="3"/>
  <c r="AB32" i="3"/>
  <c r="AC32" i="3"/>
  <c r="AD32" i="3"/>
  <c r="AE32" i="3"/>
  <c r="AF32" i="3"/>
  <c r="AG32" i="3"/>
  <c r="AH32" i="3"/>
  <c r="AJ32" i="3"/>
  <c r="AK32" i="3"/>
  <c r="AL32" i="3"/>
  <c r="AM32" i="3"/>
  <c r="AN32" i="3"/>
  <c r="AO32" i="3"/>
  <c r="AP32" i="3"/>
  <c r="AQ32" i="3"/>
  <c r="AR32" i="3"/>
  <c r="Y33" i="3"/>
  <c r="Z33" i="3"/>
  <c r="AA33" i="3"/>
  <c r="AB33" i="3"/>
  <c r="AC33" i="3"/>
  <c r="AD33" i="3"/>
  <c r="AE33" i="3"/>
  <c r="AF33" i="3"/>
  <c r="AG33" i="3"/>
  <c r="AH33" i="3"/>
  <c r="AJ33" i="3"/>
  <c r="AK33" i="3"/>
  <c r="AL33" i="3"/>
  <c r="AM33" i="3"/>
  <c r="AN33" i="3"/>
  <c r="AO33" i="3"/>
  <c r="AP33" i="3"/>
  <c r="AQ33" i="3"/>
  <c r="AR33" i="3"/>
  <c r="Y34" i="3"/>
  <c r="Z34" i="3"/>
  <c r="AA34" i="3"/>
  <c r="AB34" i="3"/>
  <c r="AC34" i="3"/>
  <c r="AD34" i="3"/>
  <c r="AE34" i="3"/>
  <c r="AF34" i="3"/>
  <c r="AG34" i="3"/>
  <c r="AH34" i="3"/>
  <c r="AJ34" i="3"/>
  <c r="AK34" i="3"/>
  <c r="AL34" i="3"/>
  <c r="AM34" i="3"/>
  <c r="AN34" i="3"/>
  <c r="AO34" i="3"/>
  <c r="AP34" i="3"/>
  <c r="AQ34" i="3"/>
  <c r="AR34" i="3"/>
  <c r="Y35" i="3"/>
  <c r="Z35" i="3"/>
  <c r="AA35" i="3"/>
  <c r="AB35" i="3"/>
  <c r="AC35" i="3"/>
  <c r="AD35" i="3"/>
  <c r="AE35" i="3"/>
  <c r="AF35" i="3"/>
  <c r="AG35" i="3"/>
  <c r="AH35" i="3"/>
  <c r="AJ35" i="3"/>
  <c r="AK35" i="3"/>
  <c r="AL35" i="3"/>
  <c r="AM35" i="3"/>
  <c r="AN35" i="3"/>
  <c r="AO35" i="3"/>
  <c r="AP35" i="3"/>
  <c r="AQ35" i="3"/>
  <c r="AR35" i="3"/>
  <c r="Y36" i="3"/>
  <c r="Z36" i="3"/>
  <c r="AA36" i="3"/>
  <c r="AB36" i="3"/>
  <c r="AC36" i="3"/>
  <c r="AD36" i="3"/>
  <c r="AE36" i="3"/>
  <c r="AF36" i="3"/>
  <c r="AG36" i="3"/>
  <c r="AH36" i="3"/>
  <c r="AJ36" i="3"/>
  <c r="AK36" i="3"/>
  <c r="AL36" i="3"/>
  <c r="AM36" i="3"/>
  <c r="AN36" i="3"/>
  <c r="AO36" i="3"/>
  <c r="AP36" i="3"/>
  <c r="AQ36" i="3"/>
  <c r="AR36" i="3"/>
  <c r="Y37" i="3"/>
  <c r="Z37" i="3"/>
  <c r="AA37" i="3"/>
  <c r="AB37" i="3"/>
  <c r="AC37" i="3"/>
  <c r="AD37" i="3"/>
  <c r="AE37" i="3"/>
  <c r="AF37" i="3"/>
  <c r="AG37" i="3"/>
  <c r="AH37" i="3"/>
  <c r="AJ37" i="3"/>
  <c r="AK37" i="3"/>
  <c r="AL37" i="3"/>
  <c r="AM37" i="3"/>
  <c r="AN37" i="3"/>
  <c r="AO37" i="3"/>
  <c r="AP37" i="3"/>
  <c r="AQ37" i="3"/>
  <c r="AR37" i="3"/>
  <c r="Y38" i="3"/>
  <c r="Z38" i="3"/>
  <c r="AA38" i="3"/>
  <c r="AB38" i="3"/>
  <c r="AC38" i="3"/>
  <c r="AD38" i="3"/>
  <c r="AE38" i="3"/>
  <c r="AF38" i="3"/>
  <c r="AG38" i="3"/>
  <c r="AH38" i="3"/>
  <c r="AJ38" i="3"/>
  <c r="AK38" i="3"/>
  <c r="AL38" i="3"/>
  <c r="AM38" i="3"/>
  <c r="AN38" i="3"/>
  <c r="AO38" i="3"/>
  <c r="AP38" i="3"/>
  <c r="AQ38" i="3"/>
  <c r="AR38" i="3"/>
  <c r="Y39" i="3"/>
  <c r="Z39" i="3"/>
  <c r="AA39" i="3"/>
  <c r="AB39" i="3"/>
  <c r="AC39" i="3"/>
  <c r="AD39" i="3"/>
  <c r="AE39" i="3"/>
  <c r="AF39" i="3"/>
  <c r="AG39" i="3"/>
  <c r="AH39" i="3"/>
  <c r="AJ39" i="3"/>
  <c r="AK39" i="3"/>
  <c r="AL39" i="3"/>
  <c r="AM39" i="3"/>
  <c r="AN39" i="3"/>
  <c r="AO39" i="3"/>
  <c r="AP39" i="3"/>
  <c r="AQ39" i="3"/>
  <c r="AR39" i="3"/>
  <c r="Y40" i="3"/>
  <c r="Z40" i="3"/>
  <c r="AA40" i="3"/>
  <c r="AB40" i="3"/>
  <c r="AC40" i="3"/>
  <c r="AD40" i="3"/>
  <c r="AE40" i="3"/>
  <c r="AF40" i="3"/>
  <c r="AG40" i="3"/>
  <c r="AH40" i="3"/>
  <c r="AJ40" i="3"/>
  <c r="AK40" i="3"/>
  <c r="AL40" i="3"/>
  <c r="AM40" i="3"/>
  <c r="AN40" i="3"/>
  <c r="AO40" i="3"/>
  <c r="AP40" i="3"/>
  <c r="AQ40" i="3"/>
  <c r="AR40" i="3"/>
  <c r="Y41" i="3"/>
  <c r="Z41" i="3"/>
  <c r="AA41" i="3"/>
  <c r="AB41" i="3"/>
  <c r="AC41" i="3"/>
  <c r="AD41" i="3"/>
  <c r="AE41" i="3"/>
  <c r="AF41" i="3"/>
  <c r="AG41" i="3"/>
  <c r="AH41" i="3"/>
  <c r="AJ41" i="3"/>
  <c r="AK41" i="3"/>
  <c r="AL41" i="3"/>
  <c r="AM41" i="3"/>
  <c r="AN41" i="3"/>
  <c r="AO41" i="3"/>
  <c r="AP41" i="3"/>
  <c r="AQ41" i="3"/>
  <c r="AR41" i="3"/>
  <c r="Y42" i="3"/>
  <c r="Z42" i="3"/>
  <c r="AA42" i="3"/>
  <c r="AB42" i="3"/>
  <c r="AC42" i="3"/>
  <c r="AD42" i="3"/>
  <c r="AE42" i="3"/>
  <c r="AF42" i="3"/>
  <c r="AG42" i="3"/>
  <c r="AH42" i="3"/>
  <c r="AJ42" i="3"/>
  <c r="AK42" i="3"/>
  <c r="AL42" i="3"/>
  <c r="AM42" i="3"/>
  <c r="AN42" i="3"/>
  <c r="AO42" i="3"/>
  <c r="AP42" i="3"/>
  <c r="AQ42" i="3"/>
  <c r="AR42" i="3"/>
  <c r="Y43" i="3"/>
  <c r="Z43" i="3"/>
  <c r="AA43" i="3"/>
  <c r="AB43" i="3"/>
  <c r="AC43" i="3"/>
  <c r="AD43" i="3"/>
  <c r="AE43" i="3"/>
  <c r="AF43" i="3"/>
  <c r="AG43" i="3"/>
  <c r="AH43" i="3"/>
  <c r="AJ43" i="3"/>
  <c r="AK43" i="3"/>
  <c r="AL43" i="3"/>
  <c r="AM43" i="3"/>
  <c r="AN43" i="3"/>
  <c r="AO43" i="3"/>
  <c r="AP43" i="3"/>
  <c r="AQ43" i="3"/>
  <c r="AR43" i="3"/>
  <c r="Y44" i="3"/>
  <c r="Z44" i="3"/>
  <c r="AA44" i="3"/>
  <c r="AB44" i="3"/>
  <c r="AC44" i="3"/>
  <c r="AD44" i="3"/>
  <c r="AE44" i="3"/>
  <c r="AF44" i="3"/>
  <c r="AG44" i="3"/>
  <c r="AH44" i="3"/>
  <c r="AJ44" i="3"/>
  <c r="AK44" i="3"/>
  <c r="AL44" i="3"/>
  <c r="AM44" i="3"/>
  <c r="AN44" i="3"/>
  <c r="AO44" i="3"/>
  <c r="AP44" i="3"/>
  <c r="AQ44" i="3"/>
  <c r="AR44" i="3"/>
  <c r="Y45" i="3"/>
  <c r="Z45" i="3"/>
  <c r="AA45" i="3"/>
  <c r="AB45" i="3"/>
  <c r="AC45" i="3"/>
  <c r="AD45" i="3"/>
  <c r="AE45" i="3"/>
  <c r="AF45" i="3"/>
  <c r="AG45" i="3"/>
  <c r="AH45" i="3"/>
  <c r="AJ45" i="3"/>
  <c r="AK45" i="3"/>
  <c r="AL45" i="3"/>
  <c r="AM45" i="3"/>
  <c r="AN45" i="3"/>
  <c r="AO45" i="3"/>
  <c r="AP45" i="3"/>
  <c r="AQ45" i="3"/>
  <c r="AR45" i="3"/>
  <c r="Y46" i="3"/>
  <c r="Z46" i="3"/>
  <c r="AA46" i="3"/>
  <c r="AB46" i="3"/>
  <c r="AC46" i="3"/>
  <c r="AD46" i="3"/>
  <c r="AE46" i="3"/>
  <c r="AF46" i="3"/>
  <c r="AG46" i="3"/>
  <c r="AH46" i="3"/>
  <c r="AJ46" i="3"/>
  <c r="AK46" i="3"/>
  <c r="AL46" i="3"/>
  <c r="AM46" i="3"/>
  <c r="AN46" i="3"/>
  <c r="AO46" i="3"/>
  <c r="AP46" i="3"/>
  <c r="AQ46" i="3"/>
  <c r="AR46" i="3"/>
  <c r="Y47" i="3"/>
  <c r="Z47" i="3"/>
  <c r="AA47" i="3"/>
  <c r="AB47" i="3"/>
  <c r="AC47" i="3"/>
  <c r="AD47" i="3"/>
  <c r="AE47" i="3"/>
  <c r="AF47" i="3"/>
  <c r="AG47" i="3"/>
  <c r="AH47" i="3"/>
  <c r="AJ47" i="3"/>
  <c r="AK47" i="3"/>
  <c r="AL47" i="3"/>
  <c r="AM47" i="3"/>
  <c r="AN47" i="3"/>
  <c r="AO47" i="3"/>
  <c r="AP47" i="3"/>
  <c r="AQ47" i="3"/>
  <c r="AR47" i="3"/>
  <c r="Y48" i="3"/>
  <c r="Z48" i="3"/>
  <c r="AA48" i="3"/>
  <c r="AB48" i="3"/>
  <c r="AC48" i="3"/>
  <c r="AD48" i="3"/>
  <c r="AE48" i="3"/>
  <c r="AF48" i="3"/>
  <c r="AG48" i="3"/>
  <c r="AH48" i="3"/>
  <c r="AJ48" i="3"/>
  <c r="AK48" i="3"/>
  <c r="AL48" i="3"/>
  <c r="AM48" i="3"/>
  <c r="AN48" i="3"/>
  <c r="AO48" i="3"/>
  <c r="AP48" i="3"/>
  <c r="AQ48" i="3"/>
  <c r="AR48" i="3"/>
  <c r="Y49" i="3"/>
  <c r="Z49" i="3"/>
  <c r="AA49" i="3"/>
  <c r="AB49" i="3"/>
  <c r="AC49" i="3"/>
  <c r="AD49" i="3"/>
  <c r="AE49" i="3"/>
  <c r="AF49" i="3"/>
  <c r="AG49" i="3"/>
  <c r="AH49" i="3"/>
  <c r="AJ49" i="3"/>
  <c r="AK49" i="3"/>
  <c r="AL49" i="3"/>
  <c r="AM49" i="3"/>
  <c r="AN49" i="3"/>
  <c r="AO49" i="3"/>
  <c r="AP49" i="3"/>
  <c r="AQ49" i="3"/>
  <c r="AR49" i="3"/>
  <c r="Y50" i="3"/>
  <c r="Z50" i="3"/>
  <c r="AA50" i="3"/>
  <c r="AB50" i="3"/>
  <c r="AC50" i="3"/>
  <c r="AD50" i="3"/>
  <c r="AE50" i="3"/>
  <c r="AF50" i="3"/>
  <c r="AG50" i="3"/>
  <c r="AH50" i="3"/>
  <c r="AJ50" i="3"/>
  <c r="AK50" i="3"/>
  <c r="AL50" i="3"/>
  <c r="AM50" i="3"/>
  <c r="AN50" i="3"/>
  <c r="AO50" i="3"/>
  <c r="AP50" i="3"/>
  <c r="AQ50" i="3"/>
  <c r="AR50" i="3"/>
  <c r="Y51" i="3"/>
  <c r="Z51" i="3"/>
  <c r="AA51" i="3"/>
  <c r="AB51" i="3"/>
  <c r="AC51" i="3"/>
  <c r="AD51" i="3"/>
  <c r="AE51" i="3"/>
  <c r="AF51" i="3"/>
  <c r="AG51" i="3"/>
  <c r="AH51" i="3"/>
  <c r="AJ51" i="3"/>
  <c r="AK51" i="3"/>
  <c r="AL51" i="3"/>
  <c r="AM51" i="3"/>
  <c r="AN51" i="3"/>
  <c r="AO51" i="3"/>
  <c r="AP51" i="3"/>
  <c r="AQ51" i="3"/>
  <c r="AR51" i="3"/>
  <c r="Y52" i="3"/>
  <c r="Z52" i="3"/>
  <c r="AA52" i="3"/>
  <c r="AB52" i="3"/>
  <c r="AC52" i="3"/>
  <c r="AD52" i="3"/>
  <c r="AE52" i="3"/>
  <c r="AF52" i="3"/>
  <c r="AG52" i="3"/>
  <c r="AH52" i="3"/>
  <c r="AJ52" i="3"/>
  <c r="AK52" i="3"/>
  <c r="AL52" i="3"/>
  <c r="AM52" i="3"/>
  <c r="AN52" i="3"/>
  <c r="AO52" i="3"/>
  <c r="AP52" i="3"/>
  <c r="AQ52" i="3"/>
  <c r="AR52" i="3"/>
  <c r="Y53" i="3"/>
  <c r="Z53" i="3"/>
  <c r="AA53" i="3"/>
  <c r="AB53" i="3"/>
  <c r="AC53" i="3"/>
  <c r="AD53" i="3"/>
  <c r="AE53" i="3"/>
  <c r="AF53" i="3"/>
  <c r="AG53" i="3"/>
  <c r="AH53" i="3"/>
  <c r="AJ53" i="3"/>
  <c r="AK53" i="3"/>
  <c r="AL53" i="3"/>
  <c r="AM53" i="3"/>
  <c r="AN53" i="3"/>
  <c r="AO53" i="3"/>
  <c r="AP53" i="3"/>
  <c r="AQ53" i="3"/>
  <c r="AR53" i="3"/>
  <c r="Y54" i="3"/>
  <c r="Z54" i="3"/>
  <c r="AA54" i="3"/>
  <c r="AB54" i="3"/>
  <c r="AC54" i="3"/>
  <c r="AD54" i="3"/>
  <c r="AE54" i="3"/>
  <c r="AF54" i="3"/>
  <c r="AG54" i="3"/>
  <c r="AH54" i="3"/>
  <c r="AJ54" i="3"/>
  <c r="AK54" i="3"/>
  <c r="AL54" i="3"/>
  <c r="AM54" i="3"/>
  <c r="AN54" i="3"/>
  <c r="AO54" i="3"/>
  <c r="AP54" i="3"/>
  <c r="AQ54" i="3"/>
  <c r="AR54" i="3"/>
  <c r="Y55" i="3"/>
  <c r="Z55" i="3"/>
  <c r="AA55" i="3"/>
  <c r="AB55" i="3"/>
  <c r="AC55" i="3"/>
  <c r="AD55" i="3"/>
  <c r="AE55" i="3"/>
  <c r="AF55" i="3"/>
  <c r="AG55" i="3"/>
  <c r="AH55" i="3"/>
  <c r="AJ55" i="3"/>
  <c r="AK55" i="3"/>
  <c r="AL55" i="3"/>
  <c r="AM55" i="3"/>
  <c r="AN55" i="3"/>
  <c r="AO55" i="3"/>
  <c r="AP55" i="3"/>
  <c r="AQ55" i="3"/>
  <c r="AR55" i="3"/>
  <c r="Y56" i="3"/>
  <c r="Z56" i="3"/>
  <c r="AA56" i="3"/>
  <c r="AB56" i="3"/>
  <c r="AC56" i="3"/>
  <c r="AD56" i="3"/>
  <c r="AE56" i="3"/>
  <c r="AF56" i="3"/>
  <c r="AG56" i="3"/>
  <c r="AH56" i="3"/>
  <c r="AJ56" i="3"/>
  <c r="AK56" i="3"/>
  <c r="AL56" i="3"/>
  <c r="AM56" i="3"/>
  <c r="AN56" i="3"/>
  <c r="AO56" i="3"/>
  <c r="AP56" i="3"/>
  <c r="AQ56" i="3"/>
  <c r="AR56" i="3"/>
  <c r="Y57" i="3"/>
  <c r="Z57" i="3"/>
  <c r="AA57" i="3"/>
  <c r="AB57" i="3"/>
  <c r="AC57" i="3"/>
  <c r="AD57" i="3"/>
  <c r="AE57" i="3"/>
  <c r="AF57" i="3"/>
  <c r="AG57" i="3"/>
  <c r="AH57" i="3"/>
  <c r="AJ57" i="3"/>
  <c r="AK57" i="3"/>
  <c r="AL57" i="3"/>
  <c r="AM57" i="3"/>
  <c r="AN57" i="3"/>
  <c r="AO57" i="3"/>
  <c r="AP57" i="3"/>
  <c r="AQ57" i="3"/>
  <c r="AR57" i="3"/>
  <c r="Y58" i="3"/>
  <c r="Z58" i="3"/>
  <c r="AA58" i="3"/>
  <c r="AB58" i="3"/>
  <c r="AC58" i="3"/>
  <c r="AD58" i="3"/>
  <c r="AE58" i="3"/>
  <c r="AF58" i="3"/>
  <c r="AG58" i="3"/>
  <c r="AH58" i="3"/>
  <c r="AJ58" i="3"/>
  <c r="AK58" i="3"/>
  <c r="AL58" i="3"/>
  <c r="AM58" i="3"/>
  <c r="AN58" i="3"/>
  <c r="AO58" i="3"/>
  <c r="AP58" i="3"/>
  <c r="AQ58" i="3"/>
  <c r="AR58" i="3"/>
  <c r="Y59" i="3"/>
  <c r="Z59" i="3"/>
  <c r="AA59" i="3"/>
  <c r="AB59" i="3"/>
  <c r="AC59" i="3"/>
  <c r="AD59" i="3"/>
  <c r="AE59" i="3"/>
  <c r="AF59" i="3"/>
  <c r="AG59" i="3"/>
  <c r="AH59" i="3"/>
  <c r="AJ59" i="3"/>
  <c r="AK59" i="3"/>
  <c r="AL59" i="3"/>
  <c r="AM59" i="3"/>
  <c r="AN59" i="3"/>
  <c r="AO59" i="3"/>
  <c r="AP59" i="3"/>
  <c r="AQ59" i="3"/>
  <c r="AR59" i="3"/>
  <c r="Y60" i="3"/>
  <c r="Z60" i="3"/>
  <c r="AA60" i="3"/>
  <c r="AB60" i="3"/>
  <c r="AC60" i="3"/>
  <c r="AD60" i="3"/>
  <c r="AE60" i="3"/>
  <c r="AF60" i="3"/>
  <c r="AG60" i="3"/>
  <c r="AH60" i="3"/>
  <c r="AJ60" i="3"/>
  <c r="AK60" i="3"/>
  <c r="AL60" i="3"/>
  <c r="AM60" i="3"/>
  <c r="AN60" i="3"/>
  <c r="AO60" i="3"/>
  <c r="AP60" i="3"/>
  <c r="AQ60" i="3"/>
  <c r="AR60" i="3"/>
  <c r="Y61" i="3"/>
  <c r="Z61" i="3"/>
  <c r="AA61" i="3"/>
  <c r="AB61" i="3"/>
  <c r="AC61" i="3"/>
  <c r="AD61" i="3"/>
  <c r="AE61" i="3"/>
  <c r="AF61" i="3"/>
  <c r="AG61" i="3"/>
  <c r="AH61" i="3"/>
  <c r="AJ61" i="3"/>
  <c r="AK61" i="3"/>
  <c r="AL61" i="3"/>
  <c r="AM61" i="3"/>
  <c r="AN61" i="3"/>
  <c r="AO61" i="3"/>
  <c r="AP61" i="3"/>
  <c r="AQ61" i="3"/>
  <c r="AR61" i="3"/>
  <c r="Y62" i="3"/>
  <c r="Z62" i="3"/>
  <c r="AA62" i="3"/>
  <c r="AB62" i="3"/>
  <c r="AC62" i="3"/>
  <c r="AD62" i="3"/>
  <c r="AE62" i="3"/>
  <c r="AF62" i="3"/>
  <c r="AG62" i="3"/>
  <c r="AH62" i="3"/>
  <c r="AJ62" i="3"/>
  <c r="AK62" i="3"/>
  <c r="AL62" i="3"/>
  <c r="AM62" i="3"/>
  <c r="AN62" i="3"/>
  <c r="AO62" i="3"/>
  <c r="AP62" i="3"/>
  <c r="AQ62" i="3"/>
  <c r="AR62" i="3"/>
  <c r="Y63" i="3"/>
  <c r="Z63" i="3"/>
  <c r="AA63" i="3"/>
  <c r="AB63" i="3"/>
  <c r="AC63" i="3"/>
  <c r="AD63" i="3"/>
  <c r="AE63" i="3"/>
  <c r="AF63" i="3"/>
  <c r="AG63" i="3"/>
  <c r="AH63" i="3"/>
  <c r="AJ63" i="3"/>
  <c r="AK63" i="3"/>
  <c r="AL63" i="3"/>
  <c r="AM63" i="3"/>
  <c r="AN63" i="3"/>
  <c r="AO63" i="3"/>
  <c r="AP63" i="3"/>
  <c r="AQ63" i="3"/>
  <c r="AR63" i="3"/>
  <c r="Y64" i="3"/>
  <c r="Z64" i="3"/>
  <c r="AA64" i="3"/>
  <c r="AB64" i="3"/>
  <c r="AC64" i="3"/>
  <c r="AD64" i="3"/>
  <c r="AE64" i="3"/>
  <c r="AF64" i="3"/>
  <c r="AG64" i="3"/>
  <c r="AH64" i="3"/>
  <c r="AJ64" i="3"/>
  <c r="AK64" i="3"/>
  <c r="AL64" i="3"/>
  <c r="AM64" i="3"/>
  <c r="AN64" i="3"/>
  <c r="AO64" i="3"/>
  <c r="AP64" i="3"/>
  <c r="AQ64" i="3"/>
  <c r="AR64" i="3"/>
  <c r="Y65" i="3"/>
  <c r="Z65" i="3"/>
  <c r="AA65" i="3"/>
  <c r="AB65" i="3"/>
  <c r="AC65" i="3"/>
  <c r="AD65" i="3"/>
  <c r="AE65" i="3"/>
  <c r="AF65" i="3"/>
  <c r="AG65" i="3"/>
  <c r="AH65" i="3"/>
  <c r="AJ65" i="3"/>
  <c r="AK65" i="3"/>
  <c r="AL65" i="3"/>
  <c r="AM65" i="3"/>
  <c r="AN65" i="3"/>
  <c r="AO65" i="3"/>
  <c r="AP65" i="3"/>
  <c r="AQ65" i="3"/>
  <c r="AR65" i="3"/>
  <c r="Y66" i="3"/>
  <c r="Z66" i="3"/>
  <c r="AA66" i="3"/>
  <c r="AB66" i="3"/>
  <c r="AC66" i="3"/>
  <c r="AD66" i="3"/>
  <c r="AE66" i="3"/>
  <c r="AF66" i="3"/>
  <c r="AG66" i="3"/>
  <c r="AH66" i="3"/>
  <c r="AJ66" i="3"/>
  <c r="AK66" i="3"/>
  <c r="AL66" i="3"/>
  <c r="AM66" i="3"/>
  <c r="AN66" i="3"/>
  <c r="AO66" i="3"/>
  <c r="AP66" i="3"/>
  <c r="AQ66" i="3"/>
  <c r="AR66" i="3"/>
  <c r="Y67" i="3"/>
  <c r="Z67" i="3"/>
  <c r="AA67" i="3"/>
  <c r="AB67" i="3"/>
  <c r="AC67" i="3"/>
  <c r="AD67" i="3"/>
  <c r="AE67" i="3"/>
  <c r="AF67" i="3"/>
  <c r="AG67" i="3"/>
  <c r="AH67" i="3"/>
  <c r="AJ67" i="3"/>
  <c r="AK67" i="3"/>
  <c r="AL67" i="3"/>
  <c r="AM67" i="3"/>
  <c r="AN67" i="3"/>
  <c r="AO67" i="3"/>
  <c r="AP67" i="3"/>
  <c r="AQ67" i="3"/>
  <c r="AR67" i="3"/>
  <c r="Y68" i="3"/>
  <c r="Z68" i="3"/>
  <c r="AA68" i="3"/>
  <c r="AB68" i="3"/>
  <c r="AC68" i="3"/>
  <c r="AD68" i="3"/>
  <c r="AE68" i="3"/>
  <c r="AF68" i="3"/>
  <c r="AG68" i="3"/>
  <c r="AH68" i="3"/>
  <c r="AJ68" i="3"/>
  <c r="AK68" i="3"/>
  <c r="AL68" i="3"/>
  <c r="AM68" i="3"/>
  <c r="AN68" i="3"/>
  <c r="AO68" i="3"/>
  <c r="AP68" i="3"/>
  <c r="AQ68" i="3"/>
  <c r="AR68" i="3"/>
  <c r="Y69" i="3"/>
  <c r="Z69" i="3"/>
  <c r="AA69" i="3"/>
  <c r="AB69" i="3"/>
  <c r="AC69" i="3"/>
  <c r="AD69" i="3"/>
  <c r="AE69" i="3"/>
  <c r="AF69" i="3"/>
  <c r="AG69" i="3"/>
  <c r="AH69" i="3"/>
  <c r="AJ69" i="3"/>
  <c r="AK69" i="3"/>
  <c r="AL69" i="3"/>
  <c r="AM69" i="3"/>
  <c r="AN69" i="3"/>
  <c r="AO69" i="3"/>
  <c r="AP69" i="3"/>
  <c r="AQ69" i="3"/>
  <c r="Y70" i="3"/>
  <c r="Z70" i="3"/>
  <c r="AA70" i="3"/>
  <c r="AB70" i="3"/>
  <c r="AC70" i="3"/>
  <c r="AD70" i="3"/>
  <c r="AE70" i="3"/>
  <c r="AF70" i="3"/>
  <c r="AG70" i="3"/>
  <c r="AH70" i="3"/>
  <c r="AJ70" i="3"/>
  <c r="AK70" i="3"/>
  <c r="AL70" i="3"/>
  <c r="AM70" i="3"/>
  <c r="AN70" i="3"/>
  <c r="AO70" i="3"/>
  <c r="AP70" i="3"/>
  <c r="AQ70" i="3"/>
  <c r="AR70" i="3"/>
  <c r="Y71" i="3"/>
  <c r="Z71" i="3"/>
  <c r="AA71" i="3"/>
  <c r="AB71" i="3"/>
  <c r="AC71" i="3"/>
  <c r="AD71" i="3"/>
  <c r="AE71" i="3"/>
  <c r="AF71" i="3"/>
  <c r="AG71" i="3"/>
  <c r="AH71" i="3"/>
  <c r="AJ71" i="3"/>
  <c r="AK71" i="3"/>
  <c r="AL71" i="3"/>
  <c r="AM71" i="3"/>
  <c r="AN71" i="3"/>
  <c r="AO71" i="3"/>
  <c r="AP71" i="3"/>
  <c r="AQ71" i="3"/>
  <c r="AR71" i="3"/>
  <c r="Y72" i="3"/>
  <c r="Z72" i="3"/>
  <c r="AA72" i="3"/>
  <c r="AB72" i="3"/>
  <c r="AC72" i="3"/>
  <c r="AD72" i="3"/>
  <c r="AE72" i="3"/>
  <c r="AF72" i="3"/>
  <c r="AG72" i="3"/>
  <c r="AH72" i="3"/>
  <c r="AJ72" i="3"/>
  <c r="AK72" i="3"/>
  <c r="AL72" i="3"/>
  <c r="AM72" i="3"/>
  <c r="AN72" i="3"/>
  <c r="AO72" i="3"/>
  <c r="AP72" i="3"/>
  <c r="AQ72" i="3"/>
  <c r="AR72" i="3"/>
  <c r="Y73" i="3"/>
  <c r="Z73" i="3"/>
  <c r="AA73" i="3"/>
  <c r="AB73" i="3"/>
  <c r="AC73" i="3"/>
  <c r="AD73" i="3"/>
  <c r="AE73" i="3"/>
  <c r="AF73" i="3"/>
  <c r="AG73" i="3"/>
  <c r="AH73" i="3"/>
  <c r="AJ73" i="3"/>
  <c r="AK73" i="3"/>
  <c r="AL73" i="3"/>
  <c r="AM73" i="3"/>
  <c r="AN73" i="3"/>
  <c r="AO73" i="3"/>
  <c r="AP73" i="3"/>
  <c r="AQ73" i="3"/>
  <c r="AR73" i="3"/>
  <c r="Y74" i="3"/>
  <c r="Z74" i="3"/>
  <c r="AA74" i="3"/>
  <c r="AB74" i="3"/>
  <c r="AC74" i="3"/>
  <c r="AD74" i="3"/>
  <c r="AE74" i="3"/>
  <c r="AF74" i="3"/>
  <c r="AG74" i="3"/>
  <c r="AH74" i="3"/>
  <c r="AJ74" i="3"/>
  <c r="AK74" i="3"/>
  <c r="AL74" i="3"/>
  <c r="AM74" i="3"/>
  <c r="AN74" i="3"/>
  <c r="AO74" i="3"/>
  <c r="AP74" i="3"/>
  <c r="AQ74" i="3"/>
  <c r="AR74" i="3"/>
  <c r="Y75" i="3"/>
  <c r="Z75" i="3"/>
  <c r="AA75" i="3"/>
  <c r="AB75" i="3"/>
  <c r="AC75" i="3"/>
  <c r="AD75" i="3"/>
  <c r="AE75" i="3"/>
  <c r="AF75" i="3"/>
  <c r="AG75" i="3"/>
  <c r="AH75" i="3"/>
  <c r="AJ75" i="3"/>
  <c r="AK75" i="3"/>
  <c r="AL75" i="3"/>
  <c r="AM75" i="3"/>
  <c r="AN75" i="3"/>
  <c r="AO75" i="3"/>
  <c r="AP75" i="3"/>
  <c r="AQ75" i="3"/>
  <c r="AR75" i="3"/>
  <c r="Y76" i="3"/>
  <c r="Z76" i="3"/>
  <c r="AA76" i="3"/>
  <c r="AB76" i="3"/>
  <c r="AC76" i="3"/>
  <c r="AD76" i="3"/>
  <c r="AE76" i="3"/>
  <c r="AF76" i="3"/>
  <c r="AG76" i="3"/>
  <c r="AH76" i="3"/>
  <c r="AJ76" i="3"/>
  <c r="AK76" i="3"/>
  <c r="AL76" i="3"/>
  <c r="AM76" i="3"/>
  <c r="AN76" i="3"/>
  <c r="AO76" i="3"/>
  <c r="AP76" i="3"/>
  <c r="AQ76" i="3"/>
  <c r="AR76" i="3"/>
  <c r="Y77" i="3"/>
  <c r="Z77" i="3"/>
  <c r="AA77" i="3"/>
  <c r="AB77" i="3"/>
  <c r="AC77" i="3"/>
  <c r="AD77" i="3"/>
  <c r="AE77" i="3"/>
  <c r="AF77" i="3"/>
  <c r="AG77" i="3"/>
  <c r="AH77" i="3"/>
  <c r="AJ77" i="3"/>
  <c r="AK77" i="3"/>
  <c r="AL77" i="3"/>
  <c r="AM77" i="3"/>
  <c r="AN77" i="3"/>
  <c r="AO77" i="3"/>
  <c r="AP77" i="3"/>
  <c r="AQ77" i="3"/>
  <c r="AR77" i="3"/>
  <c r="Y78" i="3"/>
  <c r="Z78" i="3"/>
  <c r="AA78" i="3"/>
  <c r="AB78" i="3"/>
  <c r="AC78" i="3"/>
  <c r="AD78" i="3"/>
  <c r="AE78" i="3"/>
  <c r="AF78" i="3"/>
  <c r="AG78" i="3"/>
  <c r="AH78" i="3"/>
  <c r="AJ78" i="3"/>
  <c r="AK78" i="3"/>
  <c r="AL78" i="3"/>
  <c r="AM78" i="3"/>
  <c r="AN78" i="3"/>
  <c r="AO78" i="3"/>
  <c r="AP78" i="3"/>
  <c r="AQ78" i="3"/>
  <c r="AR78" i="3"/>
  <c r="Y79" i="3"/>
  <c r="Z79" i="3"/>
  <c r="AA79" i="3"/>
  <c r="AB79" i="3"/>
  <c r="AC79" i="3"/>
  <c r="AD79" i="3"/>
  <c r="AE79" i="3"/>
  <c r="AF79" i="3"/>
  <c r="AG79" i="3"/>
  <c r="AH79" i="3"/>
  <c r="AJ79" i="3"/>
  <c r="AK79" i="3"/>
  <c r="AL79" i="3"/>
  <c r="AM79" i="3"/>
  <c r="AN79" i="3"/>
  <c r="AO79" i="3"/>
  <c r="AP79" i="3"/>
  <c r="AQ79" i="3"/>
  <c r="AR79" i="3"/>
  <c r="Y80" i="3"/>
  <c r="Z80" i="3"/>
  <c r="AA80" i="3"/>
  <c r="AB80" i="3"/>
  <c r="AC80" i="3"/>
  <c r="AD80" i="3"/>
  <c r="AE80" i="3"/>
  <c r="AF80" i="3"/>
  <c r="AG80" i="3"/>
  <c r="AH80" i="3"/>
  <c r="AJ80" i="3"/>
  <c r="AK80" i="3"/>
  <c r="AL80" i="3"/>
  <c r="AM80" i="3"/>
  <c r="AN80" i="3"/>
  <c r="AO80" i="3"/>
  <c r="AP80" i="3"/>
  <c r="AQ80" i="3"/>
  <c r="AR80" i="3"/>
  <c r="Y81" i="3"/>
  <c r="Z81" i="3"/>
  <c r="AA81" i="3"/>
  <c r="AB81" i="3"/>
  <c r="AC81" i="3"/>
  <c r="AD81" i="3"/>
  <c r="AE81" i="3"/>
  <c r="AF81" i="3"/>
  <c r="AG81" i="3"/>
  <c r="AH81" i="3"/>
  <c r="AJ81" i="3"/>
  <c r="AK81" i="3"/>
  <c r="AL81" i="3"/>
  <c r="AM81" i="3"/>
  <c r="AN81" i="3"/>
  <c r="AO81" i="3"/>
  <c r="AP81" i="3"/>
  <c r="AQ81" i="3"/>
  <c r="AR81" i="3"/>
  <c r="Y82" i="3"/>
  <c r="Z82" i="3"/>
  <c r="AA82" i="3"/>
  <c r="AB82" i="3"/>
  <c r="AC82" i="3"/>
  <c r="AD82" i="3"/>
  <c r="AE82" i="3"/>
  <c r="AF82" i="3"/>
  <c r="AG82" i="3"/>
  <c r="AH82" i="3"/>
  <c r="AJ82" i="3"/>
  <c r="AK82" i="3"/>
  <c r="AL82" i="3"/>
  <c r="AM82" i="3"/>
  <c r="AN82" i="3"/>
  <c r="AO82" i="3"/>
  <c r="AP82" i="3"/>
  <c r="AQ82" i="3"/>
  <c r="AR82" i="3"/>
  <c r="Y83" i="3"/>
  <c r="Z83" i="3"/>
  <c r="AA83" i="3"/>
  <c r="AB83" i="3"/>
  <c r="AC83" i="3"/>
  <c r="AD83" i="3"/>
  <c r="AE83" i="3"/>
  <c r="AF83" i="3"/>
  <c r="AG83" i="3"/>
  <c r="AH83" i="3"/>
  <c r="AJ83" i="3"/>
  <c r="AK83" i="3"/>
  <c r="AL83" i="3"/>
  <c r="AM83" i="3"/>
  <c r="AN83" i="3"/>
  <c r="AO83" i="3"/>
  <c r="AP83" i="3"/>
  <c r="AQ83" i="3"/>
  <c r="AR83" i="3"/>
  <c r="Y84" i="3"/>
  <c r="Z84" i="3"/>
  <c r="AA84" i="3"/>
  <c r="AB84" i="3"/>
  <c r="AC84" i="3"/>
  <c r="AD84" i="3"/>
  <c r="AE84" i="3"/>
  <c r="AF84" i="3"/>
  <c r="AG84" i="3"/>
  <c r="AH84" i="3"/>
  <c r="AJ84" i="3"/>
  <c r="AK84" i="3"/>
  <c r="AL84" i="3"/>
  <c r="AM84" i="3"/>
  <c r="AN84" i="3"/>
  <c r="AO84" i="3"/>
  <c r="AP84" i="3"/>
  <c r="AQ84" i="3"/>
  <c r="AR84" i="3"/>
  <c r="Y85" i="3"/>
  <c r="Z85" i="3"/>
  <c r="AA85" i="3"/>
  <c r="AB85" i="3"/>
  <c r="AC85" i="3"/>
  <c r="AD85" i="3"/>
  <c r="AE85" i="3"/>
  <c r="AF85" i="3"/>
  <c r="AG85" i="3"/>
  <c r="AH85" i="3"/>
  <c r="AJ85" i="3"/>
  <c r="AK85" i="3"/>
  <c r="AL85" i="3"/>
  <c r="AM85" i="3"/>
  <c r="AN85" i="3"/>
  <c r="AO85" i="3"/>
  <c r="AP85" i="3"/>
  <c r="AQ85" i="3"/>
  <c r="AR85" i="3"/>
  <c r="Y86" i="3"/>
  <c r="Z86" i="3"/>
  <c r="AA86" i="3"/>
  <c r="AB86" i="3"/>
  <c r="AC86" i="3"/>
  <c r="AD86" i="3"/>
  <c r="AE86" i="3"/>
  <c r="AF86" i="3"/>
  <c r="AG86" i="3"/>
  <c r="AH86" i="3"/>
  <c r="AJ86" i="3"/>
  <c r="AK86" i="3"/>
  <c r="AL86" i="3"/>
  <c r="AM86" i="3"/>
  <c r="AN86" i="3"/>
  <c r="AO86" i="3"/>
  <c r="AP86" i="3"/>
  <c r="AQ86" i="3"/>
  <c r="AR86" i="3"/>
  <c r="Y87" i="3"/>
  <c r="Z87" i="3"/>
  <c r="AA87" i="3"/>
  <c r="AB87" i="3"/>
  <c r="AC87" i="3"/>
  <c r="AD87" i="3"/>
  <c r="AE87" i="3"/>
  <c r="AF87" i="3"/>
  <c r="AG87" i="3"/>
  <c r="AH87" i="3"/>
  <c r="AJ87" i="3"/>
  <c r="AK87" i="3"/>
  <c r="AL87" i="3"/>
  <c r="AM87" i="3"/>
  <c r="AN87" i="3"/>
  <c r="AO87" i="3"/>
  <c r="AP87" i="3"/>
  <c r="AQ87" i="3"/>
  <c r="AR87" i="3"/>
  <c r="Y88" i="3"/>
  <c r="Z88" i="3"/>
  <c r="AA88" i="3"/>
  <c r="AB88" i="3"/>
  <c r="AC88" i="3"/>
  <c r="AD88" i="3"/>
  <c r="AE88" i="3"/>
  <c r="AF88" i="3"/>
  <c r="AG88" i="3"/>
  <c r="AH88" i="3"/>
  <c r="AJ88" i="3"/>
  <c r="AK88" i="3"/>
  <c r="AL88" i="3"/>
  <c r="AM88" i="3"/>
  <c r="AN88" i="3"/>
  <c r="AO88" i="3"/>
  <c r="AP88" i="3"/>
  <c r="AQ88" i="3"/>
  <c r="AR88" i="3"/>
  <c r="Y89" i="3"/>
  <c r="Z89" i="3"/>
  <c r="AA89" i="3"/>
  <c r="AB89" i="3"/>
  <c r="AC89" i="3"/>
  <c r="AD89" i="3"/>
  <c r="AE89" i="3"/>
  <c r="AF89" i="3"/>
  <c r="AG89" i="3"/>
  <c r="AH89" i="3"/>
  <c r="AJ89" i="3"/>
  <c r="AK89" i="3"/>
  <c r="AL89" i="3"/>
  <c r="AM89" i="3"/>
  <c r="AN89" i="3"/>
  <c r="AO89" i="3"/>
  <c r="AP89" i="3"/>
  <c r="AQ89" i="3"/>
  <c r="AR89" i="3"/>
  <c r="Y90" i="3"/>
  <c r="Z90" i="3"/>
  <c r="AA90" i="3"/>
  <c r="AB90" i="3"/>
  <c r="AC90" i="3"/>
  <c r="AD90" i="3"/>
  <c r="AE90" i="3"/>
  <c r="AF90" i="3"/>
  <c r="AG90" i="3"/>
  <c r="AH90" i="3"/>
  <c r="AJ90" i="3"/>
  <c r="AK90" i="3"/>
  <c r="AL90" i="3"/>
  <c r="AM90" i="3"/>
  <c r="AN90" i="3"/>
  <c r="AO90" i="3"/>
  <c r="AP90" i="3"/>
  <c r="AQ90" i="3"/>
  <c r="AR90" i="3"/>
  <c r="Y91" i="3"/>
  <c r="Z91" i="3"/>
  <c r="AA91" i="3"/>
  <c r="AB91" i="3"/>
  <c r="AC91" i="3"/>
  <c r="AD91" i="3"/>
  <c r="AE91" i="3"/>
  <c r="AF91" i="3"/>
  <c r="AG91" i="3"/>
  <c r="AH91" i="3"/>
  <c r="AJ91" i="3"/>
  <c r="AK91" i="3"/>
  <c r="AL91" i="3"/>
  <c r="AM91" i="3"/>
  <c r="AN91" i="3"/>
  <c r="AO91" i="3"/>
  <c r="AP91" i="3"/>
  <c r="AQ91" i="3"/>
  <c r="AR91" i="3"/>
  <c r="Y92" i="3"/>
  <c r="Z92" i="3"/>
  <c r="AA92" i="3"/>
  <c r="AB92" i="3"/>
  <c r="AC92" i="3"/>
  <c r="AD92" i="3"/>
  <c r="AE92" i="3"/>
  <c r="AF92" i="3"/>
  <c r="AG92" i="3"/>
  <c r="AH92" i="3"/>
  <c r="AJ92" i="3"/>
  <c r="AK92" i="3"/>
  <c r="AL92" i="3"/>
  <c r="AM92" i="3"/>
  <c r="AN92" i="3"/>
  <c r="AO92" i="3"/>
  <c r="AP92" i="3"/>
  <c r="AQ92" i="3"/>
  <c r="AR92" i="3"/>
  <c r="Y93" i="3"/>
  <c r="Z93" i="3"/>
  <c r="AA93" i="3"/>
  <c r="AB93" i="3"/>
  <c r="AC93" i="3"/>
  <c r="AD93" i="3"/>
  <c r="AE93" i="3"/>
  <c r="AF93" i="3"/>
  <c r="AG93" i="3"/>
  <c r="AH93" i="3"/>
  <c r="AJ93" i="3"/>
  <c r="AK93" i="3"/>
  <c r="AL93" i="3"/>
  <c r="AM93" i="3"/>
  <c r="AN93" i="3"/>
  <c r="AO93" i="3"/>
  <c r="AP93" i="3"/>
  <c r="AQ93" i="3"/>
  <c r="AR93" i="3"/>
  <c r="Y94" i="3"/>
  <c r="Z94" i="3"/>
  <c r="AA94" i="3"/>
  <c r="AB94" i="3"/>
  <c r="AC94" i="3"/>
  <c r="AD94" i="3"/>
  <c r="AE94" i="3"/>
  <c r="AF94" i="3"/>
  <c r="AG94" i="3"/>
  <c r="AH94" i="3"/>
  <c r="AJ94" i="3"/>
  <c r="AK94" i="3"/>
  <c r="AL94" i="3"/>
  <c r="AM94" i="3"/>
  <c r="AN94" i="3"/>
  <c r="AO94" i="3"/>
  <c r="AP94" i="3"/>
  <c r="AQ94" i="3"/>
  <c r="AR94" i="3"/>
  <c r="Y95" i="3"/>
  <c r="Z95" i="3"/>
  <c r="AA95" i="3"/>
  <c r="AB95" i="3"/>
  <c r="AC95" i="3"/>
  <c r="AD95" i="3"/>
  <c r="AE95" i="3"/>
  <c r="AF95" i="3"/>
  <c r="AG95" i="3"/>
  <c r="AH95" i="3"/>
  <c r="AJ95" i="3"/>
  <c r="AK95" i="3"/>
  <c r="AL95" i="3"/>
  <c r="AM95" i="3"/>
  <c r="AN95" i="3"/>
  <c r="AO95" i="3"/>
  <c r="AP95" i="3"/>
  <c r="AQ95" i="3"/>
  <c r="AR95" i="3"/>
  <c r="Y96" i="3"/>
  <c r="Z96" i="3"/>
  <c r="AA96" i="3"/>
  <c r="AB96" i="3"/>
  <c r="AC96" i="3"/>
  <c r="AD96" i="3"/>
  <c r="AE96" i="3"/>
  <c r="AF96" i="3"/>
  <c r="AG96" i="3"/>
  <c r="AH96" i="3"/>
  <c r="AJ96" i="3"/>
  <c r="AK96" i="3"/>
  <c r="AL96" i="3"/>
  <c r="AM96" i="3"/>
  <c r="AN96" i="3"/>
  <c r="AO96" i="3"/>
  <c r="AP96" i="3"/>
  <c r="AQ96" i="3"/>
  <c r="AR96" i="3"/>
  <c r="Y97" i="3"/>
  <c r="Z97" i="3"/>
  <c r="AA97" i="3"/>
  <c r="AB97" i="3"/>
  <c r="AC97" i="3"/>
  <c r="AD97" i="3"/>
  <c r="AE97" i="3"/>
  <c r="AF97" i="3"/>
  <c r="AG97" i="3"/>
  <c r="AH97" i="3"/>
  <c r="AJ97" i="3"/>
  <c r="AK97" i="3"/>
  <c r="AL97" i="3"/>
  <c r="AM97" i="3"/>
  <c r="AN97" i="3"/>
  <c r="AO97" i="3"/>
  <c r="AP97" i="3"/>
  <c r="AQ97" i="3"/>
  <c r="AR97" i="3"/>
  <c r="Y98" i="3"/>
  <c r="Z98" i="3"/>
  <c r="AA98" i="3"/>
  <c r="AB98" i="3"/>
  <c r="AC98" i="3"/>
  <c r="AD98" i="3"/>
  <c r="AF98" i="3"/>
  <c r="AG98" i="3"/>
  <c r="AH98" i="3"/>
  <c r="AJ98" i="3"/>
  <c r="AK98" i="3"/>
  <c r="AL98" i="3"/>
  <c r="AM98" i="3"/>
  <c r="AN98" i="3"/>
  <c r="AO98" i="3"/>
  <c r="AP98" i="3"/>
  <c r="AQ98" i="3"/>
  <c r="AR98" i="3"/>
  <c r="Y99" i="3"/>
  <c r="Z99" i="3"/>
  <c r="AA99" i="3"/>
  <c r="AB99" i="3"/>
  <c r="AC99" i="3"/>
  <c r="AD99" i="3"/>
  <c r="AE99" i="3"/>
  <c r="AF99" i="3"/>
  <c r="AG99" i="3"/>
  <c r="AH99" i="3"/>
  <c r="AJ99" i="3"/>
  <c r="AK99" i="3"/>
  <c r="AL99" i="3"/>
  <c r="AM99" i="3"/>
  <c r="AN99" i="3"/>
  <c r="AO99" i="3"/>
  <c r="AP99" i="3"/>
  <c r="AQ99" i="3"/>
  <c r="AR99" i="3"/>
  <c r="Y100" i="3"/>
  <c r="Z100" i="3"/>
  <c r="AA100" i="3"/>
  <c r="AB100" i="3"/>
  <c r="AC100" i="3"/>
  <c r="AD100" i="3"/>
  <c r="AE100" i="3"/>
  <c r="AF100" i="3"/>
  <c r="AG100" i="3"/>
  <c r="AH100" i="3"/>
  <c r="AJ100" i="3"/>
  <c r="AK100" i="3"/>
  <c r="AL100" i="3"/>
  <c r="AM100" i="3"/>
  <c r="AN100" i="3"/>
  <c r="AO100" i="3"/>
  <c r="AP100" i="3"/>
  <c r="AQ100" i="3"/>
  <c r="AR100" i="3"/>
  <c r="Y101" i="3"/>
  <c r="Z101" i="3"/>
  <c r="AA101" i="3"/>
  <c r="AB101" i="3"/>
  <c r="AC101" i="3"/>
  <c r="AD101" i="3"/>
  <c r="AE101" i="3"/>
  <c r="AF101" i="3"/>
  <c r="AG101" i="3"/>
  <c r="AH101" i="3"/>
  <c r="AJ101" i="3"/>
  <c r="AK101" i="3"/>
  <c r="AL101" i="3"/>
  <c r="AM101" i="3"/>
  <c r="AN101" i="3"/>
  <c r="AO101" i="3"/>
  <c r="AP101" i="3"/>
  <c r="AQ101" i="3"/>
  <c r="AR101" i="3"/>
  <c r="Y102" i="3"/>
  <c r="Z102" i="3"/>
  <c r="AA102" i="3"/>
  <c r="AB102" i="3"/>
  <c r="AC102" i="3"/>
  <c r="AD102" i="3"/>
  <c r="AE102" i="3"/>
  <c r="AF102" i="3"/>
  <c r="AG102" i="3"/>
  <c r="AH102" i="3"/>
  <c r="AJ102" i="3"/>
  <c r="AK102" i="3"/>
  <c r="AL102" i="3"/>
  <c r="AM102" i="3"/>
  <c r="AN102" i="3"/>
  <c r="AO102" i="3"/>
  <c r="AP102" i="3"/>
  <c r="AQ102" i="3"/>
  <c r="AR102" i="3"/>
  <c r="Y103" i="3"/>
  <c r="Z103" i="3"/>
  <c r="AA103" i="3"/>
  <c r="AB103" i="3"/>
  <c r="AC103" i="3"/>
  <c r="AD103" i="3"/>
  <c r="AE103" i="3"/>
  <c r="AF103" i="3"/>
  <c r="AG103" i="3"/>
  <c r="AH103" i="3"/>
  <c r="AJ103" i="3"/>
  <c r="AK103" i="3"/>
  <c r="AL103" i="3"/>
  <c r="AM103" i="3"/>
  <c r="AN103" i="3"/>
  <c r="AO103" i="3"/>
  <c r="AP103" i="3"/>
  <c r="AQ103" i="3"/>
  <c r="AR103" i="3"/>
  <c r="Y104" i="3"/>
  <c r="Z104" i="3"/>
  <c r="AA104" i="3"/>
  <c r="AB104" i="3"/>
  <c r="AC104" i="3"/>
  <c r="AD104" i="3"/>
  <c r="AE104" i="3"/>
  <c r="AF104" i="3"/>
  <c r="AG104" i="3"/>
  <c r="AH104" i="3"/>
  <c r="AJ104" i="3"/>
  <c r="AK104" i="3"/>
  <c r="AL104" i="3"/>
  <c r="AM104" i="3"/>
  <c r="AN104" i="3"/>
  <c r="AO104" i="3"/>
  <c r="AP104" i="3"/>
  <c r="AQ104" i="3"/>
  <c r="AR104" i="3"/>
  <c r="Y105" i="3"/>
  <c r="Z105" i="3"/>
  <c r="AA105" i="3"/>
  <c r="AB105" i="3"/>
  <c r="AC105" i="3"/>
  <c r="AD105" i="3"/>
  <c r="AE105" i="3"/>
  <c r="AF105" i="3"/>
  <c r="AG105" i="3"/>
  <c r="AH105" i="3"/>
  <c r="AJ105" i="3"/>
  <c r="AK105" i="3"/>
  <c r="AL105" i="3"/>
  <c r="AM105" i="3"/>
  <c r="AN105" i="3"/>
  <c r="AO105" i="3"/>
  <c r="AP105" i="3"/>
  <c r="AQ105" i="3"/>
  <c r="AR105" i="3"/>
  <c r="Y106" i="3"/>
  <c r="Z106" i="3"/>
  <c r="AA106" i="3"/>
  <c r="AB106" i="3"/>
  <c r="AC106" i="3"/>
  <c r="AD106" i="3"/>
  <c r="AE106" i="3"/>
  <c r="AF106" i="3"/>
  <c r="AG106" i="3"/>
  <c r="AH106" i="3"/>
  <c r="AJ106" i="3"/>
  <c r="AK106" i="3"/>
  <c r="AL106" i="3"/>
  <c r="AM106" i="3"/>
  <c r="AN106" i="3"/>
  <c r="AO106" i="3"/>
  <c r="AP106" i="3"/>
  <c r="AQ106" i="3"/>
  <c r="AR106" i="3"/>
  <c r="Y107" i="3"/>
  <c r="Z107" i="3"/>
  <c r="AA107" i="3"/>
  <c r="AB107" i="3"/>
  <c r="AC107" i="3"/>
  <c r="AD107" i="3"/>
  <c r="AE107" i="3"/>
  <c r="AF107" i="3"/>
  <c r="AG107" i="3"/>
  <c r="AH107" i="3"/>
  <c r="AJ107" i="3"/>
  <c r="AK107" i="3"/>
  <c r="AL107" i="3"/>
  <c r="AM107" i="3"/>
  <c r="AN107" i="3"/>
  <c r="AO107" i="3"/>
  <c r="AP107" i="3"/>
  <c r="AQ107" i="3"/>
  <c r="AR107" i="3"/>
  <c r="Y108" i="3"/>
  <c r="Z108" i="3"/>
  <c r="AA108" i="3"/>
  <c r="AB108" i="3"/>
  <c r="AC108" i="3"/>
  <c r="AD108" i="3"/>
  <c r="AE108" i="3"/>
  <c r="AF108" i="3"/>
  <c r="AG108" i="3"/>
  <c r="AH108" i="3"/>
  <c r="AJ108" i="3"/>
  <c r="AK108" i="3"/>
  <c r="AL108" i="3"/>
  <c r="AM108" i="3"/>
  <c r="AN108" i="3"/>
  <c r="AO108" i="3"/>
  <c r="AP108" i="3"/>
  <c r="AQ108" i="3"/>
  <c r="AR108" i="3"/>
  <c r="Y109" i="3"/>
  <c r="Z109" i="3"/>
  <c r="AA109" i="3"/>
  <c r="AB109" i="3"/>
  <c r="AC109" i="3"/>
  <c r="AD109" i="3"/>
  <c r="AE109" i="3"/>
  <c r="AF109" i="3"/>
  <c r="AG109" i="3"/>
  <c r="AH109" i="3"/>
  <c r="AJ109" i="3"/>
  <c r="AK109" i="3"/>
  <c r="AL109" i="3"/>
  <c r="AM109" i="3"/>
  <c r="AN109" i="3"/>
  <c r="AO109" i="3"/>
  <c r="AP109" i="3"/>
  <c r="AQ109" i="3"/>
  <c r="AR109" i="3"/>
  <c r="Y110" i="3"/>
  <c r="Z110" i="3"/>
  <c r="AA110" i="3"/>
  <c r="AB110" i="3"/>
  <c r="AC110" i="3"/>
  <c r="AD110" i="3"/>
  <c r="AE110" i="3"/>
  <c r="AF110" i="3"/>
  <c r="AG110" i="3"/>
  <c r="AH110" i="3"/>
  <c r="AJ110" i="3"/>
  <c r="AK110" i="3"/>
  <c r="AL110" i="3"/>
  <c r="AM110" i="3"/>
  <c r="AN110" i="3"/>
  <c r="AO110" i="3"/>
  <c r="AP110" i="3"/>
  <c r="AQ110" i="3"/>
  <c r="AR110" i="3"/>
  <c r="Y111" i="3"/>
  <c r="Z111" i="3"/>
  <c r="AA111" i="3"/>
  <c r="AB111" i="3"/>
  <c r="AC111" i="3"/>
  <c r="AD111" i="3"/>
  <c r="AE111" i="3"/>
  <c r="AF111" i="3"/>
  <c r="AG111" i="3"/>
  <c r="AH111" i="3"/>
  <c r="AJ111" i="3"/>
  <c r="AK111" i="3"/>
  <c r="AL111" i="3"/>
  <c r="AM111" i="3"/>
  <c r="AN111" i="3"/>
  <c r="AO111" i="3"/>
  <c r="AP111" i="3"/>
  <c r="AQ111" i="3"/>
  <c r="AR111" i="3"/>
  <c r="Y112" i="3"/>
  <c r="Z112" i="3"/>
  <c r="AA112" i="3"/>
  <c r="AB112" i="3"/>
  <c r="AC112" i="3"/>
  <c r="AD112" i="3"/>
  <c r="AE112" i="3"/>
  <c r="AF112" i="3"/>
  <c r="AG112" i="3"/>
  <c r="AH112" i="3"/>
  <c r="AJ112" i="3"/>
  <c r="AK112" i="3"/>
  <c r="AL112" i="3"/>
  <c r="AM112" i="3"/>
  <c r="AN112" i="3"/>
  <c r="AO112" i="3"/>
  <c r="AP112" i="3"/>
  <c r="AQ112" i="3"/>
  <c r="AR112" i="3"/>
  <c r="Y113" i="3"/>
  <c r="Z113" i="3"/>
  <c r="AA113" i="3"/>
  <c r="AB113" i="3"/>
  <c r="AC113" i="3"/>
  <c r="AD113" i="3"/>
  <c r="AE113" i="3"/>
  <c r="AF113" i="3"/>
  <c r="AG113" i="3"/>
  <c r="AH113" i="3"/>
  <c r="AJ113" i="3"/>
  <c r="AK113" i="3"/>
  <c r="AL113" i="3"/>
  <c r="AM113" i="3"/>
  <c r="AN113" i="3"/>
  <c r="AO113" i="3"/>
  <c r="AP113" i="3"/>
  <c r="AQ113" i="3"/>
  <c r="AR113" i="3"/>
  <c r="Y114" i="3"/>
  <c r="Z114" i="3"/>
  <c r="AA114" i="3"/>
  <c r="AB114" i="3"/>
  <c r="AC114" i="3"/>
  <c r="AD114" i="3"/>
  <c r="AE114" i="3"/>
  <c r="AF114" i="3"/>
  <c r="AG114" i="3"/>
  <c r="AH114" i="3"/>
  <c r="AJ114" i="3"/>
  <c r="AK114" i="3"/>
  <c r="AL114" i="3"/>
  <c r="AM114" i="3"/>
  <c r="AN114" i="3"/>
  <c r="AO114" i="3"/>
  <c r="AP114" i="3"/>
  <c r="AQ114" i="3"/>
  <c r="AR114" i="3"/>
  <c r="Y115" i="3"/>
  <c r="Z115" i="3"/>
  <c r="AA115" i="3"/>
  <c r="AB115" i="3"/>
  <c r="AC115" i="3"/>
  <c r="AD115" i="3"/>
  <c r="AE115" i="3"/>
  <c r="AF115" i="3"/>
  <c r="AG115" i="3"/>
  <c r="AH115" i="3"/>
  <c r="AJ115" i="3"/>
  <c r="AK115" i="3"/>
  <c r="AL115" i="3"/>
  <c r="AM115" i="3"/>
  <c r="AN115" i="3"/>
  <c r="AO115" i="3"/>
  <c r="AP115" i="3"/>
  <c r="AQ115" i="3"/>
  <c r="AR115" i="3"/>
  <c r="Y116" i="3"/>
  <c r="Z116" i="3"/>
  <c r="AA116" i="3"/>
  <c r="AB116" i="3"/>
  <c r="AC116" i="3"/>
  <c r="AD116" i="3"/>
  <c r="AE116" i="3"/>
  <c r="AF116" i="3"/>
  <c r="AG116" i="3"/>
  <c r="AH116" i="3"/>
  <c r="AJ116" i="3"/>
  <c r="AK116" i="3"/>
  <c r="AL116" i="3"/>
  <c r="AM116" i="3"/>
  <c r="AN116" i="3"/>
  <c r="AO116" i="3"/>
  <c r="AP116" i="3"/>
  <c r="AQ116" i="3"/>
  <c r="AR116" i="3"/>
  <c r="Y117" i="3"/>
  <c r="Z117" i="3"/>
  <c r="AA117" i="3"/>
  <c r="AB117" i="3"/>
  <c r="AC117" i="3"/>
  <c r="AD117" i="3"/>
  <c r="AE117" i="3"/>
  <c r="AF117" i="3"/>
  <c r="AG117" i="3"/>
  <c r="AH117" i="3"/>
  <c r="AJ117" i="3"/>
  <c r="AK117" i="3"/>
  <c r="AL117" i="3"/>
  <c r="AM117" i="3"/>
  <c r="AN117" i="3"/>
  <c r="AO117" i="3"/>
  <c r="AP117" i="3"/>
  <c r="AQ117" i="3"/>
  <c r="AR117" i="3"/>
  <c r="Y118" i="3"/>
  <c r="Z118" i="3"/>
  <c r="AA118" i="3"/>
  <c r="AB118" i="3"/>
  <c r="AC118" i="3"/>
  <c r="AD118" i="3"/>
  <c r="AE118" i="3"/>
  <c r="AF118" i="3"/>
  <c r="AG118" i="3"/>
  <c r="AH118" i="3"/>
  <c r="AJ118" i="3"/>
  <c r="AK118" i="3"/>
  <c r="AL118" i="3"/>
  <c r="AM118" i="3"/>
  <c r="AN118" i="3"/>
  <c r="AO118" i="3"/>
  <c r="AP118" i="3"/>
  <c r="AQ118" i="3"/>
  <c r="AR118" i="3"/>
  <c r="Y119" i="3"/>
  <c r="Z119" i="3"/>
  <c r="AA119" i="3"/>
  <c r="AB119" i="3"/>
  <c r="AC119" i="3"/>
  <c r="AD119" i="3"/>
  <c r="AE119" i="3"/>
  <c r="AF119" i="3"/>
  <c r="AG119" i="3"/>
  <c r="AH119" i="3"/>
  <c r="AJ119" i="3"/>
  <c r="AK119" i="3"/>
  <c r="AL119" i="3"/>
  <c r="AM119" i="3"/>
  <c r="AN119" i="3"/>
  <c r="AO119" i="3"/>
  <c r="AP119" i="3"/>
  <c r="AQ119" i="3"/>
  <c r="AR119" i="3"/>
  <c r="Y120" i="3"/>
  <c r="Z120" i="3"/>
  <c r="AA120" i="3"/>
  <c r="AB120" i="3"/>
  <c r="AC120" i="3"/>
  <c r="AD120" i="3"/>
  <c r="AE120" i="3"/>
  <c r="AF120" i="3"/>
  <c r="AG120" i="3"/>
  <c r="AH120" i="3"/>
  <c r="AJ120" i="3"/>
  <c r="AK120" i="3"/>
  <c r="AL120" i="3"/>
  <c r="AM120" i="3"/>
  <c r="AN120" i="3"/>
  <c r="AO120" i="3"/>
  <c r="AP120" i="3"/>
  <c r="AQ120" i="3"/>
  <c r="AR120" i="3"/>
  <c r="Y121" i="3"/>
  <c r="Z121" i="3"/>
  <c r="AA121" i="3"/>
  <c r="AB121" i="3"/>
  <c r="AC121" i="3"/>
  <c r="AD121" i="3"/>
  <c r="AE121" i="3"/>
  <c r="AF121" i="3"/>
  <c r="AG121" i="3"/>
  <c r="AH121" i="3"/>
  <c r="AJ121" i="3"/>
  <c r="AK121" i="3"/>
  <c r="AL121" i="3"/>
  <c r="AM121" i="3"/>
  <c r="AN121" i="3"/>
  <c r="AO121" i="3"/>
  <c r="AP121" i="3"/>
  <c r="AQ121" i="3"/>
  <c r="AR121" i="3"/>
  <c r="Y122" i="3"/>
  <c r="Z122" i="3"/>
  <c r="AA122" i="3"/>
  <c r="AB122" i="3"/>
  <c r="AC122" i="3"/>
  <c r="AD122" i="3"/>
  <c r="AE122" i="3"/>
  <c r="AF122" i="3"/>
  <c r="AG122" i="3"/>
  <c r="AH122" i="3"/>
  <c r="AJ122" i="3"/>
  <c r="AK122" i="3"/>
  <c r="AL122" i="3"/>
  <c r="AM122" i="3"/>
  <c r="AN122" i="3"/>
  <c r="AO122" i="3"/>
  <c r="AP122" i="3"/>
  <c r="AQ122" i="3"/>
  <c r="AR122" i="3"/>
  <c r="Y123" i="3"/>
  <c r="Z123" i="3"/>
  <c r="AA123" i="3"/>
  <c r="AB123" i="3"/>
  <c r="AC123" i="3"/>
  <c r="AD123" i="3"/>
  <c r="AE123" i="3"/>
  <c r="AF123" i="3"/>
  <c r="AG123" i="3"/>
  <c r="AH123" i="3"/>
  <c r="AJ123" i="3"/>
  <c r="AK123" i="3"/>
  <c r="AL123" i="3"/>
  <c r="AM123" i="3"/>
  <c r="AN123" i="3"/>
  <c r="AO123" i="3"/>
  <c r="AP123" i="3"/>
  <c r="AQ123" i="3"/>
  <c r="AR123" i="3"/>
  <c r="Y124" i="3"/>
  <c r="Z124" i="3"/>
  <c r="AA124" i="3"/>
  <c r="AB124" i="3"/>
  <c r="AC124" i="3"/>
  <c r="AD124" i="3"/>
  <c r="AE124" i="3"/>
  <c r="AF124" i="3"/>
  <c r="AG124" i="3"/>
  <c r="AH124" i="3"/>
  <c r="AJ124" i="3"/>
  <c r="AK124" i="3"/>
  <c r="AL124" i="3"/>
  <c r="AM124" i="3"/>
  <c r="AN124" i="3"/>
  <c r="AO124" i="3"/>
  <c r="AP124" i="3"/>
  <c r="AQ124" i="3"/>
  <c r="AR124" i="3"/>
  <c r="Y125" i="3"/>
  <c r="Z125" i="3"/>
  <c r="AA125" i="3"/>
  <c r="AB125" i="3"/>
  <c r="AC125" i="3"/>
  <c r="AD125" i="3"/>
  <c r="AE125" i="3"/>
  <c r="AF125" i="3"/>
  <c r="AG125" i="3"/>
  <c r="AH125" i="3"/>
  <c r="AJ125" i="3"/>
  <c r="AK125" i="3"/>
  <c r="AL125" i="3"/>
  <c r="AM125" i="3"/>
  <c r="AN125" i="3"/>
  <c r="AO125" i="3"/>
  <c r="AP125" i="3"/>
  <c r="AQ125" i="3"/>
  <c r="AR125" i="3"/>
  <c r="Y126" i="3"/>
  <c r="Z126" i="3"/>
  <c r="AA126" i="3"/>
  <c r="AB126" i="3"/>
  <c r="AC126" i="3"/>
  <c r="AD126" i="3"/>
  <c r="AE126" i="3"/>
  <c r="AF126" i="3"/>
  <c r="AG126" i="3"/>
  <c r="AH126" i="3"/>
  <c r="AJ126" i="3"/>
  <c r="AK126" i="3"/>
  <c r="AL126" i="3"/>
  <c r="AM126" i="3"/>
  <c r="AN126" i="3"/>
  <c r="AO126" i="3"/>
  <c r="AP126" i="3"/>
  <c r="AQ126" i="3"/>
  <c r="AR126" i="3"/>
  <c r="Y127" i="3"/>
  <c r="Z127" i="3"/>
  <c r="AA127" i="3"/>
  <c r="AB127" i="3"/>
  <c r="AC127" i="3"/>
  <c r="AD127" i="3"/>
  <c r="AE127" i="3"/>
  <c r="AF127" i="3"/>
  <c r="AG127" i="3"/>
  <c r="AH127" i="3"/>
  <c r="AJ127" i="3"/>
  <c r="AK127" i="3"/>
  <c r="AL127" i="3"/>
  <c r="AM127" i="3"/>
  <c r="AN127" i="3"/>
  <c r="AO127" i="3"/>
  <c r="AP127" i="3"/>
  <c r="AQ127" i="3"/>
  <c r="AR127" i="3"/>
  <c r="Y128" i="3"/>
  <c r="Z128" i="3"/>
  <c r="AA128" i="3"/>
  <c r="AB128" i="3"/>
  <c r="AC128" i="3"/>
  <c r="AD128" i="3"/>
  <c r="AE128" i="3"/>
  <c r="AF128" i="3"/>
  <c r="AG128" i="3"/>
  <c r="AH128" i="3"/>
  <c r="AJ128" i="3"/>
  <c r="AK128" i="3"/>
  <c r="AL128" i="3"/>
  <c r="AM128" i="3"/>
  <c r="AN128" i="3"/>
  <c r="AO128" i="3"/>
  <c r="AP128" i="3"/>
  <c r="AQ128" i="3"/>
  <c r="AR128" i="3"/>
  <c r="Y129" i="3"/>
  <c r="Z129" i="3"/>
  <c r="AA129" i="3"/>
  <c r="AB129" i="3"/>
  <c r="AC129" i="3"/>
  <c r="AD129" i="3"/>
  <c r="AE129" i="3"/>
  <c r="AF129" i="3"/>
  <c r="AG129" i="3"/>
  <c r="AH129" i="3"/>
  <c r="AJ129" i="3"/>
  <c r="AK129" i="3"/>
  <c r="AL129" i="3"/>
  <c r="AM129" i="3"/>
  <c r="AN129" i="3"/>
  <c r="AO129" i="3"/>
  <c r="AP129" i="3"/>
  <c r="AQ129" i="3"/>
  <c r="AR129" i="3"/>
  <c r="Y130" i="3"/>
  <c r="Z130" i="3"/>
  <c r="AA130" i="3"/>
  <c r="AB130" i="3"/>
  <c r="AC130" i="3"/>
  <c r="AD130" i="3"/>
  <c r="AE130" i="3"/>
  <c r="AF130" i="3"/>
  <c r="AG130" i="3"/>
  <c r="AH130" i="3"/>
  <c r="AJ130" i="3"/>
  <c r="AK130" i="3"/>
  <c r="AL130" i="3"/>
  <c r="AM130" i="3"/>
  <c r="AN130" i="3"/>
  <c r="AO130" i="3"/>
  <c r="AP130" i="3"/>
  <c r="AQ130" i="3"/>
  <c r="AR130" i="3"/>
  <c r="Y131" i="3"/>
  <c r="Z131" i="3"/>
  <c r="AA131" i="3"/>
  <c r="AB131" i="3"/>
  <c r="AC131" i="3"/>
  <c r="AD131" i="3"/>
  <c r="AE131" i="3"/>
  <c r="AF131" i="3"/>
  <c r="AG131" i="3"/>
  <c r="AH131" i="3"/>
  <c r="AJ131" i="3"/>
  <c r="AK131" i="3"/>
  <c r="AL131" i="3"/>
  <c r="AM131" i="3"/>
  <c r="AN131" i="3"/>
  <c r="AO131" i="3"/>
  <c r="AP131" i="3"/>
  <c r="AQ131" i="3"/>
  <c r="AR131" i="3"/>
  <c r="Y132" i="3"/>
  <c r="Z132" i="3"/>
  <c r="AA132" i="3"/>
  <c r="AB132" i="3"/>
  <c r="AC132" i="3"/>
  <c r="AD132" i="3"/>
  <c r="AE132" i="3"/>
  <c r="AF132" i="3"/>
  <c r="AG132" i="3"/>
  <c r="AH132" i="3"/>
  <c r="AJ132" i="3"/>
  <c r="AK132" i="3"/>
  <c r="AL132" i="3"/>
  <c r="AM132" i="3"/>
  <c r="AN132" i="3"/>
  <c r="AO132" i="3"/>
  <c r="AP132" i="3"/>
  <c r="AQ132" i="3"/>
  <c r="AR132" i="3"/>
  <c r="Y133" i="3"/>
  <c r="Z133" i="3"/>
  <c r="AA133" i="3"/>
  <c r="AB133" i="3"/>
  <c r="AC133" i="3"/>
  <c r="AD133" i="3"/>
  <c r="AE133" i="3"/>
  <c r="AF133" i="3"/>
  <c r="AG133" i="3"/>
  <c r="AH133" i="3"/>
  <c r="AJ133" i="3"/>
  <c r="AK133" i="3"/>
  <c r="AL133" i="3"/>
  <c r="AM133" i="3"/>
  <c r="AN133" i="3"/>
  <c r="AO133" i="3"/>
  <c r="AP133" i="3"/>
  <c r="AQ133" i="3"/>
  <c r="AR133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" i="3"/>
  <c r="V133" i="3"/>
  <c r="M133" i="3"/>
  <c r="AI133" i="3" s="1"/>
  <c r="V132" i="3"/>
  <c r="M132" i="3"/>
  <c r="AI132" i="3" s="1"/>
  <c r="V131" i="3"/>
  <c r="M131" i="3"/>
  <c r="AI131" i="3" s="1"/>
  <c r="V130" i="3"/>
  <c r="M130" i="3"/>
  <c r="AI130" i="3" s="1"/>
  <c r="V129" i="3"/>
  <c r="M129" i="3"/>
  <c r="AI129" i="3" s="1"/>
  <c r="V128" i="3"/>
  <c r="M128" i="3"/>
  <c r="AI128" i="3" s="1"/>
  <c r="V127" i="3"/>
  <c r="M127" i="3"/>
  <c r="AI127" i="3" s="1"/>
  <c r="V126" i="3"/>
  <c r="M126" i="3"/>
  <c r="AI126" i="3" s="1"/>
  <c r="V125" i="3"/>
  <c r="M125" i="3"/>
  <c r="AI125" i="3" s="1"/>
  <c r="V124" i="3"/>
  <c r="M124" i="3"/>
  <c r="AI124" i="3" s="1"/>
  <c r="V123" i="3"/>
  <c r="M123" i="3"/>
  <c r="AI123" i="3" s="1"/>
  <c r="V122" i="3"/>
  <c r="M122" i="3"/>
  <c r="AI122" i="3" s="1"/>
  <c r="V121" i="3"/>
  <c r="M121" i="3"/>
  <c r="AI121" i="3" s="1"/>
  <c r="V120" i="3"/>
  <c r="M120" i="3"/>
  <c r="AI120" i="3" s="1"/>
  <c r="V119" i="3"/>
  <c r="M119" i="3"/>
  <c r="AI119" i="3" s="1"/>
  <c r="V118" i="3"/>
  <c r="M118" i="3"/>
  <c r="AI118" i="3" s="1"/>
  <c r="V117" i="3"/>
  <c r="M117" i="3"/>
  <c r="AI117" i="3" s="1"/>
  <c r="V116" i="3"/>
  <c r="M116" i="3"/>
  <c r="AI116" i="3" s="1"/>
  <c r="V115" i="3"/>
  <c r="M115" i="3"/>
  <c r="AI115" i="3" s="1"/>
  <c r="V114" i="3"/>
  <c r="M114" i="3"/>
  <c r="AI114" i="3" s="1"/>
  <c r="V113" i="3"/>
  <c r="M113" i="3"/>
  <c r="AI113" i="3" s="1"/>
  <c r="V112" i="3"/>
  <c r="M112" i="3"/>
  <c r="AI112" i="3" s="1"/>
  <c r="V111" i="3"/>
  <c r="M111" i="3"/>
  <c r="AI111" i="3" s="1"/>
  <c r="V110" i="3"/>
  <c r="M110" i="3"/>
  <c r="AI110" i="3" s="1"/>
  <c r="V109" i="3"/>
  <c r="M109" i="3"/>
  <c r="AI109" i="3" s="1"/>
  <c r="V108" i="3"/>
  <c r="M108" i="3"/>
  <c r="AI108" i="3" s="1"/>
  <c r="V107" i="3"/>
  <c r="M107" i="3"/>
  <c r="AI107" i="3" s="1"/>
  <c r="V106" i="3"/>
  <c r="M106" i="3"/>
  <c r="AI106" i="3" s="1"/>
  <c r="V105" i="3"/>
  <c r="M105" i="3"/>
  <c r="AI105" i="3" s="1"/>
  <c r="V104" i="3"/>
  <c r="M104" i="3"/>
  <c r="AI104" i="3" s="1"/>
  <c r="V103" i="3"/>
  <c r="M103" i="3"/>
  <c r="AI103" i="3" s="1"/>
  <c r="V102" i="3"/>
  <c r="M102" i="3"/>
  <c r="AI102" i="3" s="1"/>
  <c r="V101" i="3"/>
  <c r="M101" i="3"/>
  <c r="AI101" i="3" s="1"/>
  <c r="V100" i="3"/>
  <c r="M100" i="3"/>
  <c r="AI100" i="3" s="1"/>
  <c r="V99" i="3"/>
  <c r="M99" i="3"/>
  <c r="AI99" i="3" s="1"/>
  <c r="V98" i="3"/>
  <c r="M98" i="3"/>
  <c r="AI98" i="3" s="1"/>
  <c r="V97" i="3"/>
  <c r="M97" i="3"/>
  <c r="AI97" i="3" s="1"/>
  <c r="V96" i="3"/>
  <c r="M96" i="3"/>
  <c r="AI96" i="3" s="1"/>
  <c r="V95" i="3"/>
  <c r="M95" i="3"/>
  <c r="AI95" i="3" s="1"/>
  <c r="V94" i="3"/>
  <c r="M94" i="3"/>
  <c r="AI94" i="3" s="1"/>
  <c r="V93" i="3"/>
  <c r="M93" i="3"/>
  <c r="AI93" i="3" s="1"/>
  <c r="V92" i="3"/>
  <c r="M92" i="3"/>
  <c r="AI92" i="3" s="1"/>
  <c r="V91" i="3"/>
  <c r="M91" i="3"/>
  <c r="AI91" i="3" s="1"/>
  <c r="V90" i="3"/>
  <c r="M90" i="3"/>
  <c r="AI90" i="3" s="1"/>
  <c r="V89" i="3"/>
  <c r="M89" i="3"/>
  <c r="AI89" i="3" s="1"/>
  <c r="V88" i="3"/>
  <c r="M88" i="3"/>
  <c r="AI88" i="3" s="1"/>
  <c r="V87" i="3"/>
  <c r="M87" i="3"/>
  <c r="AI87" i="3" s="1"/>
  <c r="V86" i="3"/>
  <c r="M86" i="3"/>
  <c r="AI86" i="3" s="1"/>
  <c r="V85" i="3"/>
  <c r="M85" i="3"/>
  <c r="AI85" i="3" s="1"/>
  <c r="V84" i="3"/>
  <c r="M84" i="3"/>
  <c r="AI84" i="3" s="1"/>
  <c r="V83" i="3"/>
  <c r="M83" i="3"/>
  <c r="AI83" i="3" s="1"/>
  <c r="V82" i="3"/>
  <c r="M82" i="3"/>
  <c r="AI82" i="3" s="1"/>
  <c r="V81" i="3"/>
  <c r="M81" i="3"/>
  <c r="AI81" i="3" s="1"/>
  <c r="V80" i="3"/>
  <c r="M80" i="3"/>
  <c r="AI80" i="3" s="1"/>
  <c r="V79" i="3"/>
  <c r="M79" i="3"/>
  <c r="AI79" i="3" s="1"/>
  <c r="V78" i="3"/>
  <c r="M78" i="3"/>
  <c r="AI78" i="3" s="1"/>
  <c r="V77" i="3"/>
  <c r="M77" i="3"/>
  <c r="AI77" i="3" s="1"/>
  <c r="V76" i="3"/>
  <c r="M76" i="3"/>
  <c r="AI76" i="3" s="1"/>
  <c r="V75" i="3"/>
  <c r="M75" i="3"/>
  <c r="AI75" i="3" s="1"/>
  <c r="V74" i="3"/>
  <c r="M74" i="3"/>
  <c r="AI74" i="3" s="1"/>
  <c r="V73" i="3"/>
  <c r="M73" i="3"/>
  <c r="AI73" i="3" s="1"/>
  <c r="V72" i="3"/>
  <c r="M72" i="3"/>
  <c r="AI72" i="3" s="1"/>
  <c r="V71" i="3"/>
  <c r="M71" i="3"/>
  <c r="AI71" i="3" s="1"/>
  <c r="V70" i="3"/>
  <c r="M70" i="3"/>
  <c r="AI70" i="3" s="1"/>
  <c r="V69" i="3"/>
  <c r="M69" i="3"/>
  <c r="AI69" i="3" s="1"/>
  <c r="V68" i="3"/>
  <c r="M68" i="3"/>
  <c r="AI68" i="3" s="1"/>
  <c r="V67" i="3"/>
  <c r="M67" i="3"/>
  <c r="AI67" i="3" s="1"/>
  <c r="V66" i="3"/>
  <c r="M66" i="3"/>
  <c r="AI66" i="3" s="1"/>
  <c r="V65" i="3"/>
  <c r="M65" i="3"/>
  <c r="AI65" i="3" s="1"/>
  <c r="V64" i="3"/>
  <c r="M64" i="3"/>
  <c r="AI64" i="3" s="1"/>
  <c r="V63" i="3"/>
  <c r="M63" i="3"/>
  <c r="AI63" i="3" s="1"/>
  <c r="V62" i="3"/>
  <c r="M62" i="3"/>
  <c r="AI62" i="3" s="1"/>
  <c r="V61" i="3"/>
  <c r="M61" i="3"/>
  <c r="AI61" i="3" s="1"/>
  <c r="V60" i="3"/>
  <c r="M60" i="3"/>
  <c r="AI60" i="3" s="1"/>
  <c r="V59" i="3"/>
  <c r="M59" i="3"/>
  <c r="AI59" i="3" s="1"/>
  <c r="V58" i="3"/>
  <c r="M58" i="3"/>
  <c r="AI58" i="3" s="1"/>
  <c r="V57" i="3"/>
  <c r="M57" i="3"/>
  <c r="AI57" i="3" s="1"/>
  <c r="V56" i="3"/>
  <c r="M56" i="3"/>
  <c r="AI56" i="3" s="1"/>
  <c r="V55" i="3"/>
  <c r="M55" i="3"/>
  <c r="AI55" i="3" s="1"/>
  <c r="V54" i="3"/>
  <c r="M54" i="3"/>
  <c r="AI54" i="3" s="1"/>
  <c r="V53" i="3"/>
  <c r="M53" i="3"/>
  <c r="AI53" i="3" s="1"/>
  <c r="V52" i="3"/>
  <c r="M52" i="3"/>
  <c r="AI52" i="3" s="1"/>
  <c r="V51" i="3"/>
  <c r="M51" i="3"/>
  <c r="AI51" i="3" s="1"/>
  <c r="V50" i="3"/>
  <c r="M50" i="3"/>
  <c r="AI50" i="3" s="1"/>
  <c r="V49" i="3"/>
  <c r="M49" i="3"/>
  <c r="AI49" i="3" s="1"/>
  <c r="V48" i="3"/>
  <c r="M48" i="3"/>
  <c r="AI48" i="3" s="1"/>
  <c r="V47" i="3"/>
  <c r="M47" i="3"/>
  <c r="AI47" i="3" s="1"/>
  <c r="V46" i="3"/>
  <c r="M46" i="3"/>
  <c r="AI46" i="3" s="1"/>
  <c r="V45" i="3"/>
  <c r="M45" i="3"/>
  <c r="AI45" i="3" s="1"/>
  <c r="V44" i="3"/>
  <c r="M44" i="3"/>
  <c r="AI44" i="3" s="1"/>
  <c r="V43" i="3"/>
  <c r="M43" i="3"/>
  <c r="AI43" i="3" s="1"/>
  <c r="V42" i="3"/>
  <c r="M42" i="3"/>
  <c r="AI42" i="3" s="1"/>
  <c r="V41" i="3"/>
  <c r="M41" i="3"/>
  <c r="AI41" i="3" s="1"/>
  <c r="V40" i="3"/>
  <c r="M40" i="3"/>
  <c r="AI40" i="3" s="1"/>
  <c r="V39" i="3"/>
  <c r="M39" i="3"/>
  <c r="AI39" i="3" s="1"/>
  <c r="V38" i="3"/>
  <c r="M38" i="3"/>
  <c r="AI38" i="3" s="1"/>
  <c r="V37" i="3"/>
  <c r="M37" i="3"/>
  <c r="AI37" i="3" s="1"/>
  <c r="V36" i="3"/>
  <c r="M36" i="3"/>
  <c r="AI36" i="3" s="1"/>
  <c r="V35" i="3"/>
  <c r="M35" i="3"/>
  <c r="AI35" i="3" s="1"/>
  <c r="V34" i="3"/>
  <c r="M34" i="3"/>
  <c r="AI34" i="3" s="1"/>
  <c r="V33" i="3"/>
  <c r="M33" i="3"/>
  <c r="AI33" i="3" s="1"/>
  <c r="V32" i="3"/>
  <c r="M32" i="3"/>
  <c r="AI32" i="3" s="1"/>
  <c r="V31" i="3"/>
  <c r="M31" i="3"/>
  <c r="AI31" i="3" s="1"/>
  <c r="V30" i="3"/>
  <c r="M30" i="3"/>
  <c r="AI30" i="3" s="1"/>
  <c r="V29" i="3"/>
  <c r="M29" i="3"/>
  <c r="AI29" i="3" s="1"/>
  <c r="V28" i="3"/>
  <c r="M28" i="3"/>
  <c r="AI28" i="3" s="1"/>
  <c r="V27" i="3"/>
  <c r="M27" i="3"/>
  <c r="AI27" i="3" s="1"/>
  <c r="V26" i="3"/>
  <c r="M26" i="3"/>
  <c r="AI26" i="3" s="1"/>
  <c r="V25" i="3"/>
  <c r="M25" i="3"/>
  <c r="AI25" i="3" s="1"/>
  <c r="V24" i="3"/>
  <c r="M24" i="3"/>
  <c r="AI24" i="3" s="1"/>
  <c r="V23" i="3"/>
  <c r="M23" i="3"/>
  <c r="AI23" i="3" s="1"/>
  <c r="V22" i="3"/>
  <c r="M22" i="3"/>
  <c r="AI22" i="3" s="1"/>
  <c r="V21" i="3"/>
  <c r="M21" i="3"/>
  <c r="AI21" i="3" s="1"/>
  <c r="V20" i="3"/>
  <c r="M20" i="3"/>
  <c r="AI20" i="3" s="1"/>
  <c r="V19" i="3"/>
  <c r="M19" i="3"/>
  <c r="AI19" i="3" s="1"/>
  <c r="V18" i="3"/>
  <c r="M18" i="3"/>
  <c r="AI18" i="3" s="1"/>
  <c r="V17" i="3"/>
  <c r="M17" i="3"/>
  <c r="AI17" i="3" s="1"/>
  <c r="V16" i="3"/>
  <c r="M16" i="3"/>
  <c r="AI16" i="3" s="1"/>
  <c r="V15" i="3"/>
  <c r="M15" i="3"/>
  <c r="AI15" i="3" s="1"/>
  <c r="V14" i="3"/>
  <c r="M14" i="3"/>
  <c r="AI14" i="3" s="1"/>
  <c r="V13" i="3"/>
  <c r="M13" i="3"/>
  <c r="AI13" i="3" s="1"/>
  <c r="V12" i="3"/>
  <c r="M12" i="3"/>
  <c r="AI12" i="3" s="1"/>
  <c r="V11" i="3"/>
  <c r="M11" i="3"/>
  <c r="AI11" i="3" s="1"/>
  <c r="V10" i="3"/>
  <c r="M10" i="3"/>
  <c r="AI10" i="3" s="1"/>
  <c r="V9" i="3"/>
  <c r="M9" i="3"/>
  <c r="AI9" i="3" s="1"/>
  <c r="V8" i="3"/>
  <c r="M8" i="3"/>
  <c r="AI8" i="3" s="1"/>
  <c r="V7" i="3"/>
  <c r="M7" i="3"/>
  <c r="AI7" i="3" s="1"/>
  <c r="V6" i="3"/>
  <c r="M6" i="3"/>
  <c r="AI6" i="3" s="1"/>
  <c r="V5" i="3"/>
  <c r="M5" i="3"/>
  <c r="AI5" i="3" s="1"/>
  <c r="V4" i="3"/>
  <c r="M4" i="3"/>
  <c r="AI4" i="3" s="1"/>
  <c r="V3" i="3"/>
  <c r="M3" i="3"/>
  <c r="AI3" i="3" s="1"/>
  <c r="V2" i="3"/>
  <c r="M2" i="3"/>
  <c r="AI2" i="3" s="1"/>
  <c r="V1" i="3"/>
  <c r="M1" i="3"/>
  <c r="AI1" i="3" s="1"/>
  <c r="W145" i="7"/>
  <c r="M145" i="7"/>
  <c r="W144" i="7"/>
  <c r="M144" i="7"/>
  <c r="W143" i="7"/>
  <c r="M143" i="7"/>
  <c r="W142" i="7"/>
  <c r="M142" i="7"/>
  <c r="W141" i="7"/>
  <c r="M141" i="7"/>
  <c r="W140" i="7"/>
  <c r="M140" i="7"/>
  <c r="W139" i="7"/>
  <c r="M139" i="7"/>
  <c r="W138" i="7"/>
  <c r="M138" i="7"/>
  <c r="W137" i="7"/>
  <c r="M137" i="7"/>
  <c r="W136" i="7"/>
  <c r="M136" i="7"/>
  <c r="W135" i="7"/>
  <c r="M135" i="7"/>
  <c r="W134" i="7"/>
  <c r="M134" i="7"/>
  <c r="W133" i="7"/>
  <c r="M133" i="7"/>
  <c r="W132" i="7"/>
  <c r="M132" i="7"/>
  <c r="W131" i="7"/>
  <c r="M131" i="7"/>
  <c r="W130" i="7"/>
  <c r="M130" i="7"/>
  <c r="W129" i="7"/>
  <c r="M129" i="7"/>
  <c r="W128" i="7"/>
  <c r="M128" i="7"/>
  <c r="W127" i="7"/>
  <c r="M127" i="7"/>
  <c r="W126" i="7"/>
  <c r="M126" i="7"/>
  <c r="W125" i="7"/>
  <c r="M125" i="7"/>
  <c r="W124" i="7"/>
  <c r="M124" i="7"/>
  <c r="W123" i="7"/>
  <c r="M123" i="7"/>
  <c r="W122" i="7"/>
  <c r="M122" i="7"/>
  <c r="W121" i="7"/>
  <c r="M121" i="7"/>
  <c r="W120" i="7"/>
  <c r="M120" i="7"/>
  <c r="W119" i="7"/>
  <c r="M119" i="7"/>
  <c r="W118" i="7"/>
  <c r="M118" i="7"/>
  <c r="W117" i="7"/>
  <c r="M117" i="7"/>
  <c r="W116" i="7"/>
  <c r="M116" i="7"/>
  <c r="W115" i="7"/>
  <c r="M115" i="7"/>
  <c r="W114" i="7"/>
  <c r="M114" i="7"/>
  <c r="W113" i="7"/>
  <c r="M113" i="7"/>
  <c r="W112" i="7"/>
  <c r="M112" i="7"/>
  <c r="W111" i="7"/>
  <c r="M111" i="7"/>
  <c r="W110" i="7"/>
  <c r="M110" i="7"/>
  <c r="W109" i="7"/>
  <c r="M109" i="7"/>
  <c r="W108" i="7"/>
  <c r="M108" i="7"/>
  <c r="W107" i="7"/>
  <c r="M107" i="7"/>
  <c r="W106" i="7"/>
  <c r="M106" i="7"/>
  <c r="W105" i="7"/>
  <c r="M105" i="7"/>
  <c r="W104" i="7"/>
  <c r="M104" i="7"/>
  <c r="W103" i="7"/>
  <c r="M103" i="7"/>
  <c r="W102" i="7"/>
  <c r="M102" i="7"/>
  <c r="W101" i="7"/>
  <c r="M101" i="7"/>
  <c r="W100" i="7"/>
  <c r="M100" i="7"/>
  <c r="W99" i="7"/>
  <c r="M99" i="7"/>
  <c r="W98" i="7"/>
  <c r="M98" i="7"/>
  <c r="W97" i="7"/>
  <c r="M97" i="7"/>
  <c r="W96" i="7"/>
  <c r="M96" i="7"/>
  <c r="W95" i="7"/>
  <c r="M95" i="7"/>
  <c r="W94" i="7"/>
  <c r="M94" i="7"/>
  <c r="W93" i="7"/>
  <c r="M93" i="7"/>
  <c r="W92" i="7"/>
  <c r="M92" i="7"/>
  <c r="W91" i="7"/>
  <c r="M91" i="7"/>
  <c r="W90" i="7"/>
  <c r="M90" i="7"/>
  <c r="W89" i="7"/>
  <c r="M89" i="7"/>
  <c r="W88" i="7"/>
  <c r="M88" i="7"/>
  <c r="W87" i="7"/>
  <c r="M87" i="7"/>
  <c r="W86" i="7"/>
  <c r="M86" i="7"/>
  <c r="W85" i="7"/>
  <c r="M85" i="7"/>
  <c r="W84" i="7"/>
  <c r="M84" i="7"/>
  <c r="W83" i="7"/>
  <c r="M83" i="7"/>
  <c r="W82" i="7"/>
  <c r="M82" i="7"/>
  <c r="W81" i="7"/>
  <c r="M81" i="7"/>
  <c r="W80" i="7"/>
  <c r="M80" i="7"/>
  <c r="W79" i="7"/>
  <c r="M79" i="7"/>
  <c r="W78" i="7"/>
  <c r="M78" i="7"/>
  <c r="W77" i="7"/>
  <c r="M77" i="7"/>
  <c r="W76" i="7"/>
  <c r="M76" i="7"/>
  <c r="W75" i="7"/>
  <c r="M75" i="7"/>
  <c r="W74" i="7"/>
  <c r="M74" i="7"/>
  <c r="W73" i="7"/>
  <c r="M73" i="7"/>
  <c r="W72" i="7"/>
  <c r="M72" i="7"/>
  <c r="W71" i="7"/>
  <c r="M71" i="7"/>
  <c r="W70" i="7"/>
  <c r="M70" i="7"/>
  <c r="W69" i="7"/>
  <c r="M69" i="7"/>
  <c r="W68" i="7"/>
  <c r="M68" i="7"/>
  <c r="W67" i="7"/>
  <c r="M67" i="7"/>
  <c r="W66" i="7"/>
  <c r="M66" i="7"/>
  <c r="W65" i="7"/>
  <c r="M65" i="7"/>
  <c r="W64" i="7"/>
  <c r="M64" i="7"/>
  <c r="W63" i="7"/>
  <c r="M63" i="7"/>
  <c r="W62" i="7"/>
  <c r="M62" i="7"/>
  <c r="W61" i="7"/>
  <c r="M61" i="7"/>
  <c r="W60" i="7"/>
  <c r="M60" i="7"/>
  <c r="W59" i="7"/>
  <c r="M59" i="7"/>
  <c r="W58" i="7"/>
  <c r="M58" i="7"/>
  <c r="W57" i="7"/>
  <c r="M57" i="7"/>
  <c r="W56" i="7"/>
  <c r="M56" i="7"/>
  <c r="W55" i="7"/>
  <c r="M55" i="7"/>
  <c r="W54" i="7"/>
  <c r="M54" i="7"/>
  <c r="W53" i="7"/>
  <c r="M53" i="7"/>
  <c r="W52" i="7"/>
  <c r="M52" i="7"/>
  <c r="W51" i="7"/>
  <c r="M51" i="7"/>
  <c r="W50" i="7"/>
  <c r="M50" i="7"/>
  <c r="W49" i="7"/>
  <c r="M49" i="7"/>
  <c r="W48" i="7"/>
  <c r="M48" i="7"/>
  <c r="W47" i="7"/>
  <c r="M47" i="7"/>
  <c r="W46" i="7"/>
  <c r="M46" i="7"/>
  <c r="W45" i="7"/>
  <c r="M45" i="7"/>
  <c r="W44" i="7"/>
  <c r="M44" i="7"/>
  <c r="W43" i="7"/>
  <c r="M43" i="7"/>
  <c r="W42" i="7"/>
  <c r="M42" i="7"/>
  <c r="W41" i="7"/>
  <c r="M41" i="7"/>
  <c r="W40" i="7"/>
  <c r="M40" i="7"/>
  <c r="W39" i="7"/>
  <c r="M39" i="7"/>
  <c r="W38" i="7"/>
  <c r="M38" i="7"/>
  <c r="W37" i="7"/>
  <c r="M37" i="7"/>
  <c r="W36" i="7"/>
  <c r="M36" i="7"/>
  <c r="W35" i="7"/>
  <c r="M35" i="7"/>
  <c r="W34" i="7"/>
  <c r="M34" i="7"/>
  <c r="W33" i="7"/>
  <c r="M33" i="7"/>
  <c r="W32" i="7"/>
  <c r="M32" i="7"/>
  <c r="W31" i="7"/>
  <c r="M31" i="7"/>
  <c r="W30" i="7"/>
  <c r="M30" i="7"/>
  <c r="W29" i="7"/>
  <c r="M29" i="7"/>
  <c r="W28" i="7"/>
  <c r="M28" i="7"/>
  <c r="W27" i="7"/>
  <c r="M27" i="7"/>
  <c r="W26" i="7"/>
  <c r="M26" i="7"/>
  <c r="W25" i="7"/>
  <c r="M25" i="7"/>
  <c r="W24" i="7"/>
  <c r="M24" i="7"/>
  <c r="W23" i="7"/>
  <c r="M23" i="7"/>
  <c r="W22" i="7"/>
  <c r="M22" i="7"/>
  <c r="W21" i="7"/>
  <c r="M21" i="7"/>
  <c r="W20" i="7"/>
  <c r="M20" i="7"/>
  <c r="W19" i="7"/>
  <c r="M19" i="7"/>
  <c r="W18" i="7"/>
  <c r="M18" i="7"/>
  <c r="W17" i="7"/>
  <c r="M17" i="7"/>
  <c r="W16" i="7"/>
  <c r="M16" i="7"/>
  <c r="W15" i="7"/>
  <c r="M15" i="7"/>
  <c r="W14" i="7"/>
  <c r="M14" i="7"/>
  <c r="W13" i="7"/>
  <c r="M13" i="7"/>
  <c r="M12" i="7"/>
  <c r="I10" i="7"/>
  <c r="H10" i="7"/>
  <c r="G10" i="7"/>
  <c r="F10" i="7"/>
  <c r="E10" i="7"/>
  <c r="D10" i="7"/>
  <c r="C10" i="7"/>
  <c r="B10" i="7"/>
  <c r="W145" i="6"/>
  <c r="M145" i="6"/>
  <c r="W144" i="6"/>
  <c r="M144" i="6"/>
  <c r="W143" i="6"/>
  <c r="M143" i="6"/>
  <c r="W142" i="6"/>
  <c r="M142" i="6"/>
  <c r="W141" i="6"/>
  <c r="M141" i="6"/>
  <c r="W140" i="6"/>
  <c r="M140" i="6"/>
  <c r="W139" i="6"/>
  <c r="M139" i="6"/>
  <c r="W138" i="6"/>
  <c r="M138" i="6"/>
  <c r="W137" i="6"/>
  <c r="M137" i="6"/>
  <c r="W136" i="6"/>
  <c r="M136" i="6"/>
  <c r="W135" i="6"/>
  <c r="M135" i="6"/>
  <c r="W134" i="6"/>
  <c r="M134" i="6"/>
  <c r="W133" i="6"/>
  <c r="M133" i="6"/>
  <c r="W132" i="6"/>
  <c r="M132" i="6"/>
  <c r="W131" i="6"/>
  <c r="M131" i="6"/>
  <c r="W130" i="6"/>
  <c r="M130" i="6"/>
  <c r="W129" i="6"/>
  <c r="M129" i="6"/>
  <c r="W128" i="6"/>
  <c r="M128" i="6"/>
  <c r="W127" i="6"/>
  <c r="M127" i="6"/>
  <c r="W126" i="6"/>
  <c r="M126" i="6"/>
  <c r="W125" i="6"/>
  <c r="M125" i="6"/>
  <c r="W124" i="6"/>
  <c r="M124" i="6"/>
  <c r="W123" i="6"/>
  <c r="M123" i="6"/>
  <c r="W122" i="6"/>
  <c r="M122" i="6"/>
  <c r="W121" i="6"/>
  <c r="M121" i="6"/>
  <c r="W120" i="6"/>
  <c r="M120" i="6"/>
  <c r="W119" i="6"/>
  <c r="M119" i="6"/>
  <c r="W118" i="6"/>
  <c r="M118" i="6"/>
  <c r="W117" i="6"/>
  <c r="M117" i="6"/>
  <c r="W116" i="6"/>
  <c r="M116" i="6"/>
  <c r="W115" i="6"/>
  <c r="M115" i="6"/>
  <c r="W114" i="6"/>
  <c r="M114" i="6"/>
  <c r="W113" i="6"/>
  <c r="M113" i="6"/>
  <c r="W112" i="6"/>
  <c r="M112" i="6"/>
  <c r="W111" i="6"/>
  <c r="M111" i="6"/>
  <c r="W110" i="6"/>
  <c r="M110" i="6"/>
  <c r="W109" i="6"/>
  <c r="M109" i="6"/>
  <c r="W108" i="6"/>
  <c r="M108" i="6"/>
  <c r="W107" i="6"/>
  <c r="M107" i="6"/>
  <c r="W106" i="6"/>
  <c r="M106" i="6"/>
  <c r="W105" i="6"/>
  <c r="M105" i="6"/>
  <c r="W104" i="6"/>
  <c r="M104" i="6"/>
  <c r="W103" i="6"/>
  <c r="M103" i="6"/>
  <c r="W102" i="6"/>
  <c r="M102" i="6"/>
  <c r="W101" i="6"/>
  <c r="M101" i="6"/>
  <c r="W100" i="6"/>
  <c r="M100" i="6"/>
  <c r="W99" i="6"/>
  <c r="M99" i="6"/>
  <c r="W98" i="6"/>
  <c r="M98" i="6"/>
  <c r="W97" i="6"/>
  <c r="M97" i="6"/>
  <c r="W96" i="6"/>
  <c r="M96" i="6"/>
  <c r="W95" i="6"/>
  <c r="M95" i="6"/>
  <c r="W94" i="6"/>
  <c r="M94" i="6"/>
  <c r="W93" i="6"/>
  <c r="M93" i="6"/>
  <c r="W92" i="6"/>
  <c r="M92" i="6"/>
  <c r="W91" i="6"/>
  <c r="M91" i="6"/>
  <c r="W90" i="6"/>
  <c r="M90" i="6"/>
  <c r="W89" i="6"/>
  <c r="M89" i="6"/>
  <c r="W88" i="6"/>
  <c r="M88" i="6"/>
  <c r="W87" i="6"/>
  <c r="M87" i="6"/>
  <c r="W86" i="6"/>
  <c r="M86" i="6"/>
  <c r="W85" i="6"/>
  <c r="M85" i="6"/>
  <c r="W84" i="6"/>
  <c r="M84" i="6"/>
  <c r="W83" i="6"/>
  <c r="M83" i="6"/>
  <c r="W82" i="6"/>
  <c r="M82" i="6"/>
  <c r="W81" i="6"/>
  <c r="M81" i="6"/>
  <c r="W80" i="6"/>
  <c r="M80" i="6"/>
  <c r="W79" i="6"/>
  <c r="M79" i="6"/>
  <c r="W78" i="6"/>
  <c r="M78" i="6"/>
  <c r="W77" i="6"/>
  <c r="M77" i="6"/>
  <c r="W76" i="6"/>
  <c r="M76" i="6"/>
  <c r="W75" i="6"/>
  <c r="M75" i="6"/>
  <c r="W74" i="6"/>
  <c r="M74" i="6"/>
  <c r="W73" i="6"/>
  <c r="M73" i="6"/>
  <c r="W72" i="6"/>
  <c r="M72" i="6"/>
  <c r="W71" i="6"/>
  <c r="M71" i="6"/>
  <c r="W70" i="6"/>
  <c r="M70" i="6"/>
  <c r="W69" i="6"/>
  <c r="M69" i="6"/>
  <c r="W68" i="6"/>
  <c r="M68" i="6"/>
  <c r="W67" i="6"/>
  <c r="M67" i="6"/>
  <c r="W66" i="6"/>
  <c r="M66" i="6"/>
  <c r="W65" i="6"/>
  <c r="M65" i="6"/>
  <c r="W64" i="6"/>
  <c r="M64" i="6"/>
  <c r="W63" i="6"/>
  <c r="M63" i="6"/>
  <c r="W62" i="6"/>
  <c r="M62" i="6"/>
  <c r="W61" i="6"/>
  <c r="M61" i="6"/>
  <c r="W60" i="6"/>
  <c r="M60" i="6"/>
  <c r="W59" i="6"/>
  <c r="M59" i="6"/>
  <c r="W58" i="6"/>
  <c r="M58" i="6"/>
  <c r="W57" i="6"/>
  <c r="M57" i="6"/>
  <c r="W56" i="6"/>
  <c r="M56" i="6"/>
  <c r="W55" i="6"/>
  <c r="M55" i="6"/>
  <c r="W54" i="6"/>
  <c r="M54" i="6"/>
  <c r="W53" i="6"/>
  <c r="M53" i="6"/>
  <c r="W52" i="6"/>
  <c r="M52" i="6"/>
  <c r="W51" i="6"/>
  <c r="M51" i="6"/>
  <c r="W50" i="6"/>
  <c r="M50" i="6"/>
  <c r="W49" i="6"/>
  <c r="M49" i="6"/>
  <c r="W48" i="6"/>
  <c r="M48" i="6"/>
  <c r="W47" i="6"/>
  <c r="M47" i="6"/>
  <c r="W46" i="6"/>
  <c r="M46" i="6"/>
  <c r="W45" i="6"/>
  <c r="M45" i="6"/>
  <c r="W44" i="6"/>
  <c r="M44" i="6"/>
  <c r="W43" i="6"/>
  <c r="M43" i="6"/>
  <c r="W42" i="6"/>
  <c r="M42" i="6"/>
  <c r="W41" i="6"/>
  <c r="M41" i="6"/>
  <c r="W40" i="6"/>
  <c r="M40" i="6"/>
  <c r="W39" i="6"/>
  <c r="M39" i="6"/>
  <c r="W38" i="6"/>
  <c r="M38" i="6"/>
  <c r="W37" i="6"/>
  <c r="M37" i="6"/>
  <c r="W36" i="6"/>
  <c r="M36" i="6"/>
  <c r="W35" i="6"/>
  <c r="M35" i="6"/>
  <c r="W34" i="6"/>
  <c r="M34" i="6"/>
  <c r="W33" i="6"/>
  <c r="M33" i="6"/>
  <c r="W32" i="6"/>
  <c r="M32" i="6"/>
  <c r="W31" i="6"/>
  <c r="M31" i="6"/>
  <c r="W30" i="6"/>
  <c r="M30" i="6"/>
  <c r="W29" i="6"/>
  <c r="M29" i="6"/>
  <c r="W28" i="6"/>
  <c r="M28" i="6"/>
  <c r="W27" i="6"/>
  <c r="M27" i="6"/>
  <c r="W26" i="6"/>
  <c r="M26" i="6"/>
  <c r="W25" i="6"/>
  <c r="M25" i="6"/>
  <c r="W24" i="6"/>
  <c r="M24" i="6"/>
  <c r="W23" i="6"/>
  <c r="M23" i="6"/>
  <c r="W22" i="6"/>
  <c r="M22" i="6"/>
  <c r="W21" i="6"/>
  <c r="M21" i="6"/>
  <c r="W20" i="6"/>
  <c r="M20" i="6"/>
  <c r="W19" i="6"/>
  <c r="M19" i="6"/>
  <c r="W18" i="6"/>
  <c r="M18" i="6"/>
  <c r="W17" i="6"/>
  <c r="M17" i="6"/>
  <c r="W16" i="6"/>
  <c r="M16" i="6"/>
  <c r="W15" i="6"/>
  <c r="M15" i="6"/>
  <c r="W14" i="6"/>
  <c r="M14" i="6"/>
  <c r="W13" i="6"/>
  <c r="M13" i="6"/>
  <c r="M12" i="6"/>
  <c r="I10" i="6"/>
  <c r="H10" i="6"/>
  <c r="G10" i="6"/>
  <c r="F10" i="6"/>
  <c r="E10" i="6"/>
  <c r="D10" i="6"/>
  <c r="C10" i="6"/>
  <c r="B10" i="6"/>
  <c r="W145" i="5"/>
  <c r="M145" i="5"/>
  <c r="W144" i="5"/>
  <c r="M144" i="5"/>
  <c r="W143" i="5"/>
  <c r="M143" i="5"/>
  <c r="W142" i="5"/>
  <c r="M142" i="5"/>
  <c r="W141" i="5"/>
  <c r="M141" i="5"/>
  <c r="W140" i="5"/>
  <c r="M140" i="5"/>
  <c r="W139" i="5"/>
  <c r="M139" i="5"/>
  <c r="W138" i="5"/>
  <c r="M138" i="5"/>
  <c r="W137" i="5"/>
  <c r="M137" i="5"/>
  <c r="W136" i="5"/>
  <c r="M136" i="5"/>
  <c r="W135" i="5"/>
  <c r="M135" i="5"/>
  <c r="W134" i="5"/>
  <c r="M134" i="5"/>
  <c r="W133" i="5"/>
  <c r="M133" i="5"/>
  <c r="W132" i="5"/>
  <c r="M132" i="5"/>
  <c r="W131" i="5"/>
  <c r="M131" i="5"/>
  <c r="W130" i="5"/>
  <c r="M130" i="5"/>
  <c r="W129" i="5"/>
  <c r="M129" i="5"/>
  <c r="W128" i="5"/>
  <c r="M128" i="5"/>
  <c r="W127" i="5"/>
  <c r="M127" i="5"/>
  <c r="W126" i="5"/>
  <c r="M126" i="5"/>
  <c r="W125" i="5"/>
  <c r="M125" i="5"/>
  <c r="W124" i="5"/>
  <c r="M124" i="5"/>
  <c r="W123" i="5"/>
  <c r="M123" i="5"/>
  <c r="W122" i="5"/>
  <c r="M122" i="5"/>
  <c r="W121" i="5"/>
  <c r="M121" i="5"/>
  <c r="W120" i="5"/>
  <c r="M120" i="5"/>
  <c r="W119" i="5"/>
  <c r="M119" i="5"/>
  <c r="W118" i="5"/>
  <c r="M118" i="5"/>
  <c r="W117" i="5"/>
  <c r="M117" i="5"/>
  <c r="W116" i="5"/>
  <c r="M116" i="5"/>
  <c r="W115" i="5"/>
  <c r="M115" i="5"/>
  <c r="W114" i="5"/>
  <c r="M114" i="5"/>
  <c r="W113" i="5"/>
  <c r="M113" i="5"/>
  <c r="W112" i="5"/>
  <c r="M112" i="5"/>
  <c r="W111" i="5"/>
  <c r="M111" i="5"/>
  <c r="W110" i="5"/>
  <c r="M110" i="5"/>
  <c r="W109" i="5"/>
  <c r="M109" i="5"/>
  <c r="W108" i="5"/>
  <c r="M108" i="5"/>
  <c r="W107" i="5"/>
  <c r="M107" i="5"/>
  <c r="W106" i="5"/>
  <c r="M106" i="5"/>
  <c r="W105" i="5"/>
  <c r="M105" i="5"/>
  <c r="W104" i="5"/>
  <c r="M104" i="5"/>
  <c r="W103" i="5"/>
  <c r="M103" i="5"/>
  <c r="W102" i="5"/>
  <c r="M102" i="5"/>
  <c r="W101" i="5"/>
  <c r="M101" i="5"/>
  <c r="W100" i="5"/>
  <c r="M100" i="5"/>
  <c r="W99" i="5"/>
  <c r="M99" i="5"/>
  <c r="W98" i="5"/>
  <c r="M98" i="5"/>
  <c r="W97" i="5"/>
  <c r="M97" i="5"/>
  <c r="W96" i="5"/>
  <c r="M96" i="5"/>
  <c r="W95" i="5"/>
  <c r="M95" i="5"/>
  <c r="W94" i="5"/>
  <c r="M94" i="5"/>
  <c r="W93" i="5"/>
  <c r="M93" i="5"/>
  <c r="W92" i="5"/>
  <c r="M92" i="5"/>
  <c r="W91" i="5"/>
  <c r="M91" i="5"/>
  <c r="W90" i="5"/>
  <c r="M90" i="5"/>
  <c r="W89" i="5"/>
  <c r="M89" i="5"/>
  <c r="W88" i="5"/>
  <c r="M88" i="5"/>
  <c r="W87" i="5"/>
  <c r="M87" i="5"/>
  <c r="W86" i="5"/>
  <c r="M86" i="5"/>
  <c r="W85" i="5"/>
  <c r="M85" i="5"/>
  <c r="W84" i="5"/>
  <c r="M84" i="5"/>
  <c r="W83" i="5"/>
  <c r="M83" i="5"/>
  <c r="W82" i="5"/>
  <c r="M82" i="5"/>
  <c r="W81" i="5"/>
  <c r="M81" i="5"/>
  <c r="W80" i="5"/>
  <c r="M80" i="5"/>
  <c r="W79" i="5"/>
  <c r="M79" i="5"/>
  <c r="W78" i="5"/>
  <c r="M78" i="5"/>
  <c r="W77" i="5"/>
  <c r="M77" i="5"/>
  <c r="W76" i="5"/>
  <c r="M76" i="5"/>
  <c r="W75" i="5"/>
  <c r="M75" i="5"/>
  <c r="W74" i="5"/>
  <c r="M74" i="5"/>
  <c r="W73" i="5"/>
  <c r="M73" i="5"/>
  <c r="W72" i="5"/>
  <c r="M72" i="5"/>
  <c r="W71" i="5"/>
  <c r="M71" i="5"/>
  <c r="W70" i="5"/>
  <c r="M70" i="5"/>
  <c r="W69" i="5"/>
  <c r="M69" i="5"/>
  <c r="W68" i="5"/>
  <c r="M68" i="5"/>
  <c r="W67" i="5"/>
  <c r="M67" i="5"/>
  <c r="W66" i="5"/>
  <c r="M66" i="5"/>
  <c r="W65" i="5"/>
  <c r="M65" i="5"/>
  <c r="W64" i="5"/>
  <c r="M64" i="5"/>
  <c r="W63" i="5"/>
  <c r="M63" i="5"/>
  <c r="W62" i="5"/>
  <c r="M62" i="5"/>
  <c r="W61" i="5"/>
  <c r="M61" i="5"/>
  <c r="W60" i="5"/>
  <c r="M60" i="5"/>
  <c r="W59" i="5"/>
  <c r="M59" i="5"/>
  <c r="W58" i="5"/>
  <c r="M58" i="5"/>
  <c r="W57" i="5"/>
  <c r="M57" i="5"/>
  <c r="W56" i="5"/>
  <c r="M56" i="5"/>
  <c r="W55" i="5"/>
  <c r="M55" i="5"/>
  <c r="W54" i="5"/>
  <c r="M54" i="5"/>
  <c r="W53" i="5"/>
  <c r="M53" i="5"/>
  <c r="W52" i="5"/>
  <c r="M52" i="5"/>
  <c r="W51" i="5"/>
  <c r="M51" i="5"/>
  <c r="W50" i="5"/>
  <c r="M50" i="5"/>
  <c r="W49" i="5"/>
  <c r="M49" i="5"/>
  <c r="W48" i="5"/>
  <c r="M48" i="5"/>
  <c r="W47" i="5"/>
  <c r="M47" i="5"/>
  <c r="W46" i="5"/>
  <c r="M46" i="5"/>
  <c r="W45" i="5"/>
  <c r="M45" i="5"/>
  <c r="W44" i="5"/>
  <c r="M44" i="5"/>
  <c r="W43" i="5"/>
  <c r="M43" i="5"/>
  <c r="W42" i="5"/>
  <c r="M42" i="5"/>
  <c r="W41" i="5"/>
  <c r="M41" i="5"/>
  <c r="W40" i="5"/>
  <c r="M40" i="5"/>
  <c r="W39" i="5"/>
  <c r="M39" i="5"/>
  <c r="W38" i="5"/>
  <c r="M38" i="5"/>
  <c r="W37" i="5"/>
  <c r="M37" i="5"/>
  <c r="W36" i="5"/>
  <c r="M36" i="5"/>
  <c r="W35" i="5"/>
  <c r="M35" i="5"/>
  <c r="W34" i="5"/>
  <c r="M34" i="5"/>
  <c r="W33" i="5"/>
  <c r="M33" i="5"/>
  <c r="W32" i="5"/>
  <c r="M32" i="5"/>
  <c r="W31" i="5"/>
  <c r="M31" i="5"/>
  <c r="W30" i="5"/>
  <c r="M30" i="5"/>
  <c r="W29" i="5"/>
  <c r="M29" i="5"/>
  <c r="W28" i="5"/>
  <c r="M28" i="5"/>
  <c r="W27" i="5"/>
  <c r="M27" i="5"/>
  <c r="W26" i="5"/>
  <c r="M26" i="5"/>
  <c r="W25" i="5"/>
  <c r="M25" i="5"/>
  <c r="W24" i="5"/>
  <c r="M24" i="5"/>
  <c r="W23" i="5"/>
  <c r="M23" i="5"/>
  <c r="W22" i="5"/>
  <c r="M22" i="5"/>
  <c r="W21" i="5"/>
  <c r="M21" i="5"/>
  <c r="W20" i="5"/>
  <c r="M20" i="5"/>
  <c r="W19" i="5"/>
  <c r="M19" i="5"/>
  <c r="W18" i="5"/>
  <c r="M18" i="5"/>
  <c r="W17" i="5"/>
  <c r="M17" i="5"/>
  <c r="W16" i="5"/>
  <c r="M16" i="5"/>
  <c r="W15" i="5"/>
  <c r="M15" i="5"/>
  <c r="W14" i="5"/>
  <c r="M14" i="5"/>
  <c r="W13" i="5"/>
  <c r="M13" i="5"/>
  <c r="M12" i="5"/>
  <c r="I10" i="5"/>
  <c r="H10" i="5"/>
  <c r="G10" i="5"/>
  <c r="F10" i="5"/>
  <c r="E10" i="5"/>
  <c r="D10" i="5"/>
  <c r="C10" i="5"/>
  <c r="W145" i="4"/>
  <c r="M145" i="4"/>
  <c r="W144" i="4"/>
  <c r="M144" i="4"/>
  <c r="W143" i="4"/>
  <c r="M143" i="4"/>
  <c r="W142" i="4"/>
  <c r="M142" i="4"/>
  <c r="W141" i="4"/>
  <c r="M141" i="4"/>
  <c r="W140" i="4"/>
  <c r="M140" i="4"/>
  <c r="W139" i="4"/>
  <c r="M139" i="4"/>
  <c r="W138" i="4"/>
  <c r="M138" i="4"/>
  <c r="W137" i="4"/>
  <c r="M137" i="4"/>
  <c r="W136" i="4"/>
  <c r="M136" i="4"/>
  <c r="W135" i="4"/>
  <c r="M135" i="4"/>
  <c r="W134" i="4"/>
  <c r="M134" i="4"/>
  <c r="W133" i="4"/>
  <c r="M133" i="4"/>
  <c r="W132" i="4"/>
  <c r="M132" i="4"/>
  <c r="W131" i="4"/>
  <c r="M131" i="4"/>
  <c r="W130" i="4"/>
  <c r="M130" i="4"/>
  <c r="W129" i="4"/>
  <c r="M129" i="4"/>
  <c r="W128" i="4"/>
  <c r="M128" i="4"/>
  <c r="W127" i="4"/>
  <c r="M127" i="4"/>
  <c r="W126" i="4"/>
  <c r="M126" i="4"/>
  <c r="W125" i="4"/>
  <c r="M125" i="4"/>
  <c r="W124" i="4"/>
  <c r="M124" i="4"/>
  <c r="W123" i="4"/>
  <c r="M123" i="4"/>
  <c r="W122" i="4"/>
  <c r="M122" i="4"/>
  <c r="W121" i="4"/>
  <c r="M121" i="4"/>
  <c r="W120" i="4"/>
  <c r="M120" i="4"/>
  <c r="W119" i="4"/>
  <c r="M119" i="4"/>
  <c r="W118" i="4"/>
  <c r="M118" i="4"/>
  <c r="W117" i="4"/>
  <c r="M117" i="4"/>
  <c r="W116" i="4"/>
  <c r="M116" i="4"/>
  <c r="W115" i="4"/>
  <c r="M115" i="4"/>
  <c r="W114" i="4"/>
  <c r="M114" i="4"/>
  <c r="W113" i="4"/>
  <c r="M113" i="4"/>
  <c r="W112" i="4"/>
  <c r="M112" i="4"/>
  <c r="W111" i="4"/>
  <c r="M111" i="4"/>
  <c r="W110" i="4"/>
  <c r="M110" i="4"/>
  <c r="W109" i="4"/>
  <c r="M109" i="4"/>
  <c r="W108" i="4"/>
  <c r="M108" i="4"/>
  <c r="W107" i="4"/>
  <c r="M107" i="4"/>
  <c r="W106" i="4"/>
  <c r="M106" i="4"/>
  <c r="W105" i="4"/>
  <c r="M105" i="4"/>
  <c r="W104" i="4"/>
  <c r="M104" i="4"/>
  <c r="W103" i="4"/>
  <c r="M103" i="4"/>
  <c r="W102" i="4"/>
  <c r="M102" i="4"/>
  <c r="W101" i="4"/>
  <c r="M101" i="4"/>
  <c r="W100" i="4"/>
  <c r="M100" i="4"/>
  <c r="W99" i="4"/>
  <c r="M99" i="4"/>
  <c r="W98" i="4"/>
  <c r="M98" i="4"/>
  <c r="W97" i="4"/>
  <c r="M97" i="4"/>
  <c r="W96" i="4"/>
  <c r="M96" i="4"/>
  <c r="W95" i="4"/>
  <c r="M95" i="4"/>
  <c r="W94" i="4"/>
  <c r="M94" i="4"/>
  <c r="W93" i="4"/>
  <c r="M93" i="4"/>
  <c r="W92" i="4"/>
  <c r="M92" i="4"/>
  <c r="W91" i="4"/>
  <c r="M91" i="4"/>
  <c r="W90" i="4"/>
  <c r="M90" i="4"/>
  <c r="W89" i="4"/>
  <c r="M89" i="4"/>
  <c r="W88" i="4"/>
  <c r="M88" i="4"/>
  <c r="W87" i="4"/>
  <c r="M87" i="4"/>
  <c r="W86" i="4"/>
  <c r="M86" i="4"/>
  <c r="W85" i="4"/>
  <c r="M85" i="4"/>
  <c r="W84" i="4"/>
  <c r="M84" i="4"/>
  <c r="W83" i="4"/>
  <c r="M83" i="4"/>
  <c r="W82" i="4"/>
  <c r="M82" i="4"/>
  <c r="W81" i="4"/>
  <c r="M81" i="4"/>
  <c r="W80" i="4"/>
  <c r="M80" i="4"/>
  <c r="W79" i="4"/>
  <c r="M79" i="4"/>
  <c r="W78" i="4"/>
  <c r="M78" i="4"/>
  <c r="W77" i="4"/>
  <c r="M77" i="4"/>
  <c r="W76" i="4"/>
  <c r="M76" i="4"/>
  <c r="W75" i="4"/>
  <c r="M75" i="4"/>
  <c r="W74" i="4"/>
  <c r="M74" i="4"/>
  <c r="W73" i="4"/>
  <c r="M73" i="4"/>
  <c r="W72" i="4"/>
  <c r="M72" i="4"/>
  <c r="W71" i="4"/>
  <c r="M71" i="4"/>
  <c r="W70" i="4"/>
  <c r="M70" i="4"/>
  <c r="W69" i="4"/>
  <c r="M69" i="4"/>
  <c r="W68" i="4"/>
  <c r="M68" i="4"/>
  <c r="W67" i="4"/>
  <c r="M67" i="4"/>
  <c r="W66" i="4"/>
  <c r="M66" i="4"/>
  <c r="W65" i="4"/>
  <c r="M65" i="4"/>
  <c r="W64" i="4"/>
  <c r="M64" i="4"/>
  <c r="W63" i="4"/>
  <c r="M63" i="4"/>
  <c r="W62" i="4"/>
  <c r="M62" i="4"/>
  <c r="W61" i="4"/>
  <c r="M61" i="4"/>
  <c r="W60" i="4"/>
  <c r="M60" i="4"/>
  <c r="W59" i="4"/>
  <c r="M59" i="4"/>
  <c r="W58" i="4"/>
  <c r="M58" i="4"/>
  <c r="W57" i="4"/>
  <c r="M57" i="4"/>
  <c r="W56" i="4"/>
  <c r="M56" i="4"/>
  <c r="W55" i="4"/>
  <c r="M55" i="4"/>
  <c r="W54" i="4"/>
  <c r="M54" i="4"/>
  <c r="W53" i="4"/>
  <c r="M53" i="4"/>
  <c r="W52" i="4"/>
  <c r="M52" i="4"/>
  <c r="W51" i="4"/>
  <c r="M51" i="4"/>
  <c r="W50" i="4"/>
  <c r="M50" i="4"/>
  <c r="W49" i="4"/>
  <c r="M49" i="4"/>
  <c r="W48" i="4"/>
  <c r="M48" i="4"/>
  <c r="W47" i="4"/>
  <c r="M47" i="4"/>
  <c r="W46" i="4"/>
  <c r="M46" i="4"/>
  <c r="W45" i="4"/>
  <c r="M45" i="4"/>
  <c r="W44" i="4"/>
  <c r="M44" i="4"/>
  <c r="W43" i="4"/>
  <c r="M43" i="4"/>
  <c r="W42" i="4"/>
  <c r="M42" i="4"/>
  <c r="W41" i="4"/>
  <c r="M41" i="4"/>
  <c r="W40" i="4"/>
  <c r="M40" i="4"/>
  <c r="W39" i="4"/>
  <c r="M39" i="4"/>
  <c r="W38" i="4"/>
  <c r="M38" i="4"/>
  <c r="W37" i="4"/>
  <c r="M37" i="4"/>
  <c r="W36" i="4"/>
  <c r="M36" i="4"/>
  <c r="W35" i="4"/>
  <c r="M35" i="4"/>
  <c r="W34" i="4"/>
  <c r="M34" i="4"/>
  <c r="W33" i="4"/>
  <c r="M33" i="4"/>
  <c r="W32" i="4"/>
  <c r="M32" i="4"/>
  <c r="W31" i="4"/>
  <c r="M31" i="4"/>
  <c r="W30" i="4"/>
  <c r="M30" i="4"/>
  <c r="W29" i="4"/>
  <c r="M29" i="4"/>
  <c r="W28" i="4"/>
  <c r="M28" i="4"/>
  <c r="W27" i="4"/>
  <c r="M27" i="4"/>
  <c r="W26" i="4"/>
  <c r="M26" i="4"/>
  <c r="W25" i="4"/>
  <c r="M25" i="4"/>
  <c r="W24" i="4"/>
  <c r="M24" i="4"/>
  <c r="W23" i="4"/>
  <c r="M23" i="4"/>
  <c r="W22" i="4"/>
  <c r="M22" i="4"/>
  <c r="W21" i="4"/>
  <c r="M21" i="4"/>
  <c r="W20" i="4"/>
  <c r="M20" i="4"/>
  <c r="W19" i="4"/>
  <c r="M19" i="4"/>
  <c r="W18" i="4"/>
  <c r="M18" i="4"/>
  <c r="W17" i="4"/>
  <c r="M17" i="4"/>
  <c r="W16" i="4"/>
  <c r="M16" i="4"/>
  <c r="W15" i="4"/>
  <c r="M15" i="4"/>
  <c r="W14" i="4"/>
  <c r="M14" i="4"/>
  <c r="W13" i="4"/>
  <c r="M13" i="4"/>
  <c r="M12" i="4"/>
  <c r="I10" i="4"/>
  <c r="H10" i="4"/>
  <c r="G10" i="4"/>
  <c r="F10" i="4"/>
  <c r="E10" i="4"/>
  <c r="D10" i="4"/>
  <c r="C10" i="4"/>
  <c r="W12" i="7" l="1"/>
  <c r="W12" i="6"/>
  <c r="W12" i="5"/>
  <c r="W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0EFBE72A-581C-4D80-AB59-687842B414EE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F06677A5-0DF8-4BE5-A649-179B5DA24AA4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9B7D82B0-8303-4606-AC40-958F08EA5979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4897285F-9283-42FD-A136-478662EBE471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AE25804B-5BB6-481A-AA22-227AF0CAE575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28292E81-2BCD-4B8F-8459-BB159FF0EB7C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5F1F3C06-1CA7-425F-AE14-CE6F9A861E39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1216D8A4-0BAE-4902-B98B-DC24B1A6F84F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EB9AD02C-1292-46D6-AEC7-3D08160731BF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F179439A-0ECC-4739-9E1D-D7566ADB3994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8737656A-6268-4F0E-BFEC-2206C739B453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E651E4F6-BE8A-4765-928E-8A2363C599CF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A55CB8C4-BB28-4AA8-BC3B-B1061867F2E1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6C2D5FB1-8283-4EB4-BD02-5DCCB9C07774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BC65819C-B41B-4836-9518-CA707A93C78E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DBD7600D-3A3A-4DB6-854F-51ACE2BE8237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E7063D2D-C776-4E52-AE05-C66DF054BD86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36F9C0C9-A7A5-4CC1-AED3-B999FA50997A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6793B7EF-0AB0-4837-8D9D-841E8AFC102C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07686175-BC8C-4949-A639-0199F8192532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28668272-3DD9-4D1F-85E3-BBC4AA7DEADF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1CA78B27-1C26-4DF5-9C33-33BB92E183B2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0864E9A2-1682-43F5-B6D2-DCC44B6E1282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9353F4E4-2542-4FD9-9A2A-D831737AA5E3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C4E16038-E3D5-4FB5-9441-3F34E6E8897B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FE8DBE09-ADDC-4C18-BC26-F97BDC53C7EB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sharedStrings.xml><?xml version="1.0" encoding="utf-8"?>
<sst xmlns="http://schemas.openxmlformats.org/spreadsheetml/2006/main" count="2932" uniqueCount="366">
  <si>
    <t>Source: STIF -CECD</t>
  </si>
  <si>
    <t>Source: EASE-FAME</t>
  </si>
  <si>
    <t>REALISED DATA + CECD CONSTRAINS</t>
  </si>
  <si>
    <t>MPR FORECAST</t>
  </si>
  <si>
    <t>1996m1</t>
  </si>
  <si>
    <t>Current Round:</t>
  </si>
  <si>
    <t>M26_</t>
  </si>
  <si>
    <t>1996Q1</t>
  </si>
  <si>
    <t>Run:</t>
  </si>
  <si>
    <t>Calc:</t>
  </si>
  <si>
    <t>Endogenous</t>
  </si>
  <si>
    <t>stif_fnab.m</t>
  </si>
  <si>
    <t>Exogenous</t>
  </si>
  <si>
    <t>Weights</t>
  </si>
  <si>
    <t>CPI</t>
  </si>
  <si>
    <t>Services</t>
  </si>
  <si>
    <t>Core goods</t>
  </si>
  <si>
    <t>Food including alcohol and tobacco</t>
  </si>
  <si>
    <t>Food</t>
  </si>
  <si>
    <t>Alcohol</t>
  </si>
  <si>
    <t>Tobacco</t>
  </si>
  <si>
    <t>Energy</t>
  </si>
  <si>
    <t>cpi_MPR</t>
  </si>
  <si>
    <t>import price</t>
  </si>
  <si>
    <t>exchange rate</t>
  </si>
  <si>
    <t>inflation expectation</t>
  </si>
  <si>
    <t>Energy contrib to CPI (yoy)</t>
  </si>
  <si>
    <t>Energy contrib to CPI (qoq)</t>
  </si>
  <si>
    <t>Food&amp;at</t>
  </si>
  <si>
    <t>FAME name</t>
  </si>
  <si>
    <t>stifidx</t>
  </si>
  <si>
    <t>stif_srv</t>
  </si>
  <si>
    <t>stif_gds_xeatfnab</t>
  </si>
  <si>
    <t>stif_fnab</t>
  </si>
  <si>
    <t>booze.m</t>
  </si>
  <si>
    <t>fags.m</t>
  </si>
  <si>
    <t>stif_pu</t>
  </si>
  <si>
    <t>cpisa</t>
  </si>
  <si>
    <t>pmdef</t>
  </si>
  <si>
    <t>eer</t>
  </si>
  <si>
    <t>encont</t>
  </si>
  <si>
    <t>encontqoq</t>
  </si>
  <si>
    <t>FAME data_adj</t>
  </si>
  <si>
    <t>CONV2QA(STIF_GDS_XEATFNAB_wgt.m)</t>
  </si>
  <si>
    <t>CONV2QA(stif_pu_wgt.m)</t>
  </si>
  <si>
    <t>CONV2QA(stif_srv_wgt.m)</t>
  </si>
  <si>
    <t>CONV2QA(stif_fnab_wgt.m)</t>
  </si>
  <si>
    <t>CONV2QA(booze_wgt.m)</t>
  </si>
  <si>
    <t>CONV2QA(fags_wgt.m)</t>
  </si>
  <si>
    <t>date</t>
  </si>
  <si>
    <t>stif_cpi</t>
  </si>
  <si>
    <t>services</t>
  </si>
  <si>
    <t>core_gds</t>
  </si>
  <si>
    <t>food_at</t>
  </si>
  <si>
    <t>food</t>
  </si>
  <si>
    <t>alcohol</t>
  </si>
  <si>
    <t>tobacco</t>
  </si>
  <si>
    <t>energy_f</t>
  </si>
  <si>
    <t>cpi_f</t>
  </si>
  <si>
    <t>pmdef_f</t>
  </si>
  <si>
    <t>eer_f</t>
  </si>
  <si>
    <t>infl_exp_f</t>
  </si>
  <si>
    <t>encont_f</t>
  </si>
  <si>
    <t>encontqoq_f</t>
  </si>
  <si>
    <t>cg_wgt</t>
  </si>
  <si>
    <t>e_wgt</t>
  </si>
  <si>
    <t>s_wgt</t>
  </si>
  <si>
    <t>food_wgt</t>
  </si>
  <si>
    <t>a_wgt</t>
  </si>
  <si>
    <t>t_wgt</t>
  </si>
  <si>
    <t>f_wgt</t>
  </si>
  <si>
    <t>F26_</t>
  </si>
  <si>
    <t>N25_</t>
  </si>
  <si>
    <t>A25_</t>
  </si>
  <si>
    <t>_fin.q</t>
  </si>
  <si>
    <t>A25</t>
  </si>
  <si>
    <t>$B$12</t>
  </si>
  <si>
    <t>Quarterly</t>
  </si>
  <si>
    <t>$C$12</t>
  </si>
  <si>
    <t>$D$12</t>
  </si>
  <si>
    <t>$E$12</t>
  </si>
  <si>
    <t>$F$12</t>
  </si>
  <si>
    <t>$G$12</t>
  </si>
  <si>
    <t>$H$12</t>
  </si>
  <si>
    <t>$I$12</t>
  </si>
  <si>
    <t>$J$12</t>
  </si>
  <si>
    <t>A25_cpisa_fin.q</t>
  </si>
  <si>
    <t>$K$12</t>
  </si>
  <si>
    <t>A25_pmdef_fin.q</t>
  </si>
  <si>
    <t>$L$12</t>
  </si>
  <si>
    <t>A25_eer_fin.q</t>
  </si>
  <si>
    <t>$N$12</t>
  </si>
  <si>
    <t>A25_encont_fin.q</t>
  </si>
  <si>
    <t>$O$12</t>
  </si>
  <si>
    <t>A25_encontqoq_fin.q</t>
  </si>
  <si>
    <t>$P$12</t>
  </si>
  <si>
    <t>$R$12</t>
  </si>
  <si>
    <t>$S$12</t>
  </si>
  <si>
    <t>$T$12</t>
  </si>
  <si>
    <t>$U$12</t>
  </si>
  <si>
    <t>N25</t>
  </si>
  <si>
    <t>F26</t>
  </si>
  <si>
    <t>M26</t>
  </si>
  <si>
    <t>M25_</t>
  </si>
  <si>
    <t>F25_</t>
  </si>
  <si>
    <t>N24_</t>
  </si>
  <si>
    <t>A24_</t>
  </si>
  <si>
    <t>M24_</t>
  </si>
  <si>
    <t>F24_</t>
  </si>
  <si>
    <t>N23_</t>
  </si>
  <si>
    <t>A23_</t>
  </si>
  <si>
    <t>A23</t>
  </si>
  <si>
    <t>A23_cpisa_fin.q</t>
  </si>
  <si>
    <t>A23_pmdef_fin.q</t>
  </si>
  <si>
    <t>A23_eer_fin.q</t>
  </si>
  <si>
    <t>A23_encont_fin.q</t>
  </si>
  <si>
    <t>A23_encontqoq_fin.q</t>
  </si>
  <si>
    <t>N23</t>
  </si>
  <si>
    <t>N23_cpisa_fin.q</t>
  </si>
  <si>
    <t>N23_pmdef_fin.q</t>
  </si>
  <si>
    <t>N23_eer_fin.q</t>
  </si>
  <si>
    <t>N23_encont_fin.q</t>
  </si>
  <si>
    <t>N23_encontqoq_fin.q</t>
  </si>
  <si>
    <t>F24</t>
  </si>
  <si>
    <t>F24_cpisa_fin.q</t>
  </si>
  <si>
    <t>F24_pmdef_fin.q</t>
  </si>
  <si>
    <t>F24_eer_fin.q</t>
  </si>
  <si>
    <t>F24_encont_fin.q</t>
  </si>
  <si>
    <t>F24_encontqoq_fin.q</t>
  </si>
  <si>
    <t>M24</t>
  </si>
  <si>
    <t>M24_cpisa_fin.q</t>
  </si>
  <si>
    <t>M24_pmdef_fin.q</t>
  </si>
  <si>
    <t>M24_eer_fin.q</t>
  </si>
  <si>
    <t>M24_encont_fin.q</t>
  </si>
  <si>
    <t>M24_encontqoq_fin.q</t>
  </si>
  <si>
    <t>A24</t>
  </si>
  <si>
    <t>A24_cpisa_fin.q</t>
  </si>
  <si>
    <t>A24_pmdef_fin.q</t>
  </si>
  <si>
    <t>A24_eer_fin.q</t>
  </si>
  <si>
    <t>A24_encont_fin.q</t>
  </si>
  <si>
    <t>A24_encontqoq_fin.q</t>
  </si>
  <si>
    <t>N24</t>
  </si>
  <si>
    <t>N24_cpisa_fin.q</t>
  </si>
  <si>
    <t>N24_pmdef_fin.q</t>
  </si>
  <si>
    <t>N24_eer_fin.q</t>
  </si>
  <si>
    <t>N24_encont_fin.q</t>
  </si>
  <si>
    <t>N24_encontqoq_fin.q</t>
  </si>
  <si>
    <t>F25</t>
  </si>
  <si>
    <t>F25_cpisa_fin.q</t>
  </si>
  <si>
    <t>F25_pmdef_fin.q</t>
  </si>
  <si>
    <t>F25_eer_fin.q</t>
  </si>
  <si>
    <t>F25_encont_fin.q</t>
  </si>
  <si>
    <t>F25_encontqoq_fin.q</t>
  </si>
  <si>
    <t>M25</t>
  </si>
  <si>
    <t>M25_cpisa_fin.q</t>
  </si>
  <si>
    <t>M25_pmdef_fin.q</t>
  </si>
  <si>
    <t>M25_eer_fin.q</t>
  </si>
  <si>
    <t>M25_encont_fin.q</t>
  </si>
  <si>
    <t>M25_encontqoq_fin.q</t>
  </si>
  <si>
    <t>N25_cpisa_fin.q</t>
  </si>
  <si>
    <t>N25_pmdef_fin.q</t>
  </si>
  <si>
    <t>N25_eer_fin.q</t>
  </si>
  <si>
    <t>N25_encont_fin.q</t>
  </si>
  <si>
    <t>N25_encontqoq_fin.q</t>
  </si>
  <si>
    <t>F26_cpisa_fin.q</t>
  </si>
  <si>
    <t>F26_pmdef_fin.q</t>
  </si>
  <si>
    <t>F26_eer_fin.q</t>
  </si>
  <si>
    <t>F26_encont_fin.q</t>
  </si>
  <si>
    <t>F26_encontqoq_fin.q</t>
  </si>
  <si>
    <t>M26_cpisa_fin.q</t>
  </si>
  <si>
    <t>M26_pmdef_fin.q</t>
  </si>
  <si>
    <t>M26_eer_fin.q</t>
  </si>
  <si>
    <t>M26_encont_fin.q</t>
  </si>
  <si>
    <t>M26_encontqoq_fin.q</t>
  </si>
  <si>
    <t>M23_</t>
  </si>
  <si>
    <t>2029Q4</t>
  </si>
  <si>
    <t>M23</t>
  </si>
  <si>
    <t>M23_cpisa_fin.q</t>
  </si>
  <si>
    <t>M23_pmdef_fin.q</t>
  </si>
  <si>
    <t>M23_eer_fin.q</t>
  </si>
  <si>
    <t>M23_encont_fin.q</t>
  </si>
  <si>
    <t>M23_encontqoq_fin.q</t>
  </si>
  <si>
    <t>A1:A136</t>
  </si>
  <si>
    <t>_apr2023.m</t>
  </si>
  <si>
    <t>2023Q3</t>
  </si>
  <si>
    <t>2023m9</t>
  </si>
  <si>
    <t>2026Q4</t>
  </si>
  <si>
    <t>2026m12</t>
  </si>
  <si>
    <t>A1:A111</t>
  </si>
  <si>
    <t>conv2qa(X12(stifidx_apr2023.m,MULT,1996m1,2023m9))</t>
  </si>
  <si>
    <t>conv2qa(X12(stif_gds_xeatfnab_apr2023.m,MULT,1996m1,2023m9))</t>
  </si>
  <si>
    <t>conv2qa(X12(cpi_aggregation(stif_fnab.m, booze.m,fags.m,#,#,#,#,#,#,#,#,#,#,#,#,#,#,#,#,#),MULT,1996m1,2023m9))</t>
  </si>
  <si>
    <t>conv2qa(X12(stif_fnab_apr2023.m,MULT,1996m1,2023m9))</t>
  </si>
  <si>
    <t>conv2qa(X12(booze.m,MULT,1996m1,2023m9))</t>
  </si>
  <si>
    <t>conv2qa(X12(fags.m,MULT,1996m1,2023m9))</t>
  </si>
  <si>
    <t>conv2qa(X12(stif_srv_apr2023.m,MULT,1996m1,2023m9))</t>
  </si>
  <si>
    <t>A1:A124</t>
  </si>
  <si>
    <t>conv2qa(X12(stif_pu_apr2023.m,MULT,1996m1,2026m12))</t>
  </si>
  <si>
    <t>_jul2023.m</t>
  </si>
  <si>
    <t>2023Q4</t>
  </si>
  <si>
    <t>2023m12</t>
  </si>
  <si>
    <t>A1:A112</t>
  </si>
  <si>
    <t>conv2qa(X12(stif_srv_jul2023.m,MULT,1996m1,2023m12))</t>
  </si>
  <si>
    <t>conv2qa(X12(stif_gds_xeatfnab_jul2023.m,MULT,1996m1,2023m12))</t>
  </si>
  <si>
    <t>conv2qa(X12(cpi_aggregation(stif_fnab.m, booze.m,fags.m,#,#,#,#,#,#,#,#,#,#,#,#,#,#,#,#,#),MULT,1996m1,2023m12))</t>
  </si>
  <si>
    <t>conv2qa(X12(stif_fnab_jul2023.m,MULT,1996m1,2023m12))</t>
  </si>
  <si>
    <t>conv2qa(X12(booze.m,MULT,1996m1,2023m12))</t>
  </si>
  <si>
    <t>conv2qa(X12(fags.m,MULT,1996m1,2023m12))</t>
  </si>
  <si>
    <t>conv2qa(X12(stifidx_jul2023.m,MULT,1996m1,2023m12))</t>
  </si>
  <si>
    <t>2026Q1</t>
  </si>
  <si>
    <t>2026Q3</t>
  </si>
  <si>
    <t>conv2qa(X12(stif_pu_jul2023.m,MULT,1996m1,2026m12))</t>
  </si>
  <si>
    <t>_oct2023.m</t>
  </si>
  <si>
    <t>2024Q1</t>
  </si>
  <si>
    <t>2024m3</t>
  </si>
  <si>
    <t>A1:A113</t>
  </si>
  <si>
    <t>conv2qa(X12(stif_srv_oct2023.m,MULT,1996m1,2024m3))</t>
  </si>
  <si>
    <t>conv2qa(X12(stif_gds_xeatfnab_oct2023.m,MULT,1996m1,2024m3))</t>
  </si>
  <si>
    <t>conv2qa(X12(cpi_aggregation(stif_fnab.m, booze.m,fags.m,#,#,#,#,#,#,#,#,#,#,#,#,#,#,#,#,#),MULT,1996m1,2024m3))</t>
  </si>
  <si>
    <t>conv2qa(X12(stif_fnab_oct2023.m,MULT,1996m1,2024m3))</t>
  </si>
  <si>
    <t>conv2qa(X12(booze.m,MULT,1996m1,2024m3))</t>
  </si>
  <si>
    <t>conv2qa(X12(fags.m,MULT,1996m1,2024m3))</t>
  </si>
  <si>
    <t>conv2qa(X12(stifidx_oct2023.m,MULT,1996m1,2024m3))</t>
  </si>
  <si>
    <t>_jan2024.m</t>
  </si>
  <si>
    <t>2024Q2</t>
  </si>
  <si>
    <t>2024m6</t>
  </si>
  <si>
    <t>conv2qa(X12(stif_pu_oct2023.m,MULT,1996m1,2026m12))</t>
  </si>
  <si>
    <t>A1:A114</t>
  </si>
  <si>
    <t>conv2qa(X12(stif_srv_jan2024.m,MULT,1996m1,2024m6))</t>
  </si>
  <si>
    <t>conv2qa(X12(stif_gds_xeatfnab_jan2024.m,MULT,1996m1,2024m6))</t>
  </si>
  <si>
    <t>conv2qa(X12(cpi_aggregation(stif_fnab.m, booze.m,fags.m,#,#,#,#,#,#,#,#,#,#,#,#,#,#,#,#,#),MULT,1996m1,2024m6))</t>
  </si>
  <si>
    <t>conv2qa(X12(stif_fnab_jan2024.m,MULT,1996m1,2024m6))</t>
  </si>
  <si>
    <t>conv2qa(X12(booze.m,MULT,1996m1,2024m6))</t>
  </si>
  <si>
    <t>conv2qa(X12(fags.m,MULT,1996m1,2024m6))</t>
  </si>
  <si>
    <t>conv2qa(X12(stifidx_jan2024.m,MULT,1996m1,2024m6))</t>
  </si>
  <si>
    <t>conv2qa(X12(stif_pu_jan2024.m,MULT,1996m1,2026m12))</t>
  </si>
  <si>
    <t>_apr2024.m</t>
  </si>
  <si>
    <t>2024Q3</t>
  </si>
  <si>
    <t>2024m9</t>
  </si>
  <si>
    <t>conv2qa(X12(stif_pu_apr2024.m,MULT,1996m1,2026m12))</t>
  </si>
  <si>
    <t>A1:A115</t>
  </si>
  <si>
    <t>conv2qa(X12(stif_srv_apr2024.m,MULT,1996m1,2024m9))</t>
  </si>
  <si>
    <t>conv2qa(X12(stif_gds_xeatfnab_apr2024.m,MULT,1996m1,2024m9))</t>
  </si>
  <si>
    <t>conv2qa(X12(cpi_aggregation(stif_fnab.m, booze.m,fags.m,#,#,#,#,#,#,#,#,#,#,#,#,#,#,#,#,#),MULT,1996m1,2024m9))</t>
  </si>
  <si>
    <t>conv2qa(X12(stif_fnab_apr2024.m,MULT,1996m1,2024m9))</t>
  </si>
  <si>
    <t>conv2qa(X12(booze.m,MULT,1996m1,2024m9))</t>
  </si>
  <si>
    <t>conv2qa(X12(fags.m,MULT,1996m1,2024m9))</t>
  </si>
  <si>
    <t>conv2qa(X12(stifidx_apr2024.m,MULT,1996m1,2024m9))</t>
  </si>
  <si>
    <t>_jul2024.m</t>
  </si>
  <si>
    <t>2024Q4</t>
  </si>
  <si>
    <t>2024m12</t>
  </si>
  <si>
    <t>A1:A116</t>
  </si>
  <si>
    <t>conv2qa(X12(stif_srv_jul2024.m,MULT,1996m1,2024m12))</t>
  </si>
  <si>
    <t>conv2qa(X12(stif_gds_xeatfnab_jul2024.m,MULT,1996m1,2024m12))</t>
  </si>
  <si>
    <t>conv2qa(X12(cpi_aggregation(stif_fnab.m, booze.m,fags.m,#,#,#,#,#,#,#,#,#,#,#,#,#,#,#,#,#),MULT,1996m1,2024m12))</t>
  </si>
  <si>
    <t>conv2qa(X12(stif_fnab_jul2024.m,MULT,1996m1,2024m12))</t>
  </si>
  <si>
    <t>conv2qa(X12(booze.m,MULT,1996m1,2024m12))</t>
  </si>
  <si>
    <t>conv2qa(X12(fags.m,MULT,1996m1,2024m12))</t>
  </si>
  <si>
    <t>conv2qa(X12(stifidx_jul2024.m,MULT,1996m1,2024m12))</t>
  </si>
  <si>
    <t>conv2qa(X12(stif_pu_jul2024.m,MULT,1996m1,2026m12))</t>
  </si>
  <si>
    <t>_oct2024.m</t>
  </si>
  <si>
    <t>2025Q1</t>
  </si>
  <si>
    <t>2025m3</t>
  </si>
  <si>
    <t>A1:A117</t>
  </si>
  <si>
    <t>conv2qa(X12(stif_srv_oct2024.m,MULT,1996m1,2025m3))</t>
  </si>
  <si>
    <t>conv2qa(X12(stif_gds_xeatfnab_oct2024.m,MULT,1996m1,2025m3))</t>
  </si>
  <si>
    <t>conv2qa(X12(cpi_aggregation(stif_fnab.m, booze.m,fags.m,#,#,#,#,#,#,#,#,#,#,#,#,#,#,#,#,#),MULT,1996m1,2025m3))</t>
  </si>
  <si>
    <t>conv2qa(X12(stif_fnab_oct2024.m,MULT,1996m1,2025m3))</t>
  </si>
  <si>
    <t>conv2qa(X12(booze.m,MULT,1996m1,2025m3))</t>
  </si>
  <si>
    <t>conv2qa(X12(fags.m,MULT,1996m1,2025m3))</t>
  </si>
  <si>
    <t>conv2qa(X12(stifidx_oct2024.m,MULT,1996m1,2025m3))</t>
  </si>
  <si>
    <t>2028Q4</t>
  </si>
  <si>
    <t>2028m12</t>
  </si>
  <si>
    <t>A1:A132</t>
  </si>
  <si>
    <t>conv2qa(X12(stif_pu_oct2024.m,MULT,1996m1,2028m12))</t>
  </si>
  <si>
    <t>_jan2025.m</t>
  </si>
  <si>
    <t>2025Q2</t>
  </si>
  <si>
    <t>2025m6</t>
  </si>
  <si>
    <t>A1:A118</t>
  </si>
  <si>
    <t>conv2qa(X12(stif_srv_jan2025.m,MULT,1996m1,2025m6))</t>
  </si>
  <si>
    <t>conv2qa(X12(stif_gds_xeatfnab_jan2025.m,MULT,1996m1,2025m6))</t>
  </si>
  <si>
    <t>conv2qa(X12(cpi_aggregation(stif_fnab.m, booze.m,fags.m,#,#,#,#,#,#,#,#,#,#,#,#,#,#,#,#,#),MULT,1996m1,2025m6))</t>
  </si>
  <si>
    <t>conv2qa(X12(stif_fnab_jan2025.m,MULT,1996m1,2025m6))</t>
  </si>
  <si>
    <t>conv2qa(X12(booze.m,MULT,1996m1,2025m6))</t>
  </si>
  <si>
    <t>conv2qa(X12(fags.m,MULT,1996m1,2025m6))</t>
  </si>
  <si>
    <t>conv2qa(X12(stifidx_jan2025.m,MULT,1996m1,2025m6))</t>
  </si>
  <si>
    <t>2025Q3</t>
  </si>
  <si>
    <t>2025m9</t>
  </si>
  <si>
    <t>_apr2025.m</t>
  </si>
  <si>
    <t>conv2qa(X12(stif_pu_jan2025.m,MULT,1996m1,2028m12))</t>
  </si>
  <si>
    <t>A1:A119</t>
  </si>
  <si>
    <t>conv2qa(X12(stif_srv_apr2025.m,MULT,1996m1,2025m9))</t>
  </si>
  <si>
    <t>conv2qa(X12(stif_gds_xeatfnab_apr2025.m,MULT,1996m1,2025m9))</t>
  </si>
  <si>
    <t>conv2qa(X12(cpi_aggregation(stif_fnab.m, booze.m,fags.m,#,#,#,#,#,#,#,#,#,#,#,#,#,#,#,#,#),MULT,1996m1,2025m9))</t>
  </si>
  <si>
    <t>conv2qa(X12(stif_fnab_apr2025.m,MULT,1996m1,2025m9))</t>
  </si>
  <si>
    <t>conv2qa(X12(booze.m,MULT,1996m1,2025m9))</t>
  </si>
  <si>
    <t>conv2qa(X12(fags.m,MULT,1996m1,2025m9))</t>
  </si>
  <si>
    <t>conv2qa(X12(stifidx_apr2025.m,MULT,1996m1,2025m9))</t>
  </si>
  <si>
    <t>2025m12</t>
  </si>
  <si>
    <t>2025Q4</t>
  </si>
  <si>
    <t>_jul2025.m</t>
  </si>
  <si>
    <t>conv2qa(X12(stif_pu_apr2025.m,MULT,1996m1,2028m12))</t>
  </si>
  <si>
    <t>A1:A120</t>
  </si>
  <si>
    <t>conv2qa(X12(stif_srv_jul2025.m,MULT,1996m1,2025m12))</t>
  </si>
  <si>
    <t>conv2qa(X12(stif_gds_xeatfnab_jul2025.m,MULT,1996m1,2025m12))</t>
  </si>
  <si>
    <t>conv2qa(X12(cpi_aggregation(stif_fnab.m, booze.m,fags.m,#,#,#,#,#,#,#,#,#,#,#,#,#,#,#,#,#),MULT,1996m1,2025m12))</t>
  </si>
  <si>
    <t>conv2qa(X12(stif_fnab_jul2025.m,MULT,1996m1,2025m12))</t>
  </si>
  <si>
    <t>conv2qa(X12(booze.m,MULT,1996m1,2025m12))</t>
  </si>
  <si>
    <t>conv2qa(X12(fags.m,MULT,1996m1,2025m12))</t>
  </si>
  <si>
    <t>conv2qa(X12(stifidx_jul2025.m,MULT,1996m1,2025m12))</t>
  </si>
  <si>
    <t>2026m3</t>
  </si>
  <si>
    <t>_oct2025.m</t>
  </si>
  <si>
    <t>conv2qa(X12(stif_pu_jul2025.m,MULT,1996m1,2028m12))</t>
  </si>
  <si>
    <t>A1:A121</t>
  </si>
  <si>
    <t>conv2qa(X12(stif_srv_oct2025.m,MULT,1996m1,2026m3))</t>
  </si>
  <si>
    <t>conv2qa(X12(stif_gds_xeatfnab_oct2025.m,MULT,1996m1,2026m3))</t>
  </si>
  <si>
    <t>conv2qa(X12(cpi_aggregation(stif_fnab.m, booze.m,fags.m,#,#,#,#,#,#,#,#,#,#,#,#,#,#,#,#,#),MULT,1996m1,2026m3))</t>
  </si>
  <si>
    <t>conv2qa(X12(stif_fnab_oct2025.m,MULT,1996m1,2026m3))</t>
  </si>
  <si>
    <t>conv2qa(X12(booze.m,MULT,1996m1,2026m3))</t>
  </si>
  <si>
    <t>conv2qa(X12(fags.m,MULT,1996m1,2026m3))</t>
  </si>
  <si>
    <t>conv2qa(X12(stifidx_oct2025.m,MULT,1996m1,2026m3))</t>
  </si>
  <si>
    <t>2026Q2</t>
  </si>
  <si>
    <t>conv2qa(X12(stif_pu_oct2025.m,MULT,1996m1,2028m12))</t>
  </si>
  <si>
    <t>2026m6</t>
  </si>
  <si>
    <t>_jan2026.m</t>
  </si>
  <si>
    <t>A1:A122</t>
  </si>
  <si>
    <t>conv2qa(X12(stif_srv_jan2026.m,MULT,1996m1,2026m6))</t>
  </si>
  <si>
    <t>conv2qa(X12(stif_gds_xeatfnab_jan2026.m,MULT,1996m1,2026m6))</t>
  </si>
  <si>
    <t>conv2qa(X12(cpi_aggregation(stif_fnab.m, booze.m,fags.m,#,#,#,#,#,#,#,#,#,#,#,#,#,#,#,#,#),MULT,1996m1,2026m6))</t>
  </si>
  <si>
    <t>conv2qa(X12(stif_fnab_jan2026.m,MULT,1996m1,2026m6))</t>
  </si>
  <si>
    <t>conv2qa(X12(booze.m,MULT,1996m1,2026m6))</t>
  </si>
  <si>
    <t>conv2qa(X12(fags.m,MULT,1996m1,2026m6))</t>
  </si>
  <si>
    <t>conv2qa(X12(stifidx_jan2026.m,MULT,1996m1,2026m6))</t>
  </si>
  <si>
    <t>2026m9</t>
  </si>
  <si>
    <t>_apr2026.m</t>
  </si>
  <si>
    <t>conv2qa(X12(stif_pu_jan2026.m,MULT,1996m1,2028m12))</t>
  </si>
  <si>
    <t>A1:A123</t>
  </si>
  <si>
    <t>conv2qa(X12(stif_srv_apr2026.m,MULT,1996m1,2026m9))</t>
  </si>
  <si>
    <t>conv2qa(X12(stif_gds_xeatfnab_apr2026.m,MULT,1996m1,2026m9))</t>
  </si>
  <si>
    <t>conv2qa(X12(cpi_aggregation(stif_fnab.m, booze.m,fags.m,#,#,#,#,#,#,#,#,#,#,#,#,#,#,#,#,#),MULT,1996m1,2026m9))</t>
  </si>
  <si>
    <t>conv2qa(X12(stif_fnab_apr2026.m,MULT,1996m1,2026m9))</t>
  </si>
  <si>
    <t>conv2qa(X12(booze.m,MULT,1996m1,2026m9))</t>
  </si>
  <si>
    <t>conv2qa(X12(fags.m,MULT,1996m1,2026m9))</t>
  </si>
  <si>
    <t>conv2qa(X12(stifidx_apr2026.m,MULT,1996m1,2026m9))</t>
  </si>
  <si>
    <t>2029Q2</t>
  </si>
  <si>
    <t>2029m6</t>
  </si>
  <si>
    <t>A1:A134</t>
  </si>
  <si>
    <t>conv2qa(X12(stif_pu_apr2026.m,MULT,1996m1,2029m6))</t>
  </si>
  <si>
    <t>Outputgap</t>
  </si>
  <si>
    <t>outputgap</t>
  </si>
  <si>
    <t>$V$12</t>
  </si>
  <si>
    <t>Refresh</t>
  </si>
  <si>
    <t>M23_outputgap_fin.q</t>
  </si>
  <si>
    <t>A23_outputgap_fin.q</t>
  </si>
  <si>
    <t>N23_outputgap_fin.q</t>
  </si>
  <si>
    <t>F24_outputgap_fin.q</t>
  </si>
  <si>
    <t>M24_outputgap_fin.q</t>
  </si>
  <si>
    <t>A24_outputgap_fin.q</t>
  </si>
  <si>
    <t>N24_outputgap_fin.q</t>
  </si>
  <si>
    <t>F25_outputgap_fin.q</t>
  </si>
  <si>
    <t>M25_outputgap_fin.q</t>
  </si>
  <si>
    <t>A25_outputgap_fin.q</t>
  </si>
  <si>
    <t>N25_outputgap_fin.q</t>
  </si>
  <si>
    <t>F26_outputgap_fin.q</t>
  </si>
  <si>
    <t>M26_outputgap_fin.q</t>
  </si>
  <si>
    <t>$Q$12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</si>
</sst>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1" fillId="3" borderId="0" xfId="0" applyFont="1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3" fillId="7" borderId="0" xfId="0" applyFont="1" applyFill="1"/>
    <xf numFmtId="0" fontId="4" fillId="6" borderId="0" xfId="0" applyFont="1" applyFill="1"/>
    <xf numFmtId="0" fontId="5" fillId="8" borderId="0" xfId="0" applyFont="1" applyFill="1" applyAlignment="1">
      <alignment vertical="center"/>
    </xf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quotePrefix="1"/>
    <xf numFmtId="19" fontId="0" fillId="0" borderId="0" xfId="0" applyNumberFormat="1"/>
    <xf numFmtId="22" fontId="0" fillId="0" borderId="0" xfId="0" applyNumberFormat="1"/>
    <xf numFmtId="14" fontId="0" fillId="3" borderId="0" xfId="0" applyNumberFormat="1" applyFill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MPOD\Infrastructure%20Investment\02_Team_members\Carlos\3.%20CPI%20disaggregation%20in%20PT\A25_draft_Disagg_CPI_VAR_data.xlsx" TargetMode="External"/><Relationship Id="rId1" Type="http://schemas.openxmlformats.org/officeDocument/2006/relationships/externalLinkPath" Target="file:///N:\MPOD\Infrastructure%20Investment\02_Team_members\Carlos\3.%20CPI%20disaggregation%20in%20PT\A25_draft_Disagg_CPI_VAR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populator.xlam" TargetMode="External"/><Relationship Id="rId1" Type="http://schemas.microsoft.com/office/2006/relationships/xlExternalLinkPath/xlLibrary" Target="populator.xla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Div4\Fcast%20-%20NEW\Forecast%20rounds\May%202026\Driving\Suite%20models\Wage%20suite\Wage%20growth%20suite%20-%20M26%20draft.xlsx" TargetMode="External"/><Relationship Id="rId1" Type="http://schemas.openxmlformats.org/officeDocument/2006/relationships/externalLinkPath" Target="file:///N:\Div4\Fcast%20-%20NEW\Forecast%20rounds\May%202026\Driving\Suite%20models\Wage%20suite\Wage%20growth%20suite%20-%20M26%20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ME Persistence2"/>
      <sheetName val="Controls and README"/>
      <sheetName val="VAR_variables"/>
      <sheetName val="data_levels"/>
      <sheetName val="VAR_controls"/>
      <sheetName val="FAME"/>
      <sheetName val="OIS"/>
      <sheetName val="--&gt; OUTPUT RESULTS (ReadMe)"/>
      <sheetName val="Comp Infl Exp"/>
      <sheetName val="A24Draft vs N24fin"/>
      <sheetName val="mthlyCF_q50"/>
      <sheetName val="mthlyCF_q5"/>
      <sheetName val="mthlyCF_q16"/>
      <sheetName val="mthlyCF_q84"/>
      <sheetName val="mthlyCF_q95"/>
      <sheetName val="mthlyCFMPC_q50"/>
      <sheetName val="mthlyCFQ2_q50"/>
      <sheetName val="mthlyUC_q50"/>
      <sheetName val="qrtlCF_q50"/>
      <sheetName val="qrtlCF_q5"/>
      <sheetName val="qrtlCF_q16"/>
      <sheetName val="qrtlCF_q84"/>
      <sheetName val="qrtlCF_q95"/>
      <sheetName val="qrtlCFMPC_q50"/>
      <sheetName val="qrtlCFQ2_q50"/>
      <sheetName val="qrtlUC_q50"/>
    </sheetNames>
    <sheetDataSet>
      <sheetData sheetId="0"/>
      <sheetData sheetId="1">
        <row r="3">
          <cell r="C3">
            <v>32905</v>
          </cell>
        </row>
        <row r="4">
          <cell r="C4" t="str">
            <v>A25</v>
          </cell>
        </row>
        <row r="5">
          <cell r="C5" t="str">
            <v>draft1</v>
          </cell>
        </row>
        <row r="7">
          <cell r="C7">
            <v>46022</v>
          </cell>
        </row>
        <row r="8">
          <cell r="C8">
            <v>47026</v>
          </cell>
        </row>
      </sheetData>
      <sheetData sheetId="2"/>
      <sheetData sheetId="3"/>
      <sheetData sheetId="4"/>
      <sheetData sheetId="5"/>
      <sheetData sheetId="6">
        <row r="6">
          <cell r="A6">
            <v>45869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FAMEData"/>
    </defined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ME Persistence2"/>
      <sheetName val="Control"/>
      <sheetName val="For Drivers"/>
      <sheetName val="Growth &amp; levels swathes"/>
      <sheetName val="Swathes old vs new"/>
      <sheetName val="Forecast round data"/>
      <sheetName val="VAR expectations"/>
      <sheetName val="eviews input"/>
      <sheetName val="Adjustments"/>
      <sheetName val="Adjustments full sample"/>
      <sheetName val="Model 1 (best ECM) awerps"/>
      <sheetName val="Model 2 (Haldane) awerps"/>
      <sheetName val="Model 3 (Yellen) awerps"/>
      <sheetName val="Model 4 (New Yellen) awerps"/>
      <sheetName val="Charts"/>
      <sheetName val="Levels news (ECM)"/>
      <sheetName val="CECD data for adjustments"/>
      <sheetName val="Swathes full samples"/>
      <sheetName val="Model 1 (best ECM) full sample"/>
      <sheetName val="Model 2 (Haldane) full sample"/>
      <sheetName val="Model 3 (Yellen) full sample"/>
      <sheetName val="Model 3 (Yellen) awerps- fit 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5">
          <cell r="C25">
            <v>3.1301783998157688</v>
          </cell>
        </row>
        <row r="26">
          <cell r="C26">
            <v>3.0051764513932908</v>
          </cell>
        </row>
        <row r="27">
          <cell r="C27">
            <v>2.8702283679431879</v>
          </cell>
        </row>
        <row r="28">
          <cell r="C28">
            <v>2.9134956808346839</v>
          </cell>
        </row>
        <row r="29">
          <cell r="C29">
            <v>2.9508797810805625</v>
          </cell>
        </row>
        <row r="30">
          <cell r="C30">
            <v>2.8381939548016515</v>
          </cell>
        </row>
        <row r="31">
          <cell r="C31">
            <v>2.8297561485681602</v>
          </cell>
        </row>
        <row r="32">
          <cell r="C32">
            <v>2.9321854674737633</v>
          </cell>
        </row>
        <row r="33">
          <cell r="C33">
            <v>2.851780044136321</v>
          </cell>
        </row>
        <row r="34">
          <cell r="C34">
            <v>2.6821380894467257</v>
          </cell>
        </row>
        <row r="35">
          <cell r="C35">
            <v>3.0527221681668375</v>
          </cell>
        </row>
        <row r="36">
          <cell r="C36">
            <v>2.8151174291133074</v>
          </cell>
        </row>
        <row r="37">
          <cell r="C37">
            <v>2.6154884948264598</v>
          </cell>
        </row>
        <row r="38">
          <cell r="C38">
            <v>2.6428562485995646</v>
          </cell>
        </row>
        <row r="39">
          <cell r="C39">
            <v>2.8292929206876933</v>
          </cell>
        </row>
        <row r="40">
          <cell r="C40">
            <v>2.782809710824401</v>
          </cell>
        </row>
        <row r="41">
          <cell r="C41">
            <v>2.9050115480316223</v>
          </cell>
        </row>
        <row r="42">
          <cell r="C42">
            <v>3.1797827097537499</v>
          </cell>
        </row>
        <row r="43">
          <cell r="C43">
            <v>3.4444390840252752</v>
          </cell>
        </row>
        <row r="44">
          <cell r="C44">
            <v>3.2371139634797124</v>
          </cell>
        </row>
        <row r="45">
          <cell r="C45">
            <v>3.3504016664521434</v>
          </cell>
        </row>
        <row r="46">
          <cell r="C46">
            <v>3.4355092923982902</v>
          </cell>
        </row>
        <row r="47">
          <cell r="C47">
            <v>3.0318466606958814</v>
          </cell>
        </row>
        <row r="48">
          <cell r="C48">
            <v>2.9135124750770758</v>
          </cell>
        </row>
        <row r="49">
          <cell r="C49">
            <v>2.7839723709682413</v>
          </cell>
        </row>
        <row r="50">
          <cell r="C50">
            <v>2.5771344994295728</v>
          </cell>
        </row>
        <row r="51">
          <cell r="C51">
            <v>2.6427151941363944</v>
          </cell>
        </row>
        <row r="52">
          <cell r="C52">
            <v>2.5107508450090452</v>
          </cell>
        </row>
        <row r="53">
          <cell r="C53">
            <v>2.480790509902373</v>
          </cell>
        </row>
        <row r="54">
          <cell r="C54">
            <v>2.4571125053402318</v>
          </cell>
        </row>
        <row r="55">
          <cell r="C55">
            <v>2.4793436532788289</v>
          </cell>
        </row>
        <row r="56">
          <cell r="C56">
            <v>2.2606623386544604</v>
          </cell>
        </row>
        <row r="57">
          <cell r="C57">
            <v>2.2219944984907083</v>
          </cell>
        </row>
        <row r="58">
          <cell r="C58">
            <v>2.3621300730309192</v>
          </cell>
        </row>
        <row r="59">
          <cell r="C59">
            <v>2.1718892232885554</v>
          </cell>
        </row>
        <row r="60">
          <cell r="C60">
            <v>2.2636382290406152</v>
          </cell>
        </row>
        <row r="61">
          <cell r="C61">
            <v>2.420078349479549</v>
          </cell>
        </row>
        <row r="62">
          <cell r="C62">
            <v>2.3348466240519783</v>
          </cell>
        </row>
        <row r="63">
          <cell r="C63">
            <v>2.329046618617225</v>
          </cell>
        </row>
        <row r="64">
          <cell r="C64">
            <v>2.5421835321638784</v>
          </cell>
        </row>
        <row r="65">
          <cell r="C65">
            <v>2.3887461732171329</v>
          </cell>
        </row>
        <row r="66">
          <cell r="C66">
            <v>2.197575219813666</v>
          </cell>
        </row>
        <row r="67">
          <cell r="C67">
            <v>2.507260502799705</v>
          </cell>
        </row>
        <row r="68">
          <cell r="C68">
            <v>2.5370974361013499</v>
          </cell>
        </row>
        <row r="69">
          <cell r="C69">
            <v>2.6184554615948845</v>
          </cell>
        </row>
        <row r="70">
          <cell r="C70">
            <v>2.5768443943169923</v>
          </cell>
        </row>
        <row r="71">
          <cell r="C71">
            <v>2.4054948631666009</v>
          </cell>
        </row>
        <row r="72">
          <cell r="C72">
            <v>2.3903185646503933</v>
          </cell>
        </row>
        <row r="73">
          <cell r="C73">
            <v>2.2621936183541234</v>
          </cell>
        </row>
        <row r="74">
          <cell r="C74">
            <v>2.2761535969954032</v>
          </cell>
        </row>
        <row r="75">
          <cell r="C75">
            <v>2.3383760137173226</v>
          </cell>
        </row>
        <row r="76">
          <cell r="C76">
            <v>2.4666666666666477</v>
          </cell>
        </row>
        <row r="77">
          <cell r="C77">
            <v>2.4000000000000123</v>
          </cell>
        </row>
        <row r="78">
          <cell r="C78">
            <v>2.2999999999999843</v>
          </cell>
        </row>
        <row r="79">
          <cell r="C79">
            <v>2.4333333333333633</v>
          </cell>
        </row>
        <row r="80">
          <cell r="C80">
            <v>2.5333333333333421</v>
          </cell>
        </row>
        <row r="81">
          <cell r="C81">
            <v>2.4666666666666814</v>
          </cell>
        </row>
        <row r="82">
          <cell r="C82">
            <v>2.4999999999999987</v>
          </cell>
        </row>
        <row r="83">
          <cell r="C83">
            <v>2.6999999999999864</v>
          </cell>
        </row>
        <row r="84">
          <cell r="C84">
            <v>3.3233333333333448</v>
          </cell>
        </row>
        <row r="85">
          <cell r="C85">
            <v>4.1266666666667335</v>
          </cell>
        </row>
        <row r="86">
          <cell r="C86">
            <v>4.3404589371979831</v>
          </cell>
        </row>
        <row r="87">
          <cell r="C87">
            <v>1.5441543026706288</v>
          </cell>
        </row>
        <row r="88">
          <cell r="C88">
            <v>1.4821164021163924</v>
          </cell>
        </row>
        <row r="89">
          <cell r="C89">
            <v>1.8160783232406086</v>
          </cell>
        </row>
        <row r="90">
          <cell r="C90">
            <v>1.8710162025955688</v>
          </cell>
        </row>
        <row r="91">
          <cell r="C91">
            <v>2.0075486250838721</v>
          </cell>
        </row>
        <row r="92">
          <cell r="C92">
            <v>2.301390043398611</v>
          </cell>
        </row>
        <row r="93">
          <cell r="C93">
            <v>2.6505886564059562</v>
          </cell>
        </row>
        <row r="94">
          <cell r="C94">
            <v>2.8352346264846378</v>
          </cell>
        </row>
        <row r="95">
          <cell r="C95">
            <v>3.2715136112828467</v>
          </cell>
        </row>
        <row r="96">
          <cell r="C96">
            <v>3.5419702495573993</v>
          </cell>
        </row>
        <row r="97">
          <cell r="C97">
            <v>3.375212504142874</v>
          </cell>
        </row>
        <row r="98">
          <cell r="C98">
            <v>3.4898805472145966</v>
          </cell>
        </row>
        <row r="99">
          <cell r="C99">
            <v>3.2213697643305159</v>
          </cell>
        </row>
        <row r="100">
          <cell r="C100">
            <v>2.6732813585155433</v>
          </cell>
        </row>
        <row r="101">
          <cell r="C101">
            <v>2.7328072825683152</v>
          </cell>
        </row>
        <row r="102">
          <cell r="C102">
            <v>2.6338769922366603</v>
          </cell>
        </row>
        <row r="103">
          <cell r="C103">
            <v>2.8395493192289751</v>
          </cell>
        </row>
        <row r="104">
          <cell r="C104">
            <v>2.7984394444998073</v>
          </cell>
        </row>
        <row r="105">
          <cell r="C105">
            <v>2.5464188172083313</v>
          </cell>
        </row>
        <row r="106">
          <cell r="C106">
            <v>2.5748216030053293</v>
          </cell>
        </row>
        <row r="107">
          <cell r="C107">
            <v>2.8319255146371365</v>
          </cell>
        </row>
        <row r="108">
          <cell r="C108">
            <v>2.2293252935517471</v>
          </cell>
        </row>
        <row r="109">
          <cell r="C109">
            <v>2.056924231171823</v>
          </cell>
        </row>
        <row r="110">
          <cell r="C110">
            <v>2.1248729237613553</v>
          </cell>
        </row>
        <row r="111">
          <cell r="C111">
            <v>1.7035599242558022</v>
          </cell>
        </row>
        <row r="112">
          <cell r="C112">
            <v>1.1817637648378063</v>
          </cell>
        </row>
        <row r="113">
          <cell r="C113">
            <v>1.1947961687177484</v>
          </cell>
        </row>
        <row r="114">
          <cell r="C114">
            <v>1.4668407504949574</v>
          </cell>
        </row>
        <row r="115">
          <cell r="C115">
            <v>1.2905237090286479</v>
          </cell>
        </row>
        <row r="116">
          <cell r="C116">
            <v>1.4081096049117914</v>
          </cell>
        </row>
        <row r="117">
          <cell r="C117">
            <v>1.5354544995855299</v>
          </cell>
        </row>
        <row r="118">
          <cell r="C118">
            <v>1.7661002699234809</v>
          </cell>
        </row>
        <row r="119">
          <cell r="C119">
            <v>2.4293341619440096</v>
          </cell>
        </row>
        <row r="120">
          <cell r="C120">
            <v>2.5776958521780435</v>
          </cell>
        </row>
        <row r="121">
          <cell r="C121">
            <v>2.5814129404766706</v>
          </cell>
        </row>
        <row r="122">
          <cell r="C122">
            <v>2.5453003999512136</v>
          </cell>
        </row>
        <row r="123">
          <cell r="C123">
            <v>2.7170212072523583</v>
          </cell>
        </row>
        <row r="124">
          <cell r="C124">
            <v>2.4396786818528224</v>
          </cell>
        </row>
        <row r="125">
          <cell r="C125">
            <v>2.4860103785103598</v>
          </cell>
        </row>
        <row r="126">
          <cell r="C126">
            <v>2.6759360893479318</v>
          </cell>
        </row>
        <row r="127">
          <cell r="C127">
            <v>2.7140589507350836</v>
          </cell>
        </row>
        <row r="128">
          <cell r="C128">
            <v>2.7331364493732195</v>
          </cell>
        </row>
        <row r="129">
          <cell r="C129">
            <v>2.6212425518623172</v>
          </cell>
        </row>
        <row r="130">
          <cell r="C130">
            <v>2.9781745842670815</v>
          </cell>
        </row>
        <row r="131">
          <cell r="C131">
            <v>2.5033196655575458</v>
          </cell>
        </row>
        <row r="132">
          <cell r="C132">
            <v>2.6753569594618285</v>
          </cell>
        </row>
        <row r="133">
          <cell r="C133">
            <v>3.0786650622291059</v>
          </cell>
        </row>
        <row r="134">
          <cell r="C134">
            <v>3.1319434989789481</v>
          </cell>
        </row>
        <row r="135">
          <cell r="C135">
            <v>3.4145577808828897</v>
          </cell>
        </row>
        <row r="136">
          <cell r="C136">
            <v>2.9821807365306072</v>
          </cell>
        </row>
        <row r="137">
          <cell r="C137">
            <v>2.7653976909254645</v>
          </cell>
        </row>
        <row r="138">
          <cell r="C138">
            <v>3.4330399377282408</v>
          </cell>
        </row>
        <row r="139">
          <cell r="C139">
            <v>5.1936780789271362</v>
          </cell>
        </row>
        <row r="140">
          <cell r="C140">
            <v>6.6732619097853254</v>
          </cell>
        </row>
        <row r="141">
          <cell r="C141">
            <v>8.7447876447877011</v>
          </cell>
        </row>
        <row r="142">
          <cell r="C142">
            <v>8.9090090090090914</v>
          </cell>
        </row>
        <row r="143">
          <cell r="C143">
            <v>7.2128482156615119</v>
          </cell>
        </row>
        <row r="144">
          <cell r="C144">
            <v>5.4496808271530108</v>
          </cell>
        </row>
        <row r="145">
          <cell r="C145">
            <v>4.9659010810981856</v>
          </cell>
        </row>
        <row r="146">
          <cell r="C146">
            <v>4.3007323969777262</v>
          </cell>
        </row>
        <row r="147">
          <cell r="C147">
            <v>3.8582721147576735</v>
          </cell>
        </row>
        <row r="148">
          <cell r="C148">
            <v>3.6255376960251078</v>
          </cell>
        </row>
        <row r="149">
          <cell r="C149">
            <v>2.979353541970323</v>
          </cell>
        </row>
        <row r="150">
          <cell r="C150">
            <v>2.9717312535901965</v>
          </cell>
        </row>
        <row r="151">
          <cell r="C151">
            <v>3.468785277541127</v>
          </cell>
        </row>
        <row r="152">
          <cell r="C152">
            <v>3.8021957884789486</v>
          </cell>
        </row>
        <row r="153">
          <cell r="C153">
            <v>4.011042611251681</v>
          </cell>
        </row>
        <row r="154">
          <cell r="C154">
            <v>3.9691108090385026</v>
          </cell>
        </row>
        <row r="155">
          <cell r="C155">
            <v>3.8470567349792795</v>
          </cell>
        </row>
        <row r="156">
          <cell r="C156">
            <v>4.1639091291217634</v>
          </cell>
        </row>
        <row r="157">
          <cell r="C157">
            <v>5.4104651194166893</v>
          </cell>
        </row>
        <row r="158">
          <cell r="C158">
            <v>4.9139696600199789</v>
          </cell>
        </row>
        <row r="159">
          <cell r="C159">
            <v>4.0011512098701685</v>
          </cell>
        </row>
        <row r="160">
          <cell r="C160">
            <v>3.3715300668176842</v>
          </cell>
        </row>
        <row r="161">
          <cell r="C161">
            <v>2.9319715449134089</v>
          </cell>
        </row>
        <row r="162">
          <cell r="C162">
            <v>2.624058833894372</v>
          </cell>
        </row>
        <row r="163">
          <cell r="C163">
            <v>2.4687156565697737</v>
          </cell>
        </row>
        <row r="164">
          <cell r="C164">
            <v>2.4272584547421974</v>
          </cell>
        </row>
        <row r="165">
          <cell r="C165">
            <v>2.4505337246023733</v>
          </cell>
        </row>
        <row r="166">
          <cell r="C166">
            <v>2.4399426350808717</v>
          </cell>
        </row>
        <row r="167">
          <cell r="C167">
            <v>2.4724757454078841</v>
          </cell>
        </row>
        <row r="168">
          <cell r="C168">
            <v>2.5381252562448622</v>
          </cell>
        </row>
        <row r="169">
          <cell r="C169">
            <v>2.6576871518365146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4B09-2865-4BA7-928C-0D36E9800BDD}">
  <dimension ref="A1:N261"/>
  <sheetViews>
    <sheetView workbookViewId="0"/>
  </sheetViews>
  <sheetFormatPr defaultRowHeight="15" x14ac:dyDescent="0.25"/>
  <sheetData>
    <row r="1" spans="1:14" x14ac:dyDescent="0.25">
      <c r="A1">
        <v>260</v>
      </c>
      <c r="B1" t="s">
        <v>102</v>
      </c>
    </row>
    <row r="2" spans="1:14" x14ac:dyDescent="0.25">
      <c r="A2" s="17" t="s">
        <v>176</v>
      </c>
      <c r="B2" t="s">
        <v>85</v>
      </c>
      <c r="C2" t="s">
        <v>182</v>
      </c>
      <c r="D2">
        <v>68.3476703233937</v>
      </c>
      <c r="E2" s="19">
        <v>46184.451770833337</v>
      </c>
      <c r="F2" t="b">
        <v>1</v>
      </c>
      <c r="G2" s="17" t="s">
        <v>177</v>
      </c>
      <c r="H2" s="17" t="s">
        <v>7</v>
      </c>
      <c r="I2" s="17" t="s">
        <v>175</v>
      </c>
      <c r="J2">
        <v>0</v>
      </c>
      <c r="K2" s="17" t="s">
        <v>77</v>
      </c>
      <c r="L2" t="b">
        <v>0</v>
      </c>
      <c r="M2" t="b">
        <v>0</v>
      </c>
      <c r="N2" t="b">
        <v>0</v>
      </c>
    </row>
    <row r="3" spans="1:14" x14ac:dyDescent="0.25">
      <c r="A3" s="17" t="s">
        <v>176</v>
      </c>
      <c r="B3" t="s">
        <v>87</v>
      </c>
      <c r="C3" t="s">
        <v>182</v>
      </c>
      <c r="D3">
        <v>0.87462265142754203</v>
      </c>
      <c r="E3" s="19">
        <v>46184.451770833337</v>
      </c>
      <c r="F3" t="b">
        <v>1</v>
      </c>
      <c r="G3" s="17" t="s">
        <v>178</v>
      </c>
      <c r="H3" s="17" t="s">
        <v>7</v>
      </c>
      <c r="I3" s="17" t="s">
        <v>175</v>
      </c>
      <c r="J3">
        <v>0</v>
      </c>
      <c r="K3" s="17" t="s">
        <v>77</v>
      </c>
      <c r="L3" t="b">
        <v>0</v>
      </c>
      <c r="M3" t="b">
        <v>0</v>
      </c>
      <c r="N3" t="b">
        <v>0</v>
      </c>
    </row>
    <row r="4" spans="1:14" x14ac:dyDescent="0.25">
      <c r="A4" s="17" t="s">
        <v>176</v>
      </c>
      <c r="B4" t="s">
        <v>89</v>
      </c>
      <c r="C4" t="s">
        <v>182</v>
      </c>
      <c r="D4">
        <v>80.896181538461505</v>
      </c>
      <c r="E4" s="19">
        <v>46184.451770833337</v>
      </c>
      <c r="F4" t="b">
        <v>1</v>
      </c>
      <c r="G4" s="17" t="s">
        <v>179</v>
      </c>
      <c r="H4" s="17" t="s">
        <v>7</v>
      </c>
      <c r="I4" s="17" t="s">
        <v>175</v>
      </c>
      <c r="J4">
        <v>0</v>
      </c>
      <c r="K4" s="17" t="s">
        <v>77</v>
      </c>
      <c r="L4" t="b">
        <v>0</v>
      </c>
      <c r="M4" t="b">
        <v>0</v>
      </c>
      <c r="N4" t="b">
        <v>0</v>
      </c>
    </row>
    <row r="5" spans="1:14" x14ac:dyDescent="0.25">
      <c r="A5" s="17" t="s">
        <v>176</v>
      </c>
      <c r="B5" t="s">
        <v>91</v>
      </c>
      <c r="C5" t="s">
        <v>182</v>
      </c>
      <c r="D5">
        <v>0.3</v>
      </c>
      <c r="E5" s="19">
        <v>46184.451782407406</v>
      </c>
      <c r="F5" t="b">
        <v>1</v>
      </c>
      <c r="G5" s="17" t="s">
        <v>180</v>
      </c>
      <c r="H5" s="17" t="s">
        <v>7</v>
      </c>
      <c r="I5" s="17" t="s">
        <v>175</v>
      </c>
      <c r="J5">
        <v>0</v>
      </c>
      <c r="K5" s="17" t="s">
        <v>77</v>
      </c>
      <c r="L5" t="b">
        <v>0</v>
      </c>
      <c r="M5" t="b">
        <v>0</v>
      </c>
      <c r="N5" t="b">
        <v>0</v>
      </c>
    </row>
    <row r="6" spans="1:14" x14ac:dyDescent="0.25">
      <c r="A6" s="17" t="s">
        <v>176</v>
      </c>
      <c r="B6" t="s">
        <v>93</v>
      </c>
      <c r="D6" t="e">
        <v>#N/A</v>
      </c>
      <c r="E6" s="18">
        <v>0</v>
      </c>
      <c r="F6" t="b">
        <v>1</v>
      </c>
      <c r="G6" s="17" t="s">
        <v>181</v>
      </c>
      <c r="H6" s="17" t="s">
        <v>7</v>
      </c>
      <c r="I6" s="17" t="s">
        <v>175</v>
      </c>
      <c r="J6">
        <v>0</v>
      </c>
      <c r="K6" s="17" t="s">
        <v>77</v>
      </c>
      <c r="L6" t="b">
        <v>0</v>
      </c>
      <c r="M6" t="b">
        <v>0</v>
      </c>
      <c r="N6" t="b">
        <v>0</v>
      </c>
    </row>
    <row r="7" spans="1:14" x14ac:dyDescent="0.25">
      <c r="A7" s="17" t="s">
        <v>176</v>
      </c>
      <c r="B7" t="s">
        <v>96</v>
      </c>
      <c r="C7" t="s">
        <v>182</v>
      </c>
      <c r="D7">
        <v>85</v>
      </c>
      <c r="E7" s="18">
        <v>0</v>
      </c>
      <c r="F7" t="b">
        <v>1</v>
      </c>
      <c r="G7" s="17" t="s">
        <v>44</v>
      </c>
      <c r="H7" s="17" t="s">
        <v>7</v>
      </c>
      <c r="I7" s="17" t="s">
        <v>175</v>
      </c>
      <c r="J7">
        <v>0</v>
      </c>
      <c r="K7" s="17" t="s">
        <v>77</v>
      </c>
      <c r="L7" t="b">
        <v>0</v>
      </c>
      <c r="M7" t="b">
        <v>0</v>
      </c>
      <c r="N7" t="b">
        <v>0</v>
      </c>
    </row>
    <row r="8" spans="1:14" x14ac:dyDescent="0.25">
      <c r="A8" s="17" t="s">
        <v>176</v>
      </c>
      <c r="B8" t="s">
        <v>97</v>
      </c>
      <c r="C8" t="s">
        <v>182</v>
      </c>
      <c r="D8">
        <v>359</v>
      </c>
      <c r="E8" s="18">
        <v>0</v>
      </c>
      <c r="F8" t="b">
        <v>1</v>
      </c>
      <c r="G8" s="17" t="s">
        <v>45</v>
      </c>
      <c r="H8" s="17" t="s">
        <v>7</v>
      </c>
      <c r="I8" s="17" t="s">
        <v>175</v>
      </c>
      <c r="J8">
        <v>0</v>
      </c>
      <c r="K8" s="17" t="s">
        <v>77</v>
      </c>
      <c r="L8" t="b">
        <v>0</v>
      </c>
      <c r="M8" t="b">
        <v>0</v>
      </c>
      <c r="N8" t="b">
        <v>0</v>
      </c>
    </row>
    <row r="9" spans="1:14" x14ac:dyDescent="0.25">
      <c r="A9" s="17" t="s">
        <v>176</v>
      </c>
      <c r="B9" t="s">
        <v>98</v>
      </c>
      <c r="C9" t="s">
        <v>182</v>
      </c>
      <c r="D9">
        <v>156</v>
      </c>
      <c r="E9" s="18">
        <v>0</v>
      </c>
      <c r="F9" t="b">
        <v>1</v>
      </c>
      <c r="G9" s="17" t="s">
        <v>46</v>
      </c>
      <c r="H9" s="17" t="s">
        <v>7</v>
      </c>
      <c r="I9" s="17" t="s">
        <v>175</v>
      </c>
      <c r="J9">
        <v>0</v>
      </c>
      <c r="K9" s="17" t="s">
        <v>77</v>
      </c>
      <c r="L9" t="b">
        <v>0</v>
      </c>
      <c r="M9" t="b">
        <v>0</v>
      </c>
      <c r="N9" t="b">
        <v>0</v>
      </c>
    </row>
    <row r="10" spans="1:14" x14ac:dyDescent="0.25">
      <c r="A10" s="17" t="s">
        <v>176</v>
      </c>
      <c r="B10" t="s">
        <v>99</v>
      </c>
      <c r="C10" t="s">
        <v>182</v>
      </c>
      <c r="D10">
        <v>35</v>
      </c>
      <c r="E10" s="18">
        <v>0</v>
      </c>
      <c r="F10" t="b">
        <v>1</v>
      </c>
      <c r="G10" s="17" t="s">
        <v>47</v>
      </c>
      <c r="H10" s="17" t="s">
        <v>7</v>
      </c>
      <c r="I10" s="17" t="s">
        <v>175</v>
      </c>
      <c r="J10">
        <v>0</v>
      </c>
      <c r="K10" s="17" t="s">
        <v>77</v>
      </c>
      <c r="L10" t="b">
        <v>0</v>
      </c>
      <c r="M10" t="b">
        <v>0</v>
      </c>
      <c r="N10" t="b">
        <v>0</v>
      </c>
    </row>
    <row r="11" spans="1:14" x14ac:dyDescent="0.25">
      <c r="A11" s="17" t="s">
        <v>176</v>
      </c>
      <c r="B11" t="s">
        <v>350</v>
      </c>
      <c r="D11" t="s">
        <v>351</v>
      </c>
      <c r="E11" s="18">
        <v>0</v>
      </c>
      <c r="F11" t="b">
        <v>0</v>
      </c>
      <c r="G11" s="17"/>
      <c r="H11" s="17"/>
      <c r="I11" s="17"/>
      <c r="K11" s="17"/>
    </row>
    <row r="12" spans="1:14" x14ac:dyDescent="0.25">
      <c r="A12" s="17" t="s">
        <v>176</v>
      </c>
      <c r="B12" t="s">
        <v>76</v>
      </c>
      <c r="C12" t="s">
        <v>188</v>
      </c>
      <c r="D12">
        <v>68.336249781639438</v>
      </c>
      <c r="E12" s="19">
        <v>46184.453298611108</v>
      </c>
      <c r="F12" t="b">
        <v>1</v>
      </c>
      <c r="G12" s="17" t="s">
        <v>189</v>
      </c>
      <c r="H12" s="17" t="s">
        <v>7</v>
      </c>
      <c r="I12" s="17" t="s">
        <v>184</v>
      </c>
      <c r="J12">
        <v>0</v>
      </c>
      <c r="K12" s="17" t="s">
        <v>77</v>
      </c>
      <c r="L12" t="b">
        <v>0</v>
      </c>
      <c r="M12" t="b">
        <v>0</v>
      </c>
      <c r="N12" t="b">
        <v>0</v>
      </c>
    </row>
    <row r="13" spans="1:14" x14ac:dyDescent="0.25">
      <c r="A13" s="17" t="s">
        <v>176</v>
      </c>
      <c r="B13" t="s">
        <v>79</v>
      </c>
      <c r="C13" t="s">
        <v>188</v>
      </c>
      <c r="D13">
        <v>120.21245566186201</v>
      </c>
      <c r="E13" s="19">
        <v>46184.453553240739</v>
      </c>
      <c r="F13" t="b">
        <v>1</v>
      </c>
      <c r="G13" s="17" t="s">
        <v>190</v>
      </c>
      <c r="H13" s="17" t="s">
        <v>7</v>
      </c>
      <c r="I13" s="17" t="s">
        <v>184</v>
      </c>
      <c r="J13">
        <v>0</v>
      </c>
      <c r="K13" s="17" t="s">
        <v>77</v>
      </c>
      <c r="L13" t="b">
        <v>0</v>
      </c>
      <c r="M13" t="b">
        <v>0</v>
      </c>
      <c r="N13" t="b">
        <v>0</v>
      </c>
    </row>
    <row r="14" spans="1:14" x14ac:dyDescent="0.25">
      <c r="A14" s="17" t="s">
        <v>176</v>
      </c>
      <c r="B14" t="s">
        <v>80</v>
      </c>
      <c r="C14" t="s">
        <v>188</v>
      </c>
      <c r="D14">
        <v>58.553707089075935</v>
      </c>
      <c r="E14" s="19">
        <v>46184.453668981485</v>
      </c>
      <c r="F14" t="b">
        <v>1</v>
      </c>
      <c r="G14" s="17" t="s">
        <v>191</v>
      </c>
      <c r="H14" s="17" t="s">
        <v>7</v>
      </c>
      <c r="I14" s="17" t="s">
        <v>184</v>
      </c>
      <c r="J14">
        <v>0</v>
      </c>
      <c r="K14" s="17" t="s">
        <v>77</v>
      </c>
      <c r="L14" t="b">
        <v>0</v>
      </c>
      <c r="M14" t="b">
        <v>0</v>
      </c>
      <c r="N14" t="b">
        <v>0</v>
      </c>
    </row>
    <row r="15" spans="1:14" x14ac:dyDescent="0.25">
      <c r="A15" s="17" t="s">
        <v>176</v>
      </c>
      <c r="B15" t="s">
        <v>81</v>
      </c>
      <c r="C15" t="s">
        <v>188</v>
      </c>
      <c r="D15">
        <v>65.579758001123139</v>
      </c>
      <c r="E15" s="19">
        <v>46184.453750000001</v>
      </c>
      <c r="F15" t="b">
        <v>1</v>
      </c>
      <c r="G15" s="17" t="s">
        <v>192</v>
      </c>
      <c r="H15" s="17" t="s">
        <v>7</v>
      </c>
      <c r="I15" s="17" t="s">
        <v>184</v>
      </c>
      <c r="J15">
        <v>0</v>
      </c>
      <c r="K15" s="17" t="s">
        <v>77</v>
      </c>
      <c r="L15" t="b">
        <v>0</v>
      </c>
      <c r="M15" t="b">
        <v>0</v>
      </c>
      <c r="N15" t="b">
        <v>0</v>
      </c>
    </row>
    <row r="16" spans="1:14" x14ac:dyDescent="0.25">
      <c r="A16" s="17" t="s">
        <v>176</v>
      </c>
      <c r="B16" t="s">
        <v>82</v>
      </c>
      <c r="C16" t="s">
        <v>188</v>
      </c>
      <c r="D16">
        <v>77.833862631329339</v>
      </c>
      <c r="E16" s="19">
        <v>46184.453819444447</v>
      </c>
      <c r="F16" t="b">
        <v>1</v>
      </c>
      <c r="G16" s="17" t="s">
        <v>193</v>
      </c>
      <c r="H16" s="17" t="s">
        <v>7</v>
      </c>
      <c r="I16" s="17" t="s">
        <v>184</v>
      </c>
      <c r="J16">
        <v>0</v>
      </c>
      <c r="K16" s="17" t="s">
        <v>77</v>
      </c>
      <c r="L16" t="b">
        <v>0</v>
      </c>
      <c r="M16" t="b">
        <v>0</v>
      </c>
      <c r="N16" t="b">
        <v>0</v>
      </c>
    </row>
    <row r="17" spans="1:14" x14ac:dyDescent="0.25">
      <c r="A17" s="17" t="s">
        <v>176</v>
      </c>
      <c r="B17" t="s">
        <v>83</v>
      </c>
      <c r="C17" t="s">
        <v>188</v>
      </c>
      <c r="D17">
        <v>30.054561207357068</v>
      </c>
      <c r="E17" s="19">
        <v>46184.453900462962</v>
      </c>
      <c r="F17" t="b">
        <v>1</v>
      </c>
      <c r="G17" s="17" t="s">
        <v>194</v>
      </c>
      <c r="H17" s="17" t="s">
        <v>7</v>
      </c>
      <c r="I17" s="17" t="s">
        <v>184</v>
      </c>
      <c r="J17">
        <v>0</v>
      </c>
      <c r="K17" s="17" t="s">
        <v>77</v>
      </c>
      <c r="L17" t="b">
        <v>0</v>
      </c>
      <c r="M17" t="b">
        <v>0</v>
      </c>
      <c r="N17" t="b">
        <v>0</v>
      </c>
    </row>
    <row r="18" spans="1:14" x14ac:dyDescent="0.25">
      <c r="A18" s="17" t="s">
        <v>176</v>
      </c>
      <c r="B18" t="s">
        <v>78</v>
      </c>
      <c r="C18" t="s">
        <v>188</v>
      </c>
      <c r="D18">
        <v>50.967979582518161</v>
      </c>
      <c r="E18" s="19">
        <v>46184.453969907408</v>
      </c>
      <c r="F18" t="b">
        <v>1</v>
      </c>
      <c r="G18" s="17" t="s">
        <v>195</v>
      </c>
      <c r="H18" s="17" t="s">
        <v>7</v>
      </c>
      <c r="I18" s="17" t="s">
        <v>184</v>
      </c>
      <c r="J18">
        <v>0</v>
      </c>
      <c r="K18" s="17" t="s">
        <v>77</v>
      </c>
      <c r="L18" t="b">
        <v>0</v>
      </c>
      <c r="M18" t="b">
        <v>0</v>
      </c>
      <c r="N18" t="b">
        <v>0</v>
      </c>
    </row>
    <row r="19" spans="1:14" x14ac:dyDescent="0.25">
      <c r="A19" s="17" t="s">
        <v>176</v>
      </c>
      <c r="B19" t="s">
        <v>84</v>
      </c>
      <c r="C19" t="s">
        <v>196</v>
      </c>
      <c r="D19">
        <v>43.611058577426739</v>
      </c>
      <c r="E19" s="19">
        <v>46184.455729166664</v>
      </c>
      <c r="F19" t="b">
        <v>1</v>
      </c>
      <c r="G19" s="17" t="s">
        <v>197</v>
      </c>
      <c r="H19" s="17" t="s">
        <v>7</v>
      </c>
      <c r="I19" s="17" t="s">
        <v>186</v>
      </c>
      <c r="J19">
        <v>0</v>
      </c>
      <c r="K19" s="17" t="s">
        <v>77</v>
      </c>
      <c r="L19" t="b">
        <v>0</v>
      </c>
      <c r="M19" t="b">
        <v>0</v>
      </c>
      <c r="N19" t="b">
        <v>0</v>
      </c>
    </row>
    <row r="20" spans="1:14" x14ac:dyDescent="0.25">
      <c r="A20" s="17" t="s">
        <v>176</v>
      </c>
      <c r="B20" t="s">
        <v>95</v>
      </c>
      <c r="C20" t="s">
        <v>182</v>
      </c>
      <c r="D20">
        <v>-0.67176493946876903</v>
      </c>
      <c r="E20" s="19">
        <v>46184.493217592593</v>
      </c>
      <c r="F20" t="b">
        <v>1</v>
      </c>
      <c r="G20" s="17" t="s">
        <v>352</v>
      </c>
      <c r="H20" s="17" t="s">
        <v>7</v>
      </c>
      <c r="I20" s="17" t="s">
        <v>175</v>
      </c>
      <c r="J20">
        <v>0</v>
      </c>
      <c r="K20" s="17" t="s">
        <v>77</v>
      </c>
      <c r="L20" t="b">
        <v>0</v>
      </c>
      <c r="M20" t="b">
        <v>0</v>
      </c>
      <c r="N20" t="b">
        <v>0</v>
      </c>
    </row>
    <row r="21" spans="1:14" x14ac:dyDescent="0.25">
      <c r="A21" s="17" t="s">
        <v>176</v>
      </c>
      <c r="B21" t="s">
        <v>365</v>
      </c>
      <c r="C21" t="s">
        <v>182</v>
      </c>
      <c r="D21">
        <v>330</v>
      </c>
      <c r="E21" s="19">
        <v>46185.438657407409</v>
      </c>
      <c r="F21" t="b">
        <v>1</v>
      </c>
      <c r="G21" s="17" t="s">
        <v>43</v>
      </c>
      <c r="H21" s="17" t="s">
        <v>7</v>
      </c>
      <c r="I21" s="17" t="s">
        <v>175</v>
      </c>
      <c r="J21">
        <v>0</v>
      </c>
      <c r="K21" s="17" t="s">
        <v>77</v>
      </c>
      <c r="L21" t="b">
        <v>0</v>
      </c>
      <c r="M21" t="b">
        <v>0</v>
      </c>
      <c r="N21" t="b">
        <v>0</v>
      </c>
    </row>
    <row r="22" spans="1:14" x14ac:dyDescent="0.25">
      <c r="A22" s="17" t="s">
        <v>111</v>
      </c>
      <c r="B22" t="s">
        <v>85</v>
      </c>
      <c r="C22" t="s">
        <v>182</v>
      </c>
      <c r="D22">
        <v>68.347630828648306</v>
      </c>
      <c r="E22" s="19">
        <v>46181.434050925927</v>
      </c>
      <c r="F22" t="b">
        <v>1</v>
      </c>
      <c r="G22" s="17" t="s">
        <v>112</v>
      </c>
      <c r="H22" s="17" t="s">
        <v>7</v>
      </c>
      <c r="I22" s="17" t="s">
        <v>175</v>
      </c>
      <c r="J22">
        <v>0</v>
      </c>
      <c r="K22" s="17" t="s">
        <v>77</v>
      </c>
      <c r="L22" t="b">
        <v>0</v>
      </c>
      <c r="M22" t="b">
        <v>0</v>
      </c>
      <c r="N22" t="b">
        <v>0</v>
      </c>
    </row>
    <row r="23" spans="1:14" x14ac:dyDescent="0.25">
      <c r="A23" s="17" t="s">
        <v>111</v>
      </c>
      <c r="B23" t="s">
        <v>87</v>
      </c>
      <c r="C23" t="s">
        <v>182</v>
      </c>
      <c r="D23">
        <v>0.87462265142754203</v>
      </c>
      <c r="E23" s="19">
        <v>46181.434050925927</v>
      </c>
      <c r="F23" t="b">
        <v>1</v>
      </c>
      <c r="G23" s="17" t="s">
        <v>113</v>
      </c>
      <c r="H23" s="17" t="s">
        <v>7</v>
      </c>
      <c r="I23" s="17" t="s">
        <v>175</v>
      </c>
      <c r="J23">
        <v>0</v>
      </c>
      <c r="K23" s="17" t="s">
        <v>77</v>
      </c>
      <c r="L23" t="b">
        <v>0</v>
      </c>
      <c r="M23" t="b">
        <v>0</v>
      </c>
      <c r="N23" t="b">
        <v>0</v>
      </c>
    </row>
    <row r="24" spans="1:14" x14ac:dyDescent="0.25">
      <c r="A24" s="17" t="s">
        <v>111</v>
      </c>
      <c r="B24" t="s">
        <v>89</v>
      </c>
      <c r="C24" t="s">
        <v>182</v>
      </c>
      <c r="D24">
        <v>80.896181538461505</v>
      </c>
      <c r="E24" s="19">
        <v>46181.434050925927</v>
      </c>
      <c r="F24" t="b">
        <v>1</v>
      </c>
      <c r="G24" s="17" t="s">
        <v>114</v>
      </c>
      <c r="H24" s="17" t="s">
        <v>7</v>
      </c>
      <c r="I24" s="17" t="s">
        <v>175</v>
      </c>
      <c r="J24">
        <v>0</v>
      </c>
      <c r="K24" s="17" t="s">
        <v>77</v>
      </c>
      <c r="L24" t="b">
        <v>0</v>
      </c>
      <c r="M24" t="b">
        <v>0</v>
      </c>
      <c r="N24" t="b">
        <v>0</v>
      </c>
    </row>
    <row r="25" spans="1:14" x14ac:dyDescent="0.25">
      <c r="A25" s="17" t="s">
        <v>111</v>
      </c>
      <c r="B25" t="s">
        <v>91</v>
      </c>
      <c r="C25" t="s">
        <v>182</v>
      </c>
      <c r="D25">
        <v>0.3</v>
      </c>
      <c r="E25" s="19">
        <v>46181.434050925927</v>
      </c>
      <c r="F25" t="b">
        <v>1</v>
      </c>
      <c r="G25" s="17" t="s">
        <v>115</v>
      </c>
      <c r="H25" s="17" t="s">
        <v>7</v>
      </c>
      <c r="I25" s="17" t="s">
        <v>175</v>
      </c>
      <c r="J25">
        <v>0</v>
      </c>
      <c r="K25" s="17" t="s">
        <v>77</v>
      </c>
      <c r="L25" t="b">
        <v>0</v>
      </c>
      <c r="M25" t="b">
        <v>0</v>
      </c>
      <c r="N25" t="b">
        <v>0</v>
      </c>
    </row>
    <row r="26" spans="1:14" x14ac:dyDescent="0.25">
      <c r="A26" s="17" t="s">
        <v>111</v>
      </c>
      <c r="B26" t="s">
        <v>93</v>
      </c>
      <c r="D26" t="e">
        <v>#N/A</v>
      </c>
      <c r="E26" s="18">
        <v>0</v>
      </c>
      <c r="F26" t="b">
        <v>1</v>
      </c>
      <c r="G26" s="17" t="s">
        <v>116</v>
      </c>
      <c r="H26" s="17" t="s">
        <v>7</v>
      </c>
      <c r="I26" s="17" t="s">
        <v>175</v>
      </c>
      <c r="J26">
        <v>0</v>
      </c>
      <c r="K26" s="17" t="s">
        <v>77</v>
      </c>
      <c r="L26" t="b">
        <v>0</v>
      </c>
      <c r="M26" t="b">
        <v>0</v>
      </c>
      <c r="N26" t="b">
        <v>0</v>
      </c>
    </row>
    <row r="27" spans="1:14" x14ac:dyDescent="0.25">
      <c r="A27" s="17" t="s">
        <v>111</v>
      </c>
      <c r="B27" t="s">
        <v>96</v>
      </c>
      <c r="C27" t="s">
        <v>182</v>
      </c>
      <c r="D27">
        <v>85</v>
      </c>
      <c r="E27" s="18">
        <v>0</v>
      </c>
      <c r="F27" t="b">
        <v>1</v>
      </c>
      <c r="G27" s="17" t="s">
        <v>44</v>
      </c>
      <c r="H27" s="17" t="s">
        <v>7</v>
      </c>
      <c r="I27" s="17" t="s">
        <v>175</v>
      </c>
      <c r="J27">
        <v>0</v>
      </c>
      <c r="K27" s="17" t="s">
        <v>77</v>
      </c>
      <c r="L27" t="b">
        <v>0</v>
      </c>
      <c r="M27" t="b">
        <v>0</v>
      </c>
      <c r="N27" t="b">
        <v>0</v>
      </c>
    </row>
    <row r="28" spans="1:14" x14ac:dyDescent="0.25">
      <c r="A28" s="17" t="s">
        <v>111</v>
      </c>
      <c r="B28" t="s">
        <v>97</v>
      </c>
      <c r="C28" t="s">
        <v>182</v>
      </c>
      <c r="D28">
        <v>359</v>
      </c>
      <c r="E28" s="18">
        <v>0</v>
      </c>
      <c r="F28" t="b">
        <v>1</v>
      </c>
      <c r="G28" s="17" t="s">
        <v>45</v>
      </c>
      <c r="H28" s="17" t="s">
        <v>7</v>
      </c>
      <c r="I28" s="17" t="s">
        <v>175</v>
      </c>
      <c r="J28">
        <v>0</v>
      </c>
      <c r="K28" s="17" t="s">
        <v>77</v>
      </c>
      <c r="L28" t="b">
        <v>0</v>
      </c>
      <c r="M28" t="b">
        <v>0</v>
      </c>
      <c r="N28" t="b">
        <v>0</v>
      </c>
    </row>
    <row r="29" spans="1:14" x14ac:dyDescent="0.25">
      <c r="A29" s="17" t="s">
        <v>111</v>
      </c>
      <c r="B29" t="s">
        <v>98</v>
      </c>
      <c r="C29" t="s">
        <v>182</v>
      </c>
      <c r="D29">
        <v>156</v>
      </c>
      <c r="E29" s="18">
        <v>0</v>
      </c>
      <c r="F29" t="b">
        <v>1</v>
      </c>
      <c r="G29" s="17" t="s">
        <v>46</v>
      </c>
      <c r="H29" s="17" t="s">
        <v>7</v>
      </c>
      <c r="I29" s="17" t="s">
        <v>175</v>
      </c>
      <c r="J29">
        <v>0</v>
      </c>
      <c r="K29" s="17" t="s">
        <v>77</v>
      </c>
      <c r="L29" t="b">
        <v>0</v>
      </c>
      <c r="M29" t="b">
        <v>0</v>
      </c>
      <c r="N29" t="b">
        <v>0</v>
      </c>
    </row>
    <row r="30" spans="1:14" x14ac:dyDescent="0.25">
      <c r="A30" s="17" t="s">
        <v>111</v>
      </c>
      <c r="B30" t="s">
        <v>99</v>
      </c>
      <c r="C30" t="s">
        <v>182</v>
      </c>
      <c r="D30">
        <v>35</v>
      </c>
      <c r="E30" s="18">
        <v>0</v>
      </c>
      <c r="F30" t="b">
        <v>1</v>
      </c>
      <c r="G30" s="17" t="s">
        <v>47</v>
      </c>
      <c r="H30" s="17" t="s">
        <v>7</v>
      </c>
      <c r="I30" s="17" t="s">
        <v>175</v>
      </c>
      <c r="J30">
        <v>0</v>
      </c>
      <c r="K30" s="17" t="s">
        <v>77</v>
      </c>
      <c r="L30" t="b">
        <v>0</v>
      </c>
      <c r="M30" t="b">
        <v>0</v>
      </c>
      <c r="N30" t="b">
        <v>0</v>
      </c>
    </row>
    <row r="31" spans="1:14" x14ac:dyDescent="0.25">
      <c r="A31" s="17" t="s">
        <v>111</v>
      </c>
      <c r="B31" t="s">
        <v>350</v>
      </c>
      <c r="D31" t="s">
        <v>351</v>
      </c>
      <c r="E31" s="18">
        <v>0</v>
      </c>
      <c r="F31" t="b">
        <v>0</v>
      </c>
      <c r="G31" s="17"/>
      <c r="H31" s="17"/>
      <c r="I31" s="17"/>
      <c r="K31" s="17"/>
    </row>
    <row r="32" spans="1:14" x14ac:dyDescent="0.25">
      <c r="A32" s="17" t="s">
        <v>111</v>
      </c>
      <c r="B32" t="s">
        <v>78</v>
      </c>
      <c r="C32" t="s">
        <v>201</v>
      </c>
      <c r="D32">
        <v>50.967979582518161</v>
      </c>
      <c r="E32" s="19">
        <v>46184.460196759261</v>
      </c>
      <c r="F32" t="b">
        <v>1</v>
      </c>
      <c r="G32" s="17" t="s">
        <v>202</v>
      </c>
      <c r="H32" s="17" t="s">
        <v>7</v>
      </c>
      <c r="I32" s="17" t="s">
        <v>199</v>
      </c>
      <c r="J32">
        <v>0</v>
      </c>
      <c r="K32" s="17" t="s">
        <v>77</v>
      </c>
      <c r="L32" t="b">
        <v>0</v>
      </c>
      <c r="M32" t="b">
        <v>0</v>
      </c>
      <c r="N32" t="b">
        <v>0</v>
      </c>
    </row>
    <row r="33" spans="1:14" x14ac:dyDescent="0.25">
      <c r="A33" s="17" t="s">
        <v>111</v>
      </c>
      <c r="B33" t="s">
        <v>79</v>
      </c>
      <c r="C33" t="s">
        <v>201</v>
      </c>
      <c r="D33">
        <v>120.21245566186201</v>
      </c>
      <c r="E33" s="19">
        <v>46184.460289351853</v>
      </c>
      <c r="F33" t="b">
        <v>1</v>
      </c>
      <c r="G33" s="17" t="s">
        <v>203</v>
      </c>
      <c r="H33" s="17" t="s">
        <v>7</v>
      </c>
      <c r="I33" s="17" t="s">
        <v>199</v>
      </c>
      <c r="J33">
        <v>0</v>
      </c>
      <c r="K33" s="17" t="s">
        <v>77</v>
      </c>
      <c r="L33" t="b">
        <v>0</v>
      </c>
      <c r="M33" t="b">
        <v>0</v>
      </c>
      <c r="N33" t="b">
        <v>0</v>
      </c>
    </row>
    <row r="34" spans="1:14" x14ac:dyDescent="0.25">
      <c r="A34" s="17" t="s">
        <v>111</v>
      </c>
      <c r="B34" t="s">
        <v>80</v>
      </c>
      <c r="C34" t="s">
        <v>201</v>
      </c>
      <c r="D34">
        <v>58.553707089085492</v>
      </c>
      <c r="E34" s="19">
        <v>46184.460393518515</v>
      </c>
      <c r="F34" t="b">
        <v>1</v>
      </c>
      <c r="G34" s="17" t="s">
        <v>204</v>
      </c>
      <c r="H34" s="17" t="s">
        <v>7</v>
      </c>
      <c r="I34" s="17" t="s">
        <v>199</v>
      </c>
      <c r="J34">
        <v>0</v>
      </c>
      <c r="K34" s="17" t="s">
        <v>77</v>
      </c>
      <c r="L34" t="b">
        <v>0</v>
      </c>
      <c r="M34" t="b">
        <v>0</v>
      </c>
      <c r="N34" t="b">
        <v>0</v>
      </c>
    </row>
    <row r="35" spans="1:14" x14ac:dyDescent="0.25">
      <c r="A35" s="17" t="s">
        <v>111</v>
      </c>
      <c r="B35" t="s">
        <v>81</v>
      </c>
      <c r="C35" t="s">
        <v>201</v>
      </c>
      <c r="D35">
        <v>65.579758001123068</v>
      </c>
      <c r="E35" s="19">
        <v>46184.460486111115</v>
      </c>
      <c r="F35" t="b">
        <v>1</v>
      </c>
      <c r="G35" s="17" t="s">
        <v>205</v>
      </c>
      <c r="H35" s="17" t="s">
        <v>7</v>
      </c>
      <c r="I35" s="17" t="s">
        <v>199</v>
      </c>
      <c r="J35">
        <v>0</v>
      </c>
      <c r="K35" s="17" t="s">
        <v>77</v>
      </c>
      <c r="L35" t="b">
        <v>0</v>
      </c>
      <c r="M35" t="b">
        <v>0</v>
      </c>
      <c r="N35" t="b">
        <v>0</v>
      </c>
    </row>
    <row r="36" spans="1:14" x14ac:dyDescent="0.25">
      <c r="A36" s="17" t="s">
        <v>111</v>
      </c>
      <c r="B36" t="s">
        <v>82</v>
      </c>
      <c r="C36" t="s">
        <v>201</v>
      </c>
      <c r="D36">
        <v>77.833862631328643</v>
      </c>
      <c r="E36" s="19">
        <v>46184.460578703707</v>
      </c>
      <c r="F36" t="b">
        <v>1</v>
      </c>
      <c r="G36" s="17" t="s">
        <v>206</v>
      </c>
      <c r="H36" s="17" t="s">
        <v>7</v>
      </c>
      <c r="I36" s="17" t="s">
        <v>199</v>
      </c>
      <c r="J36">
        <v>0</v>
      </c>
      <c r="K36" s="17" t="s">
        <v>77</v>
      </c>
      <c r="L36" t="b">
        <v>0</v>
      </c>
      <c r="M36" t="b">
        <v>0</v>
      </c>
      <c r="N36" t="b">
        <v>0</v>
      </c>
    </row>
    <row r="37" spans="1:14" x14ac:dyDescent="0.25">
      <c r="A37" s="17" t="s">
        <v>111</v>
      </c>
      <c r="B37" t="s">
        <v>83</v>
      </c>
      <c r="C37" t="s">
        <v>201</v>
      </c>
      <c r="D37">
        <v>30.054561207357068</v>
      </c>
      <c r="E37" s="19">
        <v>46184.4606712963</v>
      </c>
      <c r="F37" t="b">
        <v>1</v>
      </c>
      <c r="G37" s="17" t="s">
        <v>207</v>
      </c>
      <c r="H37" s="17" t="s">
        <v>7</v>
      </c>
      <c r="I37" s="17" t="s">
        <v>199</v>
      </c>
      <c r="J37">
        <v>0</v>
      </c>
      <c r="K37" s="17" t="s">
        <v>77</v>
      </c>
      <c r="L37" t="b">
        <v>0</v>
      </c>
      <c r="M37" t="b">
        <v>0</v>
      </c>
      <c r="N37" t="b">
        <v>0</v>
      </c>
    </row>
    <row r="38" spans="1:14" x14ac:dyDescent="0.25">
      <c r="A38" s="17" t="s">
        <v>111</v>
      </c>
      <c r="B38" t="s">
        <v>76</v>
      </c>
      <c r="C38" t="s">
        <v>201</v>
      </c>
      <c r="D38">
        <v>68.336249781639495</v>
      </c>
      <c r="E38" s="19">
        <v>46184.460775462961</v>
      </c>
      <c r="F38" t="b">
        <v>1</v>
      </c>
      <c r="G38" s="17" t="s">
        <v>208</v>
      </c>
      <c r="H38" s="17" t="s">
        <v>7</v>
      </c>
      <c r="I38" s="17" t="s">
        <v>199</v>
      </c>
      <c r="J38">
        <v>0</v>
      </c>
      <c r="K38" s="17" t="s">
        <v>77</v>
      </c>
      <c r="L38" t="b">
        <v>0</v>
      </c>
      <c r="M38" t="b">
        <v>0</v>
      </c>
      <c r="N38" t="b">
        <v>0</v>
      </c>
    </row>
    <row r="39" spans="1:14" x14ac:dyDescent="0.25">
      <c r="A39" s="17" t="s">
        <v>111</v>
      </c>
      <c r="B39" t="s">
        <v>84</v>
      </c>
      <c r="C39" t="s">
        <v>196</v>
      </c>
      <c r="D39">
        <v>43.611058577426</v>
      </c>
      <c r="E39" s="19">
        <v>46184.462604166663</v>
      </c>
      <c r="F39" t="b">
        <v>1</v>
      </c>
      <c r="G39" s="17" t="s">
        <v>211</v>
      </c>
      <c r="H39" s="17" t="s">
        <v>7</v>
      </c>
      <c r="I39" s="17" t="s">
        <v>186</v>
      </c>
      <c r="J39">
        <v>0</v>
      </c>
      <c r="K39" s="17" t="s">
        <v>77</v>
      </c>
      <c r="L39" t="b">
        <v>0</v>
      </c>
      <c r="M39" t="b">
        <v>0</v>
      </c>
      <c r="N39" t="b">
        <v>0</v>
      </c>
    </row>
    <row r="40" spans="1:14" x14ac:dyDescent="0.25">
      <c r="A40" s="17" t="s">
        <v>111</v>
      </c>
      <c r="B40" t="s">
        <v>95</v>
      </c>
      <c r="C40" t="s">
        <v>182</v>
      </c>
      <c r="D40">
        <v>-0.67176493919937696</v>
      </c>
      <c r="E40" s="19">
        <v>46184.493136574078</v>
      </c>
      <c r="F40" t="b">
        <v>1</v>
      </c>
      <c r="G40" s="17" t="s">
        <v>353</v>
      </c>
      <c r="H40" s="17" t="s">
        <v>7</v>
      </c>
      <c r="I40" s="17" t="s">
        <v>175</v>
      </c>
      <c r="J40">
        <v>0</v>
      </c>
      <c r="K40" s="17" t="s">
        <v>77</v>
      </c>
      <c r="L40" t="b">
        <v>0</v>
      </c>
      <c r="M40" t="b">
        <v>0</v>
      </c>
      <c r="N40" t="b">
        <v>0</v>
      </c>
    </row>
    <row r="41" spans="1:14" x14ac:dyDescent="0.25">
      <c r="A41" s="17" t="s">
        <v>111</v>
      </c>
      <c r="B41" t="s">
        <v>365</v>
      </c>
      <c r="C41" t="s">
        <v>182</v>
      </c>
      <c r="D41">
        <v>330</v>
      </c>
      <c r="E41" s="19">
        <v>46185.43986111111</v>
      </c>
      <c r="F41" t="b">
        <v>1</v>
      </c>
      <c r="G41" s="17" t="s">
        <v>43</v>
      </c>
      <c r="H41" s="17" t="s">
        <v>7</v>
      </c>
      <c r="I41" s="17" t="s">
        <v>175</v>
      </c>
      <c r="J41">
        <v>0</v>
      </c>
      <c r="K41" s="17" t="s">
        <v>77</v>
      </c>
      <c r="L41" t="b">
        <v>0</v>
      </c>
      <c r="M41" t="b">
        <v>0</v>
      </c>
      <c r="N41" t="b">
        <v>0</v>
      </c>
    </row>
    <row r="42" spans="1:14" x14ac:dyDescent="0.25">
      <c r="A42" s="17" t="s">
        <v>117</v>
      </c>
      <c r="B42" t="s">
        <v>85</v>
      </c>
      <c r="C42" t="s">
        <v>182</v>
      </c>
      <c r="D42">
        <v>68.347640555445295</v>
      </c>
      <c r="E42" s="19">
        <v>46181.43414351852</v>
      </c>
      <c r="F42" t="b">
        <v>1</v>
      </c>
      <c r="G42" s="17" t="s">
        <v>118</v>
      </c>
      <c r="H42" s="17" t="s">
        <v>7</v>
      </c>
      <c r="I42" s="17" t="s">
        <v>175</v>
      </c>
      <c r="J42">
        <v>0</v>
      </c>
      <c r="K42" s="17" t="s">
        <v>77</v>
      </c>
      <c r="L42" t="b">
        <v>0</v>
      </c>
      <c r="M42" t="b">
        <v>0</v>
      </c>
      <c r="N42" t="b">
        <v>0</v>
      </c>
    </row>
    <row r="43" spans="1:14" x14ac:dyDescent="0.25">
      <c r="A43" s="17" t="s">
        <v>117</v>
      </c>
      <c r="B43" t="s">
        <v>87</v>
      </c>
      <c r="C43" t="s">
        <v>182</v>
      </c>
      <c r="D43">
        <v>0.86450741438940804</v>
      </c>
      <c r="E43" s="19">
        <v>46181.434155092589</v>
      </c>
      <c r="F43" t="b">
        <v>1</v>
      </c>
      <c r="G43" s="17" t="s">
        <v>119</v>
      </c>
      <c r="H43" s="17" t="s">
        <v>7</v>
      </c>
      <c r="I43" s="17" t="s">
        <v>175</v>
      </c>
      <c r="J43">
        <v>0</v>
      </c>
      <c r="K43" s="17" t="s">
        <v>77</v>
      </c>
      <c r="L43" t="b">
        <v>0</v>
      </c>
      <c r="M43" t="b">
        <v>0</v>
      </c>
      <c r="N43" t="b">
        <v>0</v>
      </c>
    </row>
    <row r="44" spans="1:14" x14ac:dyDescent="0.25">
      <c r="A44" s="17" t="s">
        <v>117</v>
      </c>
      <c r="B44" t="s">
        <v>89</v>
      </c>
      <c r="C44" t="s">
        <v>182</v>
      </c>
      <c r="D44">
        <v>80.896181538461505</v>
      </c>
      <c r="E44" s="19">
        <v>46181.434155092589</v>
      </c>
      <c r="F44" t="b">
        <v>1</v>
      </c>
      <c r="G44" s="17" t="s">
        <v>120</v>
      </c>
      <c r="H44" s="17" t="s">
        <v>7</v>
      </c>
      <c r="I44" s="17" t="s">
        <v>175</v>
      </c>
      <c r="J44">
        <v>0</v>
      </c>
      <c r="K44" s="17" t="s">
        <v>77</v>
      </c>
      <c r="L44" t="b">
        <v>0</v>
      </c>
      <c r="M44" t="b">
        <v>0</v>
      </c>
      <c r="N44" t="b">
        <v>0</v>
      </c>
    </row>
    <row r="45" spans="1:14" x14ac:dyDescent="0.25">
      <c r="A45" s="17" t="s">
        <v>117</v>
      </c>
      <c r="B45" t="s">
        <v>91</v>
      </c>
      <c r="C45" t="s">
        <v>182</v>
      </c>
      <c r="D45">
        <v>0.3</v>
      </c>
      <c r="E45" s="19">
        <v>46181.434155092589</v>
      </c>
      <c r="F45" t="b">
        <v>1</v>
      </c>
      <c r="G45" s="17" t="s">
        <v>121</v>
      </c>
      <c r="H45" s="17" t="s">
        <v>7</v>
      </c>
      <c r="I45" s="17" t="s">
        <v>175</v>
      </c>
      <c r="J45">
        <v>0</v>
      </c>
      <c r="K45" s="17" t="s">
        <v>77</v>
      </c>
      <c r="L45" t="b">
        <v>0</v>
      </c>
      <c r="M45" t="b">
        <v>0</v>
      </c>
      <c r="N45" t="b">
        <v>0</v>
      </c>
    </row>
    <row r="46" spans="1:14" x14ac:dyDescent="0.25">
      <c r="A46" s="17" t="s">
        <v>117</v>
      </c>
      <c r="B46" t="s">
        <v>93</v>
      </c>
      <c r="D46" t="e">
        <v>#N/A</v>
      </c>
      <c r="E46" s="18">
        <v>0</v>
      </c>
      <c r="F46" t="b">
        <v>1</v>
      </c>
      <c r="G46" s="17" t="s">
        <v>122</v>
      </c>
      <c r="H46" s="17" t="s">
        <v>7</v>
      </c>
      <c r="I46" s="17" t="s">
        <v>175</v>
      </c>
      <c r="J46">
        <v>0</v>
      </c>
      <c r="K46" s="17" t="s">
        <v>77</v>
      </c>
      <c r="L46" t="b">
        <v>0</v>
      </c>
      <c r="M46" t="b">
        <v>0</v>
      </c>
      <c r="N46" t="b">
        <v>0</v>
      </c>
    </row>
    <row r="47" spans="1:14" x14ac:dyDescent="0.25">
      <c r="A47" s="17" t="s">
        <v>117</v>
      </c>
      <c r="B47" t="s">
        <v>96</v>
      </c>
      <c r="C47" t="s">
        <v>182</v>
      </c>
      <c r="D47">
        <v>85</v>
      </c>
      <c r="E47" s="18">
        <v>0</v>
      </c>
      <c r="F47" t="b">
        <v>1</v>
      </c>
      <c r="G47" s="17" t="s">
        <v>44</v>
      </c>
      <c r="H47" s="17" t="s">
        <v>7</v>
      </c>
      <c r="I47" s="17" t="s">
        <v>175</v>
      </c>
      <c r="J47">
        <v>0</v>
      </c>
      <c r="K47" s="17" t="s">
        <v>77</v>
      </c>
      <c r="L47" t="b">
        <v>0</v>
      </c>
      <c r="M47" t="b">
        <v>0</v>
      </c>
      <c r="N47" t="b">
        <v>0</v>
      </c>
    </row>
    <row r="48" spans="1:14" x14ac:dyDescent="0.25">
      <c r="A48" s="17" t="s">
        <v>117</v>
      </c>
      <c r="B48" t="s">
        <v>97</v>
      </c>
      <c r="C48" t="s">
        <v>182</v>
      </c>
      <c r="D48">
        <v>359</v>
      </c>
      <c r="E48" s="18">
        <v>0</v>
      </c>
      <c r="F48" t="b">
        <v>1</v>
      </c>
      <c r="G48" s="17" t="s">
        <v>45</v>
      </c>
      <c r="H48" s="17" t="s">
        <v>7</v>
      </c>
      <c r="I48" s="17" t="s">
        <v>175</v>
      </c>
      <c r="J48">
        <v>0</v>
      </c>
      <c r="K48" s="17" t="s">
        <v>77</v>
      </c>
      <c r="L48" t="b">
        <v>0</v>
      </c>
      <c r="M48" t="b">
        <v>0</v>
      </c>
      <c r="N48" t="b">
        <v>0</v>
      </c>
    </row>
    <row r="49" spans="1:14" x14ac:dyDescent="0.25">
      <c r="A49" s="17" t="s">
        <v>117</v>
      </c>
      <c r="B49" t="s">
        <v>98</v>
      </c>
      <c r="C49" t="s">
        <v>182</v>
      </c>
      <c r="D49">
        <v>156</v>
      </c>
      <c r="E49" s="18">
        <v>0</v>
      </c>
      <c r="F49" t="b">
        <v>1</v>
      </c>
      <c r="G49" s="17" t="s">
        <v>46</v>
      </c>
      <c r="H49" s="17" t="s">
        <v>7</v>
      </c>
      <c r="I49" s="17" t="s">
        <v>175</v>
      </c>
      <c r="J49">
        <v>0</v>
      </c>
      <c r="K49" s="17" t="s">
        <v>77</v>
      </c>
      <c r="L49" t="b">
        <v>0</v>
      </c>
      <c r="M49" t="b">
        <v>0</v>
      </c>
      <c r="N49" t="b">
        <v>0</v>
      </c>
    </row>
    <row r="50" spans="1:14" x14ac:dyDescent="0.25">
      <c r="A50" s="17" t="s">
        <v>117</v>
      </c>
      <c r="B50" t="s">
        <v>99</v>
      </c>
      <c r="C50" t="s">
        <v>182</v>
      </c>
      <c r="D50">
        <v>35</v>
      </c>
      <c r="E50" s="18">
        <v>0</v>
      </c>
      <c r="F50" t="b">
        <v>1</v>
      </c>
      <c r="G50" s="17" t="s">
        <v>47</v>
      </c>
      <c r="H50" s="17" t="s">
        <v>7</v>
      </c>
      <c r="I50" s="17" t="s">
        <v>175</v>
      </c>
      <c r="J50">
        <v>0</v>
      </c>
      <c r="K50" s="17" t="s">
        <v>77</v>
      </c>
      <c r="L50" t="b">
        <v>0</v>
      </c>
      <c r="M50" t="b">
        <v>0</v>
      </c>
      <c r="N50" t="b">
        <v>0</v>
      </c>
    </row>
    <row r="51" spans="1:14" x14ac:dyDescent="0.25">
      <c r="A51" s="17" t="s">
        <v>117</v>
      </c>
      <c r="B51" t="s">
        <v>350</v>
      </c>
      <c r="D51" t="s">
        <v>351</v>
      </c>
      <c r="E51" s="18">
        <v>0</v>
      </c>
      <c r="F51" t="b">
        <v>0</v>
      </c>
      <c r="G51" s="17"/>
      <c r="H51" s="17"/>
      <c r="I51" s="17"/>
      <c r="K51" s="17"/>
    </row>
    <row r="52" spans="1:14" x14ac:dyDescent="0.25">
      <c r="A52" s="17" t="s">
        <v>117</v>
      </c>
      <c r="B52" t="s">
        <v>78</v>
      </c>
      <c r="C52" t="s">
        <v>215</v>
      </c>
      <c r="D52">
        <v>50.967979582518161</v>
      </c>
      <c r="E52" s="19">
        <v>46184.464270833334</v>
      </c>
      <c r="F52" t="b">
        <v>1</v>
      </c>
      <c r="G52" s="17" t="s">
        <v>216</v>
      </c>
      <c r="H52" s="17" t="s">
        <v>7</v>
      </c>
      <c r="I52" s="17" t="s">
        <v>213</v>
      </c>
      <c r="J52">
        <v>0</v>
      </c>
      <c r="K52" s="17" t="s">
        <v>77</v>
      </c>
      <c r="L52" t="b">
        <v>0</v>
      </c>
      <c r="M52" t="b">
        <v>0</v>
      </c>
      <c r="N52" t="b">
        <v>0</v>
      </c>
    </row>
    <row r="53" spans="1:14" x14ac:dyDescent="0.25">
      <c r="A53" s="17" t="s">
        <v>117</v>
      </c>
      <c r="B53" t="s">
        <v>79</v>
      </c>
      <c r="C53" t="s">
        <v>215</v>
      </c>
      <c r="D53">
        <v>120.21245566186201</v>
      </c>
      <c r="E53" s="19">
        <v>46184.464375000003</v>
      </c>
      <c r="F53" t="b">
        <v>1</v>
      </c>
      <c r="G53" s="17" t="s">
        <v>217</v>
      </c>
      <c r="H53" s="17" t="s">
        <v>7</v>
      </c>
      <c r="I53" s="17" t="s">
        <v>213</v>
      </c>
      <c r="J53">
        <v>0</v>
      </c>
      <c r="K53" s="17" t="s">
        <v>77</v>
      </c>
      <c r="L53" t="b">
        <v>0</v>
      </c>
      <c r="M53" t="b">
        <v>0</v>
      </c>
      <c r="N53" t="b">
        <v>0</v>
      </c>
    </row>
    <row r="54" spans="1:14" x14ac:dyDescent="0.25">
      <c r="A54" s="17" t="s">
        <v>117</v>
      </c>
      <c r="B54" t="s">
        <v>80</v>
      </c>
      <c r="C54" t="s">
        <v>215</v>
      </c>
      <c r="D54">
        <v>58.553707089075935</v>
      </c>
      <c r="E54" s="19">
        <v>46184.464479166665</v>
      </c>
      <c r="F54" t="b">
        <v>1</v>
      </c>
      <c r="G54" s="17" t="s">
        <v>218</v>
      </c>
      <c r="H54" s="17" t="s">
        <v>7</v>
      </c>
      <c r="I54" s="17" t="s">
        <v>213</v>
      </c>
      <c r="J54">
        <v>0</v>
      </c>
      <c r="K54" s="17" t="s">
        <v>77</v>
      </c>
      <c r="L54" t="b">
        <v>0</v>
      </c>
      <c r="M54" t="b">
        <v>0</v>
      </c>
      <c r="N54" t="b">
        <v>0</v>
      </c>
    </row>
    <row r="55" spans="1:14" x14ac:dyDescent="0.25">
      <c r="A55" s="17" t="s">
        <v>117</v>
      </c>
      <c r="B55" t="s">
        <v>81</v>
      </c>
      <c r="C55" t="s">
        <v>215</v>
      </c>
      <c r="D55">
        <v>65.579758001123139</v>
      </c>
      <c r="E55" s="19">
        <v>46184.464571759258</v>
      </c>
      <c r="F55" t="b">
        <v>1</v>
      </c>
      <c r="G55" s="17" t="s">
        <v>219</v>
      </c>
      <c r="H55" s="17" t="s">
        <v>7</v>
      </c>
      <c r="I55" s="17" t="s">
        <v>213</v>
      </c>
      <c r="J55">
        <v>0</v>
      </c>
      <c r="K55" s="17" t="s">
        <v>77</v>
      </c>
      <c r="L55" t="b">
        <v>0</v>
      </c>
      <c r="M55" t="b">
        <v>0</v>
      </c>
      <c r="N55" t="b">
        <v>0</v>
      </c>
    </row>
    <row r="56" spans="1:14" x14ac:dyDescent="0.25">
      <c r="A56" s="17" t="s">
        <v>117</v>
      </c>
      <c r="B56" t="s">
        <v>82</v>
      </c>
      <c r="C56" t="s">
        <v>215</v>
      </c>
      <c r="D56">
        <v>77.833862631328444</v>
      </c>
      <c r="E56" s="19">
        <v>46184.464675925927</v>
      </c>
      <c r="F56" t="b">
        <v>1</v>
      </c>
      <c r="G56" s="17" t="s">
        <v>220</v>
      </c>
      <c r="H56" s="17" t="s">
        <v>7</v>
      </c>
      <c r="I56" s="17" t="s">
        <v>213</v>
      </c>
      <c r="J56">
        <v>0</v>
      </c>
      <c r="K56" s="17" t="s">
        <v>77</v>
      </c>
      <c r="L56" t="b">
        <v>0</v>
      </c>
      <c r="M56" t="b">
        <v>0</v>
      </c>
      <c r="N56" t="b">
        <v>0</v>
      </c>
    </row>
    <row r="57" spans="1:14" x14ac:dyDescent="0.25">
      <c r="A57" s="17" t="s">
        <v>117</v>
      </c>
      <c r="B57" t="s">
        <v>83</v>
      </c>
      <c r="C57" t="s">
        <v>215</v>
      </c>
      <c r="D57">
        <v>30.054561207357068</v>
      </c>
      <c r="E57" s="19">
        <v>46184.464780092596</v>
      </c>
      <c r="F57" t="b">
        <v>1</v>
      </c>
      <c r="G57" s="17" t="s">
        <v>221</v>
      </c>
      <c r="H57" s="17" t="s">
        <v>7</v>
      </c>
      <c r="I57" s="17" t="s">
        <v>213</v>
      </c>
      <c r="J57">
        <v>0</v>
      </c>
      <c r="K57" s="17" t="s">
        <v>77</v>
      </c>
      <c r="L57" t="b">
        <v>0</v>
      </c>
      <c r="M57" t="b">
        <v>0</v>
      </c>
      <c r="N57" t="b">
        <v>0</v>
      </c>
    </row>
    <row r="58" spans="1:14" x14ac:dyDescent="0.25">
      <c r="A58" s="17" t="s">
        <v>117</v>
      </c>
      <c r="B58" t="s">
        <v>76</v>
      </c>
      <c r="C58" t="s">
        <v>215</v>
      </c>
      <c r="D58">
        <v>68.336249781639495</v>
      </c>
      <c r="E58" s="19">
        <v>46184.464884259258</v>
      </c>
      <c r="F58" t="b">
        <v>1</v>
      </c>
      <c r="G58" s="17" t="s">
        <v>222</v>
      </c>
      <c r="H58" s="17" t="s">
        <v>7</v>
      </c>
      <c r="I58" s="17" t="s">
        <v>213</v>
      </c>
      <c r="J58">
        <v>0</v>
      </c>
      <c r="K58" s="17" t="s">
        <v>77</v>
      </c>
      <c r="L58" t="b">
        <v>0</v>
      </c>
      <c r="M58" t="b">
        <v>0</v>
      </c>
      <c r="N58" t="b">
        <v>0</v>
      </c>
    </row>
    <row r="59" spans="1:14" x14ac:dyDescent="0.25">
      <c r="A59" s="17" t="s">
        <v>117</v>
      </c>
      <c r="B59" t="s">
        <v>84</v>
      </c>
      <c r="C59" t="s">
        <v>196</v>
      </c>
      <c r="D59">
        <v>43.611058577426</v>
      </c>
      <c r="E59" s="19">
        <v>46184.46533564815</v>
      </c>
      <c r="F59" t="b">
        <v>1</v>
      </c>
      <c r="G59" s="17" t="s">
        <v>226</v>
      </c>
      <c r="H59" s="17" t="s">
        <v>7</v>
      </c>
      <c r="I59" s="17" t="s">
        <v>186</v>
      </c>
      <c r="J59">
        <v>0</v>
      </c>
      <c r="K59" s="17" t="s">
        <v>77</v>
      </c>
      <c r="L59" t="b">
        <v>0</v>
      </c>
      <c r="M59" t="b">
        <v>0</v>
      </c>
      <c r="N59" t="b">
        <v>0</v>
      </c>
    </row>
    <row r="60" spans="1:14" x14ac:dyDescent="0.25">
      <c r="A60" s="17" t="s">
        <v>117</v>
      </c>
      <c r="B60" t="s">
        <v>95</v>
      </c>
      <c r="C60" t="s">
        <v>182</v>
      </c>
      <c r="D60">
        <v>-0.67176493919937696</v>
      </c>
      <c r="E60" s="19">
        <v>46184.493067129632</v>
      </c>
      <c r="F60" t="b">
        <v>1</v>
      </c>
      <c r="G60" s="17" t="s">
        <v>354</v>
      </c>
      <c r="H60" s="17" t="s">
        <v>7</v>
      </c>
      <c r="I60" s="17" t="s">
        <v>175</v>
      </c>
      <c r="J60">
        <v>0</v>
      </c>
      <c r="K60" s="17" t="s">
        <v>77</v>
      </c>
      <c r="L60" t="b">
        <v>0</v>
      </c>
      <c r="M60" t="b">
        <v>0</v>
      </c>
      <c r="N60" t="b">
        <v>0</v>
      </c>
    </row>
    <row r="61" spans="1:14" x14ac:dyDescent="0.25">
      <c r="A61" s="17" t="s">
        <v>117</v>
      </c>
      <c r="B61" t="s">
        <v>365</v>
      </c>
      <c r="C61" t="s">
        <v>182</v>
      </c>
      <c r="D61">
        <v>330</v>
      </c>
      <c r="E61" s="19">
        <v>46185.439953703702</v>
      </c>
      <c r="F61" t="b">
        <v>1</v>
      </c>
      <c r="G61" s="17" t="s">
        <v>43</v>
      </c>
      <c r="H61" s="17" t="s">
        <v>7</v>
      </c>
      <c r="I61" s="17" t="s">
        <v>175</v>
      </c>
      <c r="J61">
        <v>0</v>
      </c>
      <c r="K61" s="17" t="s">
        <v>77</v>
      </c>
      <c r="L61" t="b">
        <v>0</v>
      </c>
      <c r="M61" t="b">
        <v>0</v>
      </c>
      <c r="N61" t="b">
        <v>0</v>
      </c>
    </row>
    <row r="62" spans="1:14" x14ac:dyDescent="0.25">
      <c r="A62" s="17" t="s">
        <v>123</v>
      </c>
      <c r="B62" t="s">
        <v>85</v>
      </c>
      <c r="C62" t="s">
        <v>182</v>
      </c>
      <c r="D62">
        <v>68.347644453374599</v>
      </c>
      <c r="E62" s="19">
        <v>46181.434212962966</v>
      </c>
      <c r="F62" t="b">
        <v>1</v>
      </c>
      <c r="G62" s="17" t="s">
        <v>124</v>
      </c>
      <c r="H62" s="17" t="s">
        <v>7</v>
      </c>
      <c r="I62" s="17" t="s">
        <v>175</v>
      </c>
      <c r="J62">
        <v>0</v>
      </c>
      <c r="K62" s="17" t="s">
        <v>77</v>
      </c>
      <c r="L62" t="b">
        <v>0</v>
      </c>
      <c r="M62" t="b">
        <v>0</v>
      </c>
      <c r="N62" t="b">
        <v>0</v>
      </c>
    </row>
    <row r="63" spans="1:14" x14ac:dyDescent="0.25">
      <c r="A63" s="17" t="s">
        <v>123</v>
      </c>
      <c r="B63" t="s">
        <v>87</v>
      </c>
      <c r="C63" t="s">
        <v>182</v>
      </c>
      <c r="D63">
        <v>0.86450741438940804</v>
      </c>
      <c r="E63" s="19">
        <v>46181.434212962966</v>
      </c>
      <c r="F63" t="b">
        <v>1</v>
      </c>
      <c r="G63" s="17" t="s">
        <v>125</v>
      </c>
      <c r="H63" s="17" t="s">
        <v>7</v>
      </c>
      <c r="I63" s="17" t="s">
        <v>175</v>
      </c>
      <c r="J63">
        <v>0</v>
      </c>
      <c r="K63" s="17" t="s">
        <v>77</v>
      </c>
      <c r="L63" t="b">
        <v>0</v>
      </c>
      <c r="M63" t="b">
        <v>0</v>
      </c>
      <c r="N63" t="b">
        <v>0</v>
      </c>
    </row>
    <row r="64" spans="1:14" x14ac:dyDescent="0.25">
      <c r="A64" s="17" t="s">
        <v>123</v>
      </c>
      <c r="B64" t="s">
        <v>89</v>
      </c>
      <c r="C64" t="s">
        <v>182</v>
      </c>
      <c r="D64">
        <v>80.896181538461505</v>
      </c>
      <c r="E64" s="19">
        <v>46181.434212962966</v>
      </c>
      <c r="F64" t="b">
        <v>1</v>
      </c>
      <c r="G64" s="17" t="s">
        <v>126</v>
      </c>
      <c r="H64" s="17" t="s">
        <v>7</v>
      </c>
      <c r="I64" s="17" t="s">
        <v>175</v>
      </c>
      <c r="J64">
        <v>0</v>
      </c>
      <c r="K64" s="17" t="s">
        <v>77</v>
      </c>
      <c r="L64" t="b">
        <v>0</v>
      </c>
      <c r="M64" t="b">
        <v>0</v>
      </c>
      <c r="N64" t="b">
        <v>0</v>
      </c>
    </row>
    <row r="65" spans="1:14" x14ac:dyDescent="0.25">
      <c r="A65" s="17" t="s">
        <v>123</v>
      </c>
      <c r="B65" t="s">
        <v>91</v>
      </c>
      <c r="C65" t="s">
        <v>182</v>
      </c>
      <c r="D65">
        <v>0.3</v>
      </c>
      <c r="E65" s="19">
        <v>46181.434224537035</v>
      </c>
      <c r="F65" t="b">
        <v>1</v>
      </c>
      <c r="G65" s="17" t="s">
        <v>127</v>
      </c>
      <c r="H65" s="17" t="s">
        <v>7</v>
      </c>
      <c r="I65" s="17" t="s">
        <v>175</v>
      </c>
      <c r="J65">
        <v>0</v>
      </c>
      <c r="K65" s="17" t="s">
        <v>77</v>
      </c>
      <c r="L65" t="b">
        <v>0</v>
      </c>
      <c r="M65" t="b">
        <v>0</v>
      </c>
      <c r="N65" t="b">
        <v>0</v>
      </c>
    </row>
    <row r="66" spans="1:14" x14ac:dyDescent="0.25">
      <c r="A66" s="17" t="s">
        <v>123</v>
      </c>
      <c r="B66" t="s">
        <v>93</v>
      </c>
      <c r="D66" t="e">
        <v>#N/A</v>
      </c>
      <c r="E66" s="18">
        <v>0</v>
      </c>
      <c r="F66" t="b">
        <v>1</v>
      </c>
      <c r="G66" s="17" t="s">
        <v>128</v>
      </c>
      <c r="H66" s="17" t="s">
        <v>7</v>
      </c>
      <c r="I66" s="17" t="s">
        <v>175</v>
      </c>
      <c r="J66">
        <v>0</v>
      </c>
      <c r="K66" s="17" t="s">
        <v>77</v>
      </c>
      <c r="L66" t="b">
        <v>0</v>
      </c>
      <c r="M66" t="b">
        <v>0</v>
      </c>
      <c r="N66" t="b">
        <v>0</v>
      </c>
    </row>
    <row r="67" spans="1:14" x14ac:dyDescent="0.25">
      <c r="A67" s="17" t="s">
        <v>123</v>
      </c>
      <c r="B67" t="s">
        <v>96</v>
      </c>
      <c r="C67" t="s">
        <v>182</v>
      </c>
      <c r="D67">
        <v>85</v>
      </c>
      <c r="E67" s="18">
        <v>0</v>
      </c>
      <c r="F67" t="b">
        <v>1</v>
      </c>
      <c r="G67" s="17" t="s">
        <v>44</v>
      </c>
      <c r="H67" s="17" t="s">
        <v>7</v>
      </c>
      <c r="I67" s="17" t="s">
        <v>175</v>
      </c>
      <c r="J67">
        <v>0</v>
      </c>
      <c r="K67" s="17" t="s">
        <v>77</v>
      </c>
      <c r="L67" t="b">
        <v>0</v>
      </c>
      <c r="M67" t="b">
        <v>0</v>
      </c>
      <c r="N67" t="b">
        <v>0</v>
      </c>
    </row>
    <row r="68" spans="1:14" x14ac:dyDescent="0.25">
      <c r="A68" s="17" t="s">
        <v>123</v>
      </c>
      <c r="B68" t="s">
        <v>97</v>
      </c>
      <c r="C68" t="s">
        <v>182</v>
      </c>
      <c r="D68">
        <v>359</v>
      </c>
      <c r="E68" s="18">
        <v>0</v>
      </c>
      <c r="F68" t="b">
        <v>1</v>
      </c>
      <c r="G68" s="17" t="s">
        <v>45</v>
      </c>
      <c r="H68" s="17" t="s">
        <v>7</v>
      </c>
      <c r="I68" s="17" t="s">
        <v>175</v>
      </c>
      <c r="J68">
        <v>0</v>
      </c>
      <c r="K68" s="17" t="s">
        <v>77</v>
      </c>
      <c r="L68" t="b">
        <v>0</v>
      </c>
      <c r="M68" t="b">
        <v>0</v>
      </c>
      <c r="N68" t="b">
        <v>0</v>
      </c>
    </row>
    <row r="69" spans="1:14" x14ac:dyDescent="0.25">
      <c r="A69" s="17" t="s">
        <v>123</v>
      </c>
      <c r="B69" t="s">
        <v>98</v>
      </c>
      <c r="C69" t="s">
        <v>182</v>
      </c>
      <c r="D69">
        <v>156</v>
      </c>
      <c r="E69" s="18">
        <v>0</v>
      </c>
      <c r="F69" t="b">
        <v>1</v>
      </c>
      <c r="G69" s="17" t="s">
        <v>46</v>
      </c>
      <c r="H69" s="17" t="s">
        <v>7</v>
      </c>
      <c r="I69" s="17" t="s">
        <v>175</v>
      </c>
      <c r="J69">
        <v>0</v>
      </c>
      <c r="K69" s="17" t="s">
        <v>77</v>
      </c>
      <c r="L69" t="b">
        <v>0</v>
      </c>
      <c r="M69" t="b">
        <v>0</v>
      </c>
      <c r="N69" t="b">
        <v>0</v>
      </c>
    </row>
    <row r="70" spans="1:14" x14ac:dyDescent="0.25">
      <c r="A70" s="17" t="s">
        <v>123</v>
      </c>
      <c r="B70" t="s">
        <v>99</v>
      </c>
      <c r="C70" t="s">
        <v>182</v>
      </c>
      <c r="D70">
        <v>35</v>
      </c>
      <c r="E70" s="18">
        <v>0</v>
      </c>
      <c r="F70" t="b">
        <v>1</v>
      </c>
      <c r="G70" s="17" t="s">
        <v>47</v>
      </c>
      <c r="H70" s="17" t="s">
        <v>7</v>
      </c>
      <c r="I70" s="17" t="s">
        <v>175</v>
      </c>
      <c r="J70">
        <v>0</v>
      </c>
      <c r="K70" s="17" t="s">
        <v>77</v>
      </c>
      <c r="L70" t="b">
        <v>0</v>
      </c>
      <c r="M70" t="b">
        <v>0</v>
      </c>
      <c r="N70" t="b">
        <v>0</v>
      </c>
    </row>
    <row r="71" spans="1:14" x14ac:dyDescent="0.25">
      <c r="A71" s="17" t="s">
        <v>123</v>
      </c>
      <c r="B71" t="s">
        <v>350</v>
      </c>
      <c r="D71" t="s">
        <v>351</v>
      </c>
      <c r="E71" s="18">
        <v>0</v>
      </c>
      <c r="F71" t="b">
        <v>0</v>
      </c>
      <c r="G71" s="17"/>
      <c r="H71" s="17"/>
      <c r="I71" s="17"/>
      <c r="K71" s="17"/>
    </row>
    <row r="72" spans="1:14" x14ac:dyDescent="0.25">
      <c r="A72" s="17" t="s">
        <v>123</v>
      </c>
      <c r="B72" t="s">
        <v>78</v>
      </c>
      <c r="C72" t="s">
        <v>227</v>
      </c>
      <c r="D72">
        <v>50.967979582518161</v>
      </c>
      <c r="E72" s="19">
        <v>46184.465925925928</v>
      </c>
      <c r="F72" t="b">
        <v>1</v>
      </c>
      <c r="G72" s="17" t="s">
        <v>228</v>
      </c>
      <c r="H72" s="17" t="s">
        <v>7</v>
      </c>
      <c r="I72" s="17" t="s">
        <v>224</v>
      </c>
      <c r="J72">
        <v>0</v>
      </c>
      <c r="K72" s="17" t="s">
        <v>77</v>
      </c>
      <c r="L72" t="b">
        <v>0</v>
      </c>
      <c r="M72" t="b">
        <v>0</v>
      </c>
      <c r="N72" t="b">
        <v>0</v>
      </c>
    </row>
    <row r="73" spans="1:14" x14ac:dyDescent="0.25">
      <c r="A73" s="17" t="s">
        <v>123</v>
      </c>
      <c r="B73" t="s">
        <v>79</v>
      </c>
      <c r="C73" t="s">
        <v>227</v>
      </c>
      <c r="D73">
        <v>120.21245566186201</v>
      </c>
      <c r="E73" s="19">
        <v>46184.46603009259</v>
      </c>
      <c r="F73" t="b">
        <v>1</v>
      </c>
      <c r="G73" s="17" t="s">
        <v>229</v>
      </c>
      <c r="H73" s="17" t="s">
        <v>7</v>
      </c>
      <c r="I73" s="17" t="s">
        <v>224</v>
      </c>
      <c r="J73">
        <v>0</v>
      </c>
      <c r="K73" s="17" t="s">
        <v>77</v>
      </c>
      <c r="L73" t="b">
        <v>0</v>
      </c>
      <c r="M73" t="b">
        <v>0</v>
      </c>
      <c r="N73" t="b">
        <v>0</v>
      </c>
    </row>
    <row r="74" spans="1:14" x14ac:dyDescent="0.25">
      <c r="A74" s="17" t="s">
        <v>123</v>
      </c>
      <c r="B74" t="s">
        <v>80</v>
      </c>
      <c r="C74" t="s">
        <v>227</v>
      </c>
      <c r="D74">
        <v>58.553707089085371</v>
      </c>
      <c r="E74" s="19">
        <v>46184.466134259259</v>
      </c>
      <c r="F74" t="b">
        <v>1</v>
      </c>
      <c r="G74" s="17" t="s">
        <v>230</v>
      </c>
      <c r="H74" s="17" t="s">
        <v>7</v>
      </c>
      <c r="I74" s="17" t="s">
        <v>224</v>
      </c>
      <c r="J74">
        <v>0</v>
      </c>
      <c r="K74" s="17" t="s">
        <v>77</v>
      </c>
      <c r="L74" t="b">
        <v>0</v>
      </c>
      <c r="M74" t="b">
        <v>0</v>
      </c>
      <c r="N74" t="b">
        <v>0</v>
      </c>
    </row>
    <row r="75" spans="1:14" x14ac:dyDescent="0.25">
      <c r="A75" s="17" t="s">
        <v>123</v>
      </c>
      <c r="B75" t="s">
        <v>81</v>
      </c>
      <c r="C75" t="s">
        <v>227</v>
      </c>
      <c r="D75">
        <v>65.579758001123139</v>
      </c>
      <c r="E75" s="19">
        <v>46184.466238425928</v>
      </c>
      <c r="F75" t="b">
        <v>1</v>
      </c>
      <c r="G75" s="17" t="s">
        <v>231</v>
      </c>
      <c r="H75" s="17" t="s">
        <v>7</v>
      </c>
      <c r="I75" s="17" t="s">
        <v>224</v>
      </c>
      <c r="J75">
        <v>0</v>
      </c>
      <c r="K75" s="17" t="s">
        <v>77</v>
      </c>
      <c r="L75" t="b">
        <v>0</v>
      </c>
      <c r="M75" t="b">
        <v>0</v>
      </c>
      <c r="N75" t="b">
        <v>0</v>
      </c>
    </row>
    <row r="76" spans="1:14" x14ac:dyDescent="0.25">
      <c r="A76" s="17" t="s">
        <v>123</v>
      </c>
      <c r="B76" t="s">
        <v>82</v>
      </c>
      <c r="C76" t="s">
        <v>227</v>
      </c>
      <c r="D76">
        <v>77.833862631324408</v>
      </c>
      <c r="E76" s="19">
        <v>46184.466319444444</v>
      </c>
      <c r="F76" t="b">
        <v>1</v>
      </c>
      <c r="G76" s="17" t="s">
        <v>232</v>
      </c>
      <c r="H76" s="17" t="s">
        <v>7</v>
      </c>
      <c r="I76" s="17" t="s">
        <v>224</v>
      </c>
      <c r="J76">
        <v>0</v>
      </c>
      <c r="K76" s="17" t="s">
        <v>77</v>
      </c>
      <c r="L76" t="b">
        <v>0</v>
      </c>
      <c r="M76" t="b">
        <v>0</v>
      </c>
      <c r="N76" t="b">
        <v>0</v>
      </c>
    </row>
    <row r="77" spans="1:14" x14ac:dyDescent="0.25">
      <c r="A77" s="17" t="s">
        <v>123</v>
      </c>
      <c r="B77" t="s">
        <v>83</v>
      </c>
      <c r="C77" t="s">
        <v>227</v>
      </c>
      <c r="D77">
        <v>30.054561207357068</v>
      </c>
      <c r="E77" s="19">
        <v>46184.466423611113</v>
      </c>
      <c r="F77" t="b">
        <v>1</v>
      </c>
      <c r="G77" s="17" t="s">
        <v>233</v>
      </c>
      <c r="H77" s="17" t="s">
        <v>7</v>
      </c>
      <c r="I77" s="17" t="s">
        <v>224</v>
      </c>
      <c r="J77">
        <v>0</v>
      </c>
      <c r="K77" s="17" t="s">
        <v>77</v>
      </c>
      <c r="L77" t="b">
        <v>0</v>
      </c>
      <c r="M77" t="b">
        <v>0</v>
      </c>
      <c r="N77" t="b">
        <v>0</v>
      </c>
    </row>
    <row r="78" spans="1:14" x14ac:dyDescent="0.25">
      <c r="A78" s="17" t="s">
        <v>123</v>
      </c>
      <c r="B78" t="s">
        <v>76</v>
      </c>
      <c r="C78" t="s">
        <v>227</v>
      </c>
      <c r="D78">
        <v>68.336249781639495</v>
      </c>
      <c r="E78" s="19">
        <v>46184.466527777775</v>
      </c>
      <c r="F78" t="b">
        <v>1</v>
      </c>
      <c r="G78" s="17" t="s">
        <v>234</v>
      </c>
      <c r="H78" s="17" t="s">
        <v>7</v>
      </c>
      <c r="I78" s="17" t="s">
        <v>224</v>
      </c>
      <c r="J78">
        <v>0</v>
      </c>
      <c r="K78" s="17" t="s">
        <v>77</v>
      </c>
      <c r="L78" t="b">
        <v>0</v>
      </c>
      <c r="M78" t="b">
        <v>0</v>
      </c>
      <c r="N78" t="b">
        <v>0</v>
      </c>
    </row>
    <row r="79" spans="1:14" x14ac:dyDescent="0.25">
      <c r="A79" s="17" t="s">
        <v>123</v>
      </c>
      <c r="B79" t="s">
        <v>84</v>
      </c>
      <c r="C79" t="s">
        <v>196</v>
      </c>
      <c r="D79">
        <v>43.611058577426</v>
      </c>
      <c r="E79" s="19">
        <v>46184.467604166668</v>
      </c>
      <c r="F79" t="b">
        <v>1</v>
      </c>
      <c r="G79" s="17" t="s">
        <v>235</v>
      </c>
      <c r="H79" s="17" t="s">
        <v>7</v>
      </c>
      <c r="I79" s="17" t="s">
        <v>186</v>
      </c>
      <c r="J79">
        <v>0</v>
      </c>
      <c r="K79" s="17" t="s">
        <v>77</v>
      </c>
      <c r="L79" t="b">
        <v>0</v>
      </c>
      <c r="M79" t="b">
        <v>0</v>
      </c>
      <c r="N79" t="b">
        <v>0</v>
      </c>
    </row>
    <row r="80" spans="1:14" x14ac:dyDescent="0.25">
      <c r="A80" s="17" t="s">
        <v>123</v>
      </c>
      <c r="B80" t="s">
        <v>95</v>
      </c>
      <c r="C80" t="s">
        <v>182</v>
      </c>
      <c r="D80">
        <v>-0.67176493919937696</v>
      </c>
      <c r="E80" s="19">
        <v>46184.492997685185</v>
      </c>
      <c r="F80" t="b">
        <v>1</v>
      </c>
      <c r="G80" s="17" t="s">
        <v>355</v>
      </c>
      <c r="H80" s="17" t="s">
        <v>7</v>
      </c>
      <c r="I80" s="17" t="s">
        <v>175</v>
      </c>
      <c r="J80">
        <v>0</v>
      </c>
      <c r="K80" s="17" t="s">
        <v>77</v>
      </c>
      <c r="L80" t="b">
        <v>0</v>
      </c>
      <c r="M80" t="b">
        <v>0</v>
      </c>
      <c r="N80" t="b">
        <v>0</v>
      </c>
    </row>
    <row r="81" spans="1:14" x14ac:dyDescent="0.25">
      <c r="A81" s="17" t="s">
        <v>123</v>
      </c>
      <c r="B81" t="s">
        <v>365</v>
      </c>
      <c r="C81" t="s">
        <v>182</v>
      </c>
      <c r="D81">
        <v>330</v>
      </c>
      <c r="E81" s="19">
        <v>46185.440196759257</v>
      </c>
      <c r="F81" t="b">
        <v>1</v>
      </c>
      <c r="G81" s="17" t="s">
        <v>43</v>
      </c>
      <c r="H81" s="17" t="s">
        <v>7</v>
      </c>
      <c r="I81" s="17" t="s">
        <v>175</v>
      </c>
      <c r="J81">
        <v>0</v>
      </c>
      <c r="K81" s="17" t="s">
        <v>77</v>
      </c>
      <c r="L81" t="b">
        <v>0</v>
      </c>
      <c r="M81" t="b">
        <v>0</v>
      </c>
      <c r="N81" t="b">
        <v>0</v>
      </c>
    </row>
    <row r="82" spans="1:14" x14ac:dyDescent="0.25">
      <c r="A82" s="17" t="s">
        <v>129</v>
      </c>
      <c r="B82" t="s">
        <v>85</v>
      </c>
      <c r="C82" t="s">
        <v>182</v>
      </c>
      <c r="D82">
        <v>68.291409793006196</v>
      </c>
      <c r="E82" s="19">
        <v>46181.434270833335</v>
      </c>
      <c r="F82" t="b">
        <v>1</v>
      </c>
      <c r="G82" s="17" t="s">
        <v>130</v>
      </c>
      <c r="H82" s="17" t="s">
        <v>7</v>
      </c>
      <c r="I82" s="17" t="s">
        <v>175</v>
      </c>
      <c r="J82">
        <v>0</v>
      </c>
      <c r="K82" s="17" t="s">
        <v>77</v>
      </c>
      <c r="L82" t="b">
        <v>0</v>
      </c>
      <c r="M82" t="b">
        <v>0</v>
      </c>
      <c r="N82" t="b">
        <v>0</v>
      </c>
    </row>
    <row r="83" spans="1:14" x14ac:dyDescent="0.25">
      <c r="A83" s="17" t="s">
        <v>129</v>
      </c>
      <c r="B83" t="s">
        <v>87</v>
      </c>
      <c r="C83" t="s">
        <v>182</v>
      </c>
      <c r="D83">
        <v>0.86450741438940804</v>
      </c>
      <c r="E83" s="19">
        <v>46181.434282407405</v>
      </c>
      <c r="F83" t="b">
        <v>1</v>
      </c>
      <c r="G83" s="17" t="s">
        <v>131</v>
      </c>
      <c r="H83" s="17" t="s">
        <v>7</v>
      </c>
      <c r="I83" s="17" t="s">
        <v>175</v>
      </c>
      <c r="J83">
        <v>0</v>
      </c>
      <c r="K83" s="17" t="s">
        <v>77</v>
      </c>
      <c r="L83" t="b">
        <v>0</v>
      </c>
      <c r="M83" t="b">
        <v>0</v>
      </c>
      <c r="N83" t="b">
        <v>0</v>
      </c>
    </row>
    <row r="84" spans="1:14" x14ac:dyDescent="0.25">
      <c r="A84" s="17" t="s">
        <v>129</v>
      </c>
      <c r="B84" t="s">
        <v>89</v>
      </c>
      <c r="C84" t="s">
        <v>182</v>
      </c>
      <c r="D84">
        <v>80.896181538461505</v>
      </c>
      <c r="E84" s="19">
        <v>46181.434282407405</v>
      </c>
      <c r="F84" t="b">
        <v>1</v>
      </c>
      <c r="G84" s="17" t="s">
        <v>132</v>
      </c>
      <c r="H84" s="17" t="s">
        <v>7</v>
      </c>
      <c r="I84" s="17" t="s">
        <v>175</v>
      </c>
      <c r="J84">
        <v>0</v>
      </c>
      <c r="K84" s="17" t="s">
        <v>77</v>
      </c>
      <c r="L84" t="b">
        <v>0</v>
      </c>
      <c r="M84" t="b">
        <v>0</v>
      </c>
      <c r="N84" t="b">
        <v>0</v>
      </c>
    </row>
    <row r="85" spans="1:14" x14ac:dyDescent="0.25">
      <c r="A85" s="17" t="s">
        <v>129</v>
      </c>
      <c r="B85" t="s">
        <v>91</v>
      </c>
      <c r="C85" t="s">
        <v>182</v>
      </c>
      <c r="D85">
        <v>0.3</v>
      </c>
      <c r="E85" s="19">
        <v>46181.434282407405</v>
      </c>
      <c r="F85" t="b">
        <v>1</v>
      </c>
      <c r="G85" s="17" t="s">
        <v>133</v>
      </c>
      <c r="H85" s="17" t="s">
        <v>7</v>
      </c>
      <c r="I85" s="17" t="s">
        <v>175</v>
      </c>
      <c r="J85">
        <v>0</v>
      </c>
      <c r="K85" s="17" t="s">
        <v>77</v>
      </c>
      <c r="L85" t="b">
        <v>0</v>
      </c>
      <c r="M85" t="b">
        <v>0</v>
      </c>
      <c r="N85" t="b">
        <v>0</v>
      </c>
    </row>
    <row r="86" spans="1:14" x14ac:dyDescent="0.25">
      <c r="A86" s="17" t="s">
        <v>129</v>
      </c>
      <c r="B86" t="s">
        <v>93</v>
      </c>
      <c r="D86" t="e">
        <v>#N/A</v>
      </c>
      <c r="E86" s="18">
        <v>0</v>
      </c>
      <c r="F86" t="b">
        <v>1</v>
      </c>
      <c r="G86" s="17" t="s">
        <v>134</v>
      </c>
      <c r="H86" s="17" t="s">
        <v>7</v>
      </c>
      <c r="I86" s="17" t="s">
        <v>175</v>
      </c>
      <c r="J86">
        <v>0</v>
      </c>
      <c r="K86" s="17" t="s">
        <v>77</v>
      </c>
      <c r="L86" t="b">
        <v>0</v>
      </c>
      <c r="M86" t="b">
        <v>0</v>
      </c>
      <c r="N86" t="b">
        <v>0</v>
      </c>
    </row>
    <row r="87" spans="1:14" x14ac:dyDescent="0.25">
      <c r="A87" s="17" t="s">
        <v>129</v>
      </c>
      <c r="B87" t="s">
        <v>96</v>
      </c>
      <c r="C87" t="s">
        <v>182</v>
      </c>
      <c r="D87">
        <v>85</v>
      </c>
      <c r="E87" s="18">
        <v>0</v>
      </c>
      <c r="F87" t="b">
        <v>1</v>
      </c>
      <c r="G87" s="17" t="s">
        <v>44</v>
      </c>
      <c r="H87" s="17" t="s">
        <v>7</v>
      </c>
      <c r="I87" s="17" t="s">
        <v>175</v>
      </c>
      <c r="J87">
        <v>0</v>
      </c>
      <c r="K87" s="17" t="s">
        <v>77</v>
      </c>
      <c r="L87" t="b">
        <v>0</v>
      </c>
      <c r="M87" t="b">
        <v>0</v>
      </c>
      <c r="N87" t="b">
        <v>0</v>
      </c>
    </row>
    <row r="88" spans="1:14" x14ac:dyDescent="0.25">
      <c r="A88" s="17" t="s">
        <v>129</v>
      </c>
      <c r="B88" t="s">
        <v>97</v>
      </c>
      <c r="C88" t="s">
        <v>182</v>
      </c>
      <c r="D88">
        <v>359</v>
      </c>
      <c r="E88" s="18">
        <v>0</v>
      </c>
      <c r="F88" t="b">
        <v>1</v>
      </c>
      <c r="G88" s="17" t="s">
        <v>45</v>
      </c>
      <c r="H88" s="17" t="s">
        <v>7</v>
      </c>
      <c r="I88" s="17" t="s">
        <v>175</v>
      </c>
      <c r="J88">
        <v>0</v>
      </c>
      <c r="K88" s="17" t="s">
        <v>77</v>
      </c>
      <c r="L88" t="b">
        <v>0</v>
      </c>
      <c r="M88" t="b">
        <v>0</v>
      </c>
      <c r="N88" t="b">
        <v>0</v>
      </c>
    </row>
    <row r="89" spans="1:14" x14ac:dyDescent="0.25">
      <c r="A89" s="17" t="s">
        <v>129</v>
      </c>
      <c r="B89" t="s">
        <v>98</v>
      </c>
      <c r="C89" t="s">
        <v>182</v>
      </c>
      <c r="D89">
        <v>156</v>
      </c>
      <c r="E89" s="18">
        <v>0</v>
      </c>
      <c r="F89" t="b">
        <v>1</v>
      </c>
      <c r="G89" s="17" t="s">
        <v>46</v>
      </c>
      <c r="H89" s="17" t="s">
        <v>7</v>
      </c>
      <c r="I89" s="17" t="s">
        <v>175</v>
      </c>
      <c r="J89">
        <v>0</v>
      </c>
      <c r="K89" s="17" t="s">
        <v>77</v>
      </c>
      <c r="L89" t="b">
        <v>0</v>
      </c>
      <c r="M89" t="b">
        <v>0</v>
      </c>
      <c r="N89" t="b">
        <v>0</v>
      </c>
    </row>
    <row r="90" spans="1:14" x14ac:dyDescent="0.25">
      <c r="A90" s="17" t="s">
        <v>129</v>
      </c>
      <c r="B90" t="s">
        <v>99</v>
      </c>
      <c r="C90" t="s">
        <v>182</v>
      </c>
      <c r="D90">
        <v>35</v>
      </c>
      <c r="E90" s="18">
        <v>0</v>
      </c>
      <c r="F90" t="b">
        <v>1</v>
      </c>
      <c r="G90" s="17" t="s">
        <v>47</v>
      </c>
      <c r="H90" s="17" t="s">
        <v>7</v>
      </c>
      <c r="I90" s="17" t="s">
        <v>175</v>
      </c>
      <c r="J90">
        <v>0</v>
      </c>
      <c r="K90" s="17" t="s">
        <v>77</v>
      </c>
      <c r="L90" t="b">
        <v>0</v>
      </c>
      <c r="M90" t="b">
        <v>0</v>
      </c>
      <c r="N90" t="b">
        <v>0</v>
      </c>
    </row>
    <row r="91" spans="1:14" x14ac:dyDescent="0.25">
      <c r="A91" s="17" t="s">
        <v>129</v>
      </c>
      <c r="B91" t="s">
        <v>350</v>
      </c>
      <c r="D91" t="s">
        <v>351</v>
      </c>
      <c r="E91" s="18">
        <v>0</v>
      </c>
      <c r="F91" t="b">
        <v>0</v>
      </c>
      <c r="G91" s="17"/>
      <c r="H91" s="17"/>
      <c r="I91" s="17"/>
      <c r="K91" s="17"/>
    </row>
    <row r="92" spans="1:14" x14ac:dyDescent="0.25">
      <c r="A92" s="17" t="s">
        <v>129</v>
      </c>
      <c r="B92" t="s">
        <v>78</v>
      </c>
      <c r="C92" t="s">
        <v>240</v>
      </c>
      <c r="D92">
        <v>50.967979582518161</v>
      </c>
      <c r="E92" s="19">
        <v>46184.4687962963</v>
      </c>
      <c r="F92" t="b">
        <v>1</v>
      </c>
      <c r="G92" s="17" t="s">
        <v>241</v>
      </c>
      <c r="H92" s="17" t="s">
        <v>7</v>
      </c>
      <c r="I92" s="17" t="s">
        <v>237</v>
      </c>
      <c r="J92">
        <v>0</v>
      </c>
      <c r="K92" s="17" t="s">
        <v>77</v>
      </c>
      <c r="L92" t="b">
        <v>0</v>
      </c>
      <c r="M92" t="b">
        <v>0</v>
      </c>
      <c r="N92" t="b">
        <v>0</v>
      </c>
    </row>
    <row r="93" spans="1:14" x14ac:dyDescent="0.25">
      <c r="A93" s="17" t="s">
        <v>129</v>
      </c>
      <c r="B93" t="s">
        <v>79</v>
      </c>
      <c r="C93" t="s">
        <v>240</v>
      </c>
      <c r="D93">
        <v>120.21245566186201</v>
      </c>
      <c r="E93" s="19">
        <v>46184.468912037039</v>
      </c>
      <c r="F93" t="b">
        <v>1</v>
      </c>
      <c r="G93" s="17" t="s">
        <v>242</v>
      </c>
      <c r="H93" s="17" t="s">
        <v>7</v>
      </c>
      <c r="I93" s="17" t="s">
        <v>237</v>
      </c>
      <c r="J93">
        <v>0</v>
      </c>
      <c r="K93" s="17" t="s">
        <v>77</v>
      </c>
      <c r="L93" t="b">
        <v>0</v>
      </c>
      <c r="M93" t="b">
        <v>0</v>
      </c>
      <c r="N93" t="b">
        <v>0</v>
      </c>
    </row>
    <row r="94" spans="1:14" x14ac:dyDescent="0.25">
      <c r="A94" s="17" t="s">
        <v>129</v>
      </c>
      <c r="B94" t="s">
        <v>80</v>
      </c>
      <c r="C94" t="s">
        <v>240</v>
      </c>
      <c r="D94">
        <v>58.553707089085371</v>
      </c>
      <c r="E94" s="19">
        <v>46184.469004629631</v>
      </c>
      <c r="F94" t="b">
        <v>1</v>
      </c>
      <c r="G94" s="17" t="s">
        <v>243</v>
      </c>
      <c r="H94" s="17" t="s">
        <v>7</v>
      </c>
      <c r="I94" s="17" t="s">
        <v>237</v>
      </c>
      <c r="J94">
        <v>0</v>
      </c>
      <c r="K94" s="17" t="s">
        <v>77</v>
      </c>
      <c r="L94" t="b">
        <v>0</v>
      </c>
      <c r="M94" t="b">
        <v>0</v>
      </c>
      <c r="N94" t="b">
        <v>0</v>
      </c>
    </row>
    <row r="95" spans="1:14" x14ac:dyDescent="0.25">
      <c r="A95" s="17" t="s">
        <v>129</v>
      </c>
      <c r="B95" t="s">
        <v>81</v>
      </c>
      <c r="C95" t="s">
        <v>240</v>
      </c>
      <c r="D95">
        <v>65.579758001123139</v>
      </c>
      <c r="E95" s="19">
        <v>46184.469108796293</v>
      </c>
      <c r="F95" t="b">
        <v>1</v>
      </c>
      <c r="G95" s="17" t="s">
        <v>244</v>
      </c>
      <c r="H95" s="17" t="s">
        <v>7</v>
      </c>
      <c r="I95" s="17" t="s">
        <v>237</v>
      </c>
      <c r="J95">
        <v>0</v>
      </c>
      <c r="K95" s="17" t="s">
        <v>77</v>
      </c>
      <c r="L95" t="b">
        <v>0</v>
      </c>
      <c r="M95" t="b">
        <v>0</v>
      </c>
      <c r="N95" t="b">
        <v>0</v>
      </c>
    </row>
    <row r="96" spans="1:14" x14ac:dyDescent="0.25">
      <c r="A96" s="17" t="s">
        <v>129</v>
      </c>
      <c r="B96" t="s">
        <v>82</v>
      </c>
      <c r="C96" t="s">
        <v>240</v>
      </c>
      <c r="D96">
        <v>77.833862631324365</v>
      </c>
      <c r="E96" s="19">
        <v>46184.469201388885</v>
      </c>
      <c r="F96" t="b">
        <v>1</v>
      </c>
      <c r="G96" s="17" t="s">
        <v>245</v>
      </c>
      <c r="H96" s="17" t="s">
        <v>7</v>
      </c>
      <c r="I96" s="17" t="s">
        <v>237</v>
      </c>
      <c r="J96">
        <v>0</v>
      </c>
      <c r="K96" s="17" t="s">
        <v>77</v>
      </c>
      <c r="L96" t="b">
        <v>0</v>
      </c>
      <c r="M96" t="b">
        <v>0</v>
      </c>
      <c r="N96" t="b">
        <v>0</v>
      </c>
    </row>
    <row r="97" spans="1:14" x14ac:dyDescent="0.25">
      <c r="A97" s="17" t="s">
        <v>129</v>
      </c>
      <c r="B97" t="s">
        <v>83</v>
      </c>
      <c r="C97" t="s">
        <v>240</v>
      </c>
      <c r="D97">
        <v>30.054561207357068</v>
      </c>
      <c r="E97" s="19">
        <v>46184.469305555554</v>
      </c>
      <c r="F97" t="b">
        <v>1</v>
      </c>
      <c r="G97" s="17" t="s">
        <v>246</v>
      </c>
      <c r="H97" s="17" t="s">
        <v>7</v>
      </c>
      <c r="I97" s="17" t="s">
        <v>237</v>
      </c>
      <c r="J97">
        <v>0</v>
      </c>
      <c r="K97" s="17" t="s">
        <v>77</v>
      </c>
      <c r="L97" t="b">
        <v>0</v>
      </c>
      <c r="M97" t="b">
        <v>0</v>
      </c>
      <c r="N97" t="b">
        <v>0</v>
      </c>
    </row>
    <row r="98" spans="1:14" x14ac:dyDescent="0.25">
      <c r="A98" s="17" t="s">
        <v>129</v>
      </c>
      <c r="B98" t="s">
        <v>76</v>
      </c>
      <c r="C98" t="s">
        <v>240</v>
      </c>
      <c r="D98">
        <v>68.336249781639438</v>
      </c>
      <c r="E98" s="19">
        <v>46184.469409722224</v>
      </c>
      <c r="F98" t="b">
        <v>1</v>
      </c>
      <c r="G98" s="17" t="s">
        <v>247</v>
      </c>
      <c r="H98" s="17" t="s">
        <v>7</v>
      </c>
      <c r="I98" s="17" t="s">
        <v>237</v>
      </c>
      <c r="J98">
        <v>0</v>
      </c>
      <c r="K98" s="17" t="s">
        <v>77</v>
      </c>
      <c r="L98" t="b">
        <v>0</v>
      </c>
      <c r="M98" t="b">
        <v>0</v>
      </c>
      <c r="N98" t="b">
        <v>0</v>
      </c>
    </row>
    <row r="99" spans="1:14" x14ac:dyDescent="0.25">
      <c r="A99" s="17" t="s">
        <v>129</v>
      </c>
      <c r="B99" t="s">
        <v>84</v>
      </c>
      <c r="C99" t="s">
        <v>196</v>
      </c>
      <c r="D99">
        <v>43.611058577426</v>
      </c>
      <c r="E99" s="19">
        <v>46184.469826388886</v>
      </c>
      <c r="F99" t="b">
        <v>1</v>
      </c>
      <c r="G99" s="17" t="s">
        <v>239</v>
      </c>
      <c r="H99" s="17" t="s">
        <v>7</v>
      </c>
      <c r="I99" s="17" t="s">
        <v>186</v>
      </c>
      <c r="J99">
        <v>0</v>
      </c>
      <c r="K99" s="17" t="s">
        <v>77</v>
      </c>
      <c r="L99" t="b">
        <v>0</v>
      </c>
      <c r="M99" t="b">
        <v>0</v>
      </c>
      <c r="N99" t="b">
        <v>0</v>
      </c>
    </row>
    <row r="100" spans="1:14" x14ac:dyDescent="0.25">
      <c r="A100" s="17" t="s">
        <v>129</v>
      </c>
      <c r="B100" t="s">
        <v>95</v>
      </c>
      <c r="C100" t="s">
        <v>182</v>
      </c>
      <c r="D100">
        <v>-0.67179061870602896</v>
      </c>
      <c r="E100" s="19">
        <v>46184.492928240739</v>
      </c>
      <c r="F100" t="b">
        <v>1</v>
      </c>
      <c r="G100" s="17" t="s">
        <v>356</v>
      </c>
      <c r="H100" s="17" t="s">
        <v>7</v>
      </c>
      <c r="I100" s="17" t="s">
        <v>175</v>
      </c>
      <c r="J100">
        <v>0</v>
      </c>
      <c r="K100" s="17" t="s">
        <v>77</v>
      </c>
      <c r="L100" t="b">
        <v>0</v>
      </c>
      <c r="M100" t="b">
        <v>0</v>
      </c>
      <c r="N100" t="b">
        <v>0</v>
      </c>
    </row>
    <row r="101" spans="1:14" x14ac:dyDescent="0.25">
      <c r="A101" s="17" t="s">
        <v>129</v>
      </c>
      <c r="B101" t="s">
        <v>365</v>
      </c>
      <c r="C101" t="s">
        <v>182</v>
      </c>
      <c r="D101">
        <v>330</v>
      </c>
      <c r="E101" s="19">
        <v>46185.44027777778</v>
      </c>
      <c r="F101" t="b">
        <v>1</v>
      </c>
      <c r="G101" s="17" t="s">
        <v>43</v>
      </c>
      <c r="H101" s="17" t="s">
        <v>7</v>
      </c>
      <c r="I101" s="17" t="s">
        <v>175</v>
      </c>
      <c r="J101">
        <v>0</v>
      </c>
      <c r="K101" s="17" t="s">
        <v>77</v>
      </c>
      <c r="L101" t="b">
        <v>0</v>
      </c>
      <c r="M101" t="b">
        <v>0</v>
      </c>
      <c r="N101" t="b">
        <v>0</v>
      </c>
    </row>
    <row r="102" spans="1:14" x14ac:dyDescent="0.25">
      <c r="A102" s="17" t="s">
        <v>135</v>
      </c>
      <c r="B102" t="s">
        <v>85</v>
      </c>
      <c r="C102" t="s">
        <v>182</v>
      </c>
      <c r="D102">
        <v>68.291645799023001</v>
      </c>
      <c r="E102" s="18">
        <v>0</v>
      </c>
      <c r="F102" t="b">
        <v>1</v>
      </c>
      <c r="G102" s="17" t="s">
        <v>136</v>
      </c>
      <c r="H102" s="17" t="s">
        <v>7</v>
      </c>
      <c r="I102" s="17" t="s">
        <v>175</v>
      </c>
      <c r="J102">
        <v>0</v>
      </c>
      <c r="K102" s="17" t="s">
        <v>77</v>
      </c>
      <c r="L102" t="b">
        <v>0</v>
      </c>
      <c r="M102" t="b">
        <v>0</v>
      </c>
      <c r="N102" t="b">
        <v>0</v>
      </c>
    </row>
    <row r="103" spans="1:14" x14ac:dyDescent="0.25">
      <c r="A103" s="17" t="s">
        <v>135</v>
      </c>
      <c r="B103" t="s">
        <v>87</v>
      </c>
      <c r="C103" t="s">
        <v>182</v>
      </c>
      <c r="D103">
        <v>0.86450741438940804</v>
      </c>
      <c r="E103" s="18">
        <v>0</v>
      </c>
      <c r="F103" t="b">
        <v>1</v>
      </c>
      <c r="G103" s="17" t="s">
        <v>137</v>
      </c>
      <c r="H103" s="17" t="s">
        <v>7</v>
      </c>
      <c r="I103" s="17" t="s">
        <v>175</v>
      </c>
      <c r="J103">
        <v>0</v>
      </c>
      <c r="K103" s="17" t="s">
        <v>77</v>
      </c>
      <c r="L103" t="b">
        <v>0</v>
      </c>
      <c r="M103" t="b">
        <v>0</v>
      </c>
      <c r="N103" t="b">
        <v>0</v>
      </c>
    </row>
    <row r="104" spans="1:14" x14ac:dyDescent="0.25">
      <c r="A104" s="17" t="s">
        <v>135</v>
      </c>
      <c r="B104" t="s">
        <v>89</v>
      </c>
      <c r="C104" t="s">
        <v>182</v>
      </c>
      <c r="D104">
        <v>80.896181538461505</v>
      </c>
      <c r="E104" s="18">
        <v>0</v>
      </c>
      <c r="F104" t="b">
        <v>1</v>
      </c>
      <c r="G104" s="17" t="s">
        <v>138</v>
      </c>
      <c r="H104" s="17" t="s">
        <v>7</v>
      </c>
      <c r="I104" s="17" t="s">
        <v>175</v>
      </c>
      <c r="J104">
        <v>0</v>
      </c>
      <c r="K104" s="17" t="s">
        <v>77</v>
      </c>
      <c r="L104" t="b">
        <v>0</v>
      </c>
      <c r="M104" t="b">
        <v>0</v>
      </c>
      <c r="N104" t="b">
        <v>0</v>
      </c>
    </row>
    <row r="105" spans="1:14" x14ac:dyDescent="0.25">
      <c r="A105" s="17" t="s">
        <v>135</v>
      </c>
      <c r="B105" t="s">
        <v>91</v>
      </c>
      <c r="C105" t="s">
        <v>182</v>
      </c>
      <c r="D105">
        <v>0.3</v>
      </c>
      <c r="E105" s="18">
        <v>0</v>
      </c>
      <c r="F105" t="b">
        <v>1</v>
      </c>
      <c r="G105" s="17" t="s">
        <v>139</v>
      </c>
      <c r="H105" s="17" t="s">
        <v>7</v>
      </c>
      <c r="I105" s="17" t="s">
        <v>175</v>
      </c>
      <c r="J105">
        <v>0</v>
      </c>
      <c r="K105" s="17" t="s">
        <v>77</v>
      </c>
      <c r="L105" t="b">
        <v>0</v>
      </c>
      <c r="M105" t="b">
        <v>0</v>
      </c>
      <c r="N105" t="b">
        <v>0</v>
      </c>
    </row>
    <row r="106" spans="1:14" x14ac:dyDescent="0.25">
      <c r="A106" s="17" t="s">
        <v>135</v>
      </c>
      <c r="B106" t="s">
        <v>93</v>
      </c>
      <c r="D106" t="e">
        <v>#N/A</v>
      </c>
      <c r="E106" s="18">
        <v>0</v>
      </c>
      <c r="F106" t="b">
        <v>1</v>
      </c>
      <c r="G106" s="17" t="s">
        <v>140</v>
      </c>
      <c r="H106" s="17" t="s">
        <v>7</v>
      </c>
      <c r="I106" s="17" t="s">
        <v>175</v>
      </c>
      <c r="J106">
        <v>0</v>
      </c>
      <c r="K106" s="17" t="s">
        <v>77</v>
      </c>
      <c r="L106" t="b">
        <v>0</v>
      </c>
      <c r="M106" t="b">
        <v>0</v>
      </c>
      <c r="N106" t="b">
        <v>0</v>
      </c>
    </row>
    <row r="107" spans="1:14" x14ac:dyDescent="0.25">
      <c r="A107" s="17" t="s">
        <v>135</v>
      </c>
      <c r="B107" t="s">
        <v>96</v>
      </c>
      <c r="C107" t="s">
        <v>182</v>
      </c>
      <c r="D107">
        <v>85</v>
      </c>
      <c r="E107" s="18">
        <v>0</v>
      </c>
      <c r="F107" t="b">
        <v>1</v>
      </c>
      <c r="G107" s="17" t="s">
        <v>44</v>
      </c>
      <c r="H107" s="17" t="s">
        <v>7</v>
      </c>
      <c r="I107" s="17" t="s">
        <v>175</v>
      </c>
      <c r="J107">
        <v>0</v>
      </c>
      <c r="K107" s="17" t="s">
        <v>77</v>
      </c>
      <c r="L107" t="b">
        <v>0</v>
      </c>
      <c r="M107" t="b">
        <v>0</v>
      </c>
      <c r="N107" t="b">
        <v>0</v>
      </c>
    </row>
    <row r="108" spans="1:14" x14ac:dyDescent="0.25">
      <c r="A108" s="17" t="s">
        <v>135</v>
      </c>
      <c r="B108" t="s">
        <v>97</v>
      </c>
      <c r="C108" t="s">
        <v>182</v>
      </c>
      <c r="D108">
        <v>359</v>
      </c>
      <c r="E108" s="18">
        <v>0</v>
      </c>
      <c r="F108" t="b">
        <v>1</v>
      </c>
      <c r="G108" s="17" t="s">
        <v>45</v>
      </c>
      <c r="H108" s="17" t="s">
        <v>7</v>
      </c>
      <c r="I108" s="17" t="s">
        <v>175</v>
      </c>
      <c r="J108">
        <v>0</v>
      </c>
      <c r="K108" s="17" t="s">
        <v>77</v>
      </c>
      <c r="L108" t="b">
        <v>0</v>
      </c>
      <c r="M108" t="b">
        <v>0</v>
      </c>
      <c r="N108" t="b">
        <v>0</v>
      </c>
    </row>
    <row r="109" spans="1:14" x14ac:dyDescent="0.25">
      <c r="A109" s="17" t="s">
        <v>135</v>
      </c>
      <c r="B109" t="s">
        <v>98</v>
      </c>
      <c r="C109" t="s">
        <v>182</v>
      </c>
      <c r="D109">
        <v>156</v>
      </c>
      <c r="E109" s="18">
        <v>0</v>
      </c>
      <c r="F109" t="b">
        <v>1</v>
      </c>
      <c r="G109" s="17" t="s">
        <v>46</v>
      </c>
      <c r="H109" s="17" t="s">
        <v>7</v>
      </c>
      <c r="I109" s="17" t="s">
        <v>175</v>
      </c>
      <c r="J109">
        <v>0</v>
      </c>
      <c r="K109" s="17" t="s">
        <v>77</v>
      </c>
      <c r="L109" t="b">
        <v>0</v>
      </c>
      <c r="M109" t="b">
        <v>0</v>
      </c>
      <c r="N109" t="b">
        <v>0</v>
      </c>
    </row>
    <row r="110" spans="1:14" x14ac:dyDescent="0.25">
      <c r="A110" s="17" t="s">
        <v>135</v>
      </c>
      <c r="B110" t="s">
        <v>99</v>
      </c>
      <c r="C110" t="s">
        <v>182</v>
      </c>
      <c r="D110">
        <v>35</v>
      </c>
      <c r="E110" s="18">
        <v>0</v>
      </c>
      <c r="F110" t="b">
        <v>1</v>
      </c>
      <c r="G110" s="17" t="s">
        <v>47</v>
      </c>
      <c r="H110" s="17" t="s">
        <v>7</v>
      </c>
      <c r="I110" s="17" t="s">
        <v>175</v>
      </c>
      <c r="J110">
        <v>0</v>
      </c>
      <c r="K110" s="17" t="s">
        <v>77</v>
      </c>
      <c r="L110" t="b">
        <v>0</v>
      </c>
      <c r="M110" t="b">
        <v>0</v>
      </c>
      <c r="N110" t="b">
        <v>0</v>
      </c>
    </row>
    <row r="111" spans="1:14" x14ac:dyDescent="0.25">
      <c r="A111" s="17" t="s">
        <v>135</v>
      </c>
      <c r="B111" t="s">
        <v>350</v>
      </c>
      <c r="D111" t="s">
        <v>351</v>
      </c>
      <c r="E111" s="18">
        <v>0</v>
      </c>
      <c r="F111" t="b">
        <v>0</v>
      </c>
      <c r="G111" s="17"/>
      <c r="H111" s="17"/>
      <c r="I111" s="17"/>
      <c r="K111" s="17"/>
    </row>
    <row r="112" spans="1:14" x14ac:dyDescent="0.25">
      <c r="A112" s="17" t="s">
        <v>135</v>
      </c>
      <c r="B112" t="s">
        <v>78</v>
      </c>
      <c r="C112" t="s">
        <v>251</v>
      </c>
      <c r="D112">
        <v>50.967979582518161</v>
      </c>
      <c r="E112" s="19">
        <v>46184.470729166664</v>
      </c>
      <c r="F112" t="b">
        <v>1</v>
      </c>
      <c r="G112" s="17" t="s">
        <v>252</v>
      </c>
      <c r="H112" s="17" t="s">
        <v>7</v>
      </c>
      <c r="I112" s="17" t="s">
        <v>249</v>
      </c>
      <c r="J112">
        <v>0</v>
      </c>
      <c r="K112" s="17" t="s">
        <v>77</v>
      </c>
      <c r="L112" t="b">
        <v>0</v>
      </c>
      <c r="M112" t="b">
        <v>0</v>
      </c>
      <c r="N112" t="b">
        <v>0</v>
      </c>
    </row>
    <row r="113" spans="1:14" x14ac:dyDescent="0.25">
      <c r="A113" s="17" t="s">
        <v>135</v>
      </c>
      <c r="B113" t="s">
        <v>79</v>
      </c>
      <c r="C113" t="s">
        <v>251</v>
      </c>
      <c r="D113">
        <v>120.21245566186201</v>
      </c>
      <c r="E113" s="19">
        <v>46184.470833333333</v>
      </c>
      <c r="F113" t="b">
        <v>1</v>
      </c>
      <c r="G113" s="17" t="s">
        <v>253</v>
      </c>
      <c r="H113" s="17" t="s">
        <v>7</v>
      </c>
      <c r="I113" s="17" t="s">
        <v>249</v>
      </c>
      <c r="J113">
        <v>0</v>
      </c>
      <c r="K113" s="17" t="s">
        <v>77</v>
      </c>
      <c r="L113" t="b">
        <v>0</v>
      </c>
      <c r="M113" t="b">
        <v>0</v>
      </c>
      <c r="N113" t="b">
        <v>0</v>
      </c>
    </row>
    <row r="114" spans="1:14" x14ac:dyDescent="0.25">
      <c r="A114" s="17" t="s">
        <v>135</v>
      </c>
      <c r="B114" t="s">
        <v>80</v>
      </c>
      <c r="C114" t="s">
        <v>251</v>
      </c>
      <c r="D114">
        <v>58.553707089085371</v>
      </c>
      <c r="E114" s="19">
        <v>46184.470925925925</v>
      </c>
      <c r="F114" t="b">
        <v>1</v>
      </c>
      <c r="G114" s="17" t="s">
        <v>254</v>
      </c>
      <c r="H114" s="17" t="s">
        <v>7</v>
      </c>
      <c r="I114" s="17" t="s">
        <v>249</v>
      </c>
      <c r="J114">
        <v>0</v>
      </c>
      <c r="K114" s="17" t="s">
        <v>77</v>
      </c>
      <c r="L114" t="b">
        <v>0</v>
      </c>
      <c r="M114" t="b">
        <v>0</v>
      </c>
      <c r="N114" t="b">
        <v>0</v>
      </c>
    </row>
    <row r="115" spans="1:14" x14ac:dyDescent="0.25">
      <c r="A115" s="17" t="s">
        <v>135</v>
      </c>
      <c r="B115" t="s">
        <v>81</v>
      </c>
      <c r="C115" t="s">
        <v>251</v>
      </c>
      <c r="D115">
        <v>65.579758001123139</v>
      </c>
      <c r="E115" s="19">
        <v>46184.471030092594</v>
      </c>
      <c r="F115" t="b">
        <v>1</v>
      </c>
      <c r="G115" s="17" t="s">
        <v>255</v>
      </c>
      <c r="H115" s="17" t="s">
        <v>7</v>
      </c>
      <c r="I115" s="17" t="s">
        <v>249</v>
      </c>
      <c r="J115">
        <v>0</v>
      </c>
      <c r="K115" s="17" t="s">
        <v>77</v>
      </c>
      <c r="L115" t="b">
        <v>0</v>
      </c>
      <c r="M115" t="b">
        <v>0</v>
      </c>
      <c r="N115" t="b">
        <v>0</v>
      </c>
    </row>
    <row r="116" spans="1:14" x14ac:dyDescent="0.25">
      <c r="A116" s="17" t="s">
        <v>135</v>
      </c>
      <c r="B116" t="s">
        <v>82</v>
      </c>
      <c r="C116" t="s">
        <v>251</v>
      </c>
      <c r="D116">
        <v>77.833862631324365</v>
      </c>
      <c r="E116" s="19">
        <v>46184.471134259256</v>
      </c>
      <c r="F116" t="b">
        <v>1</v>
      </c>
      <c r="G116" s="17" t="s">
        <v>256</v>
      </c>
      <c r="H116" s="17" t="s">
        <v>7</v>
      </c>
      <c r="I116" s="17" t="s">
        <v>249</v>
      </c>
      <c r="J116">
        <v>0</v>
      </c>
      <c r="K116" s="17" t="s">
        <v>77</v>
      </c>
      <c r="L116" t="b">
        <v>0</v>
      </c>
      <c r="M116" t="b">
        <v>0</v>
      </c>
      <c r="N116" t="b">
        <v>0</v>
      </c>
    </row>
    <row r="117" spans="1:14" x14ac:dyDescent="0.25">
      <c r="A117" s="17" t="s">
        <v>135</v>
      </c>
      <c r="B117" t="s">
        <v>83</v>
      </c>
      <c r="C117" t="s">
        <v>251</v>
      </c>
      <c r="D117">
        <v>30.054561207357068</v>
      </c>
      <c r="E117" s="19">
        <v>46184.471226851849</v>
      </c>
      <c r="F117" t="b">
        <v>1</v>
      </c>
      <c r="G117" s="17" t="s">
        <v>257</v>
      </c>
      <c r="H117" s="17" t="s">
        <v>7</v>
      </c>
      <c r="I117" s="17" t="s">
        <v>249</v>
      </c>
      <c r="J117">
        <v>0</v>
      </c>
      <c r="K117" s="17" t="s">
        <v>77</v>
      </c>
      <c r="L117" t="b">
        <v>0</v>
      </c>
      <c r="M117" t="b">
        <v>0</v>
      </c>
      <c r="N117" t="b">
        <v>0</v>
      </c>
    </row>
    <row r="118" spans="1:14" x14ac:dyDescent="0.25">
      <c r="A118" s="17" t="s">
        <v>135</v>
      </c>
      <c r="B118" t="s">
        <v>76</v>
      </c>
      <c r="C118" t="s">
        <v>251</v>
      </c>
      <c r="D118">
        <v>68.336249781639438</v>
      </c>
      <c r="E118" s="19">
        <v>46184.471319444441</v>
      </c>
      <c r="F118" t="b">
        <v>1</v>
      </c>
      <c r="G118" s="17" t="s">
        <v>258</v>
      </c>
      <c r="H118" s="17" t="s">
        <v>7</v>
      </c>
      <c r="I118" s="17" t="s">
        <v>249</v>
      </c>
      <c r="J118">
        <v>0</v>
      </c>
      <c r="K118" s="17" t="s">
        <v>77</v>
      </c>
      <c r="L118" t="b">
        <v>0</v>
      </c>
      <c r="M118" t="b">
        <v>0</v>
      </c>
      <c r="N118" t="b">
        <v>0</v>
      </c>
    </row>
    <row r="119" spans="1:14" x14ac:dyDescent="0.25">
      <c r="A119" s="17" t="s">
        <v>135</v>
      </c>
      <c r="B119" t="s">
        <v>84</v>
      </c>
      <c r="C119" t="s">
        <v>196</v>
      </c>
      <c r="D119">
        <v>43.611058577426</v>
      </c>
      <c r="E119" s="19">
        <v>46184.477083333331</v>
      </c>
      <c r="F119" t="b">
        <v>1</v>
      </c>
      <c r="G119" s="17" t="s">
        <v>259</v>
      </c>
      <c r="H119" s="17" t="s">
        <v>7</v>
      </c>
      <c r="I119" s="17" t="s">
        <v>186</v>
      </c>
      <c r="J119">
        <v>0</v>
      </c>
      <c r="K119" s="17" t="s">
        <v>77</v>
      </c>
      <c r="L119" t="b">
        <v>0</v>
      </c>
      <c r="M119" t="b">
        <v>0</v>
      </c>
      <c r="N119" t="b">
        <v>0</v>
      </c>
    </row>
    <row r="120" spans="1:14" x14ac:dyDescent="0.25">
      <c r="A120" s="17" t="s">
        <v>135</v>
      </c>
      <c r="B120" t="s">
        <v>95</v>
      </c>
      <c r="C120" t="s">
        <v>196</v>
      </c>
      <c r="D120">
        <v>-0.67179061870602896</v>
      </c>
      <c r="E120" s="19">
        <v>46184.492847222224</v>
      </c>
      <c r="F120" t="b">
        <v>1</v>
      </c>
      <c r="G120" s="17" t="s">
        <v>357</v>
      </c>
      <c r="H120" s="17" t="s">
        <v>7</v>
      </c>
      <c r="I120" s="17" t="s">
        <v>186</v>
      </c>
      <c r="J120">
        <v>0</v>
      </c>
      <c r="K120" s="17" t="s">
        <v>77</v>
      </c>
      <c r="L120" t="b">
        <v>0</v>
      </c>
      <c r="M120" t="b">
        <v>0</v>
      </c>
      <c r="N120" t="b">
        <v>0</v>
      </c>
    </row>
    <row r="121" spans="1:14" x14ac:dyDescent="0.25">
      <c r="A121" s="17" t="s">
        <v>135</v>
      </c>
      <c r="B121" t="s">
        <v>365</v>
      </c>
      <c r="C121" t="s">
        <v>196</v>
      </c>
      <c r="D121">
        <v>330</v>
      </c>
      <c r="E121" s="19">
        <v>46185.440381944441</v>
      </c>
      <c r="F121" t="b">
        <v>1</v>
      </c>
      <c r="G121" s="17" t="s">
        <v>43</v>
      </c>
      <c r="H121" s="17" t="s">
        <v>7</v>
      </c>
      <c r="I121" s="17" t="s">
        <v>186</v>
      </c>
      <c r="J121">
        <v>0</v>
      </c>
      <c r="K121" s="17" t="s">
        <v>77</v>
      </c>
      <c r="L121" t="b">
        <v>0</v>
      </c>
      <c r="M121" t="b">
        <v>0</v>
      </c>
      <c r="N121" t="b">
        <v>0</v>
      </c>
    </row>
    <row r="122" spans="1:14" x14ac:dyDescent="0.25">
      <c r="A122" s="17" t="s">
        <v>141</v>
      </c>
      <c r="B122" t="s">
        <v>85</v>
      </c>
      <c r="C122" t="s">
        <v>182</v>
      </c>
      <c r="D122">
        <v>68.291673103335697</v>
      </c>
      <c r="E122" s="19">
        <v>46181.43440972222</v>
      </c>
      <c r="F122" t="b">
        <v>1</v>
      </c>
      <c r="G122" s="17" t="s">
        <v>142</v>
      </c>
      <c r="H122" s="17" t="s">
        <v>7</v>
      </c>
      <c r="I122" s="17" t="s">
        <v>175</v>
      </c>
      <c r="J122">
        <v>0</v>
      </c>
      <c r="K122" s="17" t="s">
        <v>77</v>
      </c>
      <c r="L122" t="b">
        <v>0</v>
      </c>
      <c r="M122" t="b">
        <v>0</v>
      </c>
      <c r="N122" t="b">
        <v>0</v>
      </c>
    </row>
    <row r="123" spans="1:14" x14ac:dyDescent="0.25">
      <c r="A123" s="17" t="s">
        <v>141</v>
      </c>
      <c r="B123" t="s">
        <v>87</v>
      </c>
      <c r="C123" t="s">
        <v>182</v>
      </c>
      <c r="D123">
        <v>0.71982449635397405</v>
      </c>
      <c r="E123" s="19">
        <v>46181.43440972222</v>
      </c>
      <c r="F123" t="b">
        <v>1</v>
      </c>
      <c r="G123" s="17" t="s">
        <v>143</v>
      </c>
      <c r="H123" s="17" t="s">
        <v>7</v>
      </c>
      <c r="I123" s="17" t="s">
        <v>175</v>
      </c>
      <c r="J123">
        <v>0</v>
      </c>
      <c r="K123" s="17" t="s">
        <v>77</v>
      </c>
      <c r="L123" t="b">
        <v>0</v>
      </c>
      <c r="M123" t="b">
        <v>0</v>
      </c>
      <c r="N123" t="b">
        <v>0</v>
      </c>
    </row>
    <row r="124" spans="1:14" x14ac:dyDescent="0.25">
      <c r="A124" s="17" t="s">
        <v>141</v>
      </c>
      <c r="B124" t="s">
        <v>89</v>
      </c>
      <c r="C124" t="s">
        <v>182</v>
      </c>
      <c r="D124">
        <v>80.896181538461505</v>
      </c>
      <c r="E124" s="19">
        <v>46181.434421296297</v>
      </c>
      <c r="F124" t="b">
        <v>1</v>
      </c>
      <c r="G124" s="17" t="s">
        <v>144</v>
      </c>
      <c r="H124" s="17" t="s">
        <v>7</v>
      </c>
      <c r="I124" s="17" t="s">
        <v>175</v>
      </c>
      <c r="J124">
        <v>0</v>
      </c>
      <c r="K124" s="17" t="s">
        <v>77</v>
      </c>
      <c r="L124" t="b">
        <v>0</v>
      </c>
      <c r="M124" t="b">
        <v>0</v>
      </c>
      <c r="N124" t="b">
        <v>0</v>
      </c>
    </row>
    <row r="125" spans="1:14" x14ac:dyDescent="0.25">
      <c r="A125" s="17" t="s">
        <v>141</v>
      </c>
      <c r="B125" t="s">
        <v>91</v>
      </c>
      <c r="C125" t="s">
        <v>182</v>
      </c>
      <c r="D125">
        <v>0.3</v>
      </c>
      <c r="E125" s="19">
        <v>46181.434421296297</v>
      </c>
      <c r="F125" t="b">
        <v>1</v>
      </c>
      <c r="G125" s="17" t="s">
        <v>145</v>
      </c>
      <c r="H125" s="17" t="s">
        <v>7</v>
      </c>
      <c r="I125" s="17" t="s">
        <v>175</v>
      </c>
      <c r="J125">
        <v>0</v>
      </c>
      <c r="K125" s="17" t="s">
        <v>77</v>
      </c>
      <c r="L125" t="b">
        <v>0</v>
      </c>
      <c r="M125" t="b">
        <v>0</v>
      </c>
      <c r="N125" t="b">
        <v>0</v>
      </c>
    </row>
    <row r="126" spans="1:14" x14ac:dyDescent="0.25">
      <c r="A126" s="17" t="s">
        <v>141</v>
      </c>
      <c r="B126" t="s">
        <v>93</v>
      </c>
      <c r="D126" t="e">
        <v>#N/A</v>
      </c>
      <c r="E126" s="18">
        <v>0</v>
      </c>
      <c r="F126" t="b">
        <v>1</v>
      </c>
      <c r="G126" s="17" t="s">
        <v>146</v>
      </c>
      <c r="H126" s="17" t="s">
        <v>7</v>
      </c>
      <c r="I126" s="17" t="s">
        <v>175</v>
      </c>
      <c r="J126">
        <v>0</v>
      </c>
      <c r="K126" s="17" t="s">
        <v>77</v>
      </c>
      <c r="L126" t="b">
        <v>0</v>
      </c>
      <c r="M126" t="b">
        <v>0</v>
      </c>
      <c r="N126" t="b">
        <v>0</v>
      </c>
    </row>
    <row r="127" spans="1:14" x14ac:dyDescent="0.25">
      <c r="A127" s="17" t="s">
        <v>141</v>
      </c>
      <c r="B127" t="s">
        <v>96</v>
      </c>
      <c r="C127" t="s">
        <v>182</v>
      </c>
      <c r="D127">
        <v>85</v>
      </c>
      <c r="E127" s="18">
        <v>0</v>
      </c>
      <c r="F127" t="b">
        <v>1</v>
      </c>
      <c r="G127" s="17" t="s">
        <v>44</v>
      </c>
      <c r="H127" s="17" t="s">
        <v>7</v>
      </c>
      <c r="I127" s="17" t="s">
        <v>175</v>
      </c>
      <c r="J127">
        <v>0</v>
      </c>
      <c r="K127" s="17" t="s">
        <v>77</v>
      </c>
      <c r="L127" t="b">
        <v>0</v>
      </c>
      <c r="M127" t="b">
        <v>0</v>
      </c>
      <c r="N127" t="b">
        <v>0</v>
      </c>
    </row>
    <row r="128" spans="1:14" x14ac:dyDescent="0.25">
      <c r="A128" s="17" t="s">
        <v>141</v>
      </c>
      <c r="B128" t="s">
        <v>97</v>
      </c>
      <c r="C128" t="s">
        <v>182</v>
      </c>
      <c r="D128">
        <v>359</v>
      </c>
      <c r="E128" s="18">
        <v>0</v>
      </c>
      <c r="F128" t="b">
        <v>1</v>
      </c>
      <c r="G128" s="17" t="s">
        <v>45</v>
      </c>
      <c r="H128" s="17" t="s">
        <v>7</v>
      </c>
      <c r="I128" s="17" t="s">
        <v>175</v>
      </c>
      <c r="J128">
        <v>0</v>
      </c>
      <c r="K128" s="17" t="s">
        <v>77</v>
      </c>
      <c r="L128" t="b">
        <v>0</v>
      </c>
      <c r="M128" t="b">
        <v>0</v>
      </c>
      <c r="N128" t="b">
        <v>0</v>
      </c>
    </row>
    <row r="129" spans="1:14" x14ac:dyDescent="0.25">
      <c r="A129" s="17" t="s">
        <v>141</v>
      </c>
      <c r="B129" t="s">
        <v>98</v>
      </c>
      <c r="C129" t="s">
        <v>182</v>
      </c>
      <c r="D129">
        <v>156</v>
      </c>
      <c r="E129" s="18">
        <v>0</v>
      </c>
      <c r="F129" t="b">
        <v>1</v>
      </c>
      <c r="G129" s="17" t="s">
        <v>46</v>
      </c>
      <c r="H129" s="17" t="s">
        <v>7</v>
      </c>
      <c r="I129" s="17" t="s">
        <v>175</v>
      </c>
      <c r="J129">
        <v>0</v>
      </c>
      <c r="K129" s="17" t="s">
        <v>77</v>
      </c>
      <c r="L129" t="b">
        <v>0</v>
      </c>
      <c r="M129" t="b">
        <v>0</v>
      </c>
      <c r="N129" t="b">
        <v>0</v>
      </c>
    </row>
    <row r="130" spans="1:14" x14ac:dyDescent="0.25">
      <c r="A130" s="17" t="s">
        <v>141</v>
      </c>
      <c r="B130" t="s">
        <v>99</v>
      </c>
      <c r="C130" t="s">
        <v>182</v>
      </c>
      <c r="D130">
        <v>35</v>
      </c>
      <c r="E130" s="18">
        <v>0</v>
      </c>
      <c r="F130" t="b">
        <v>1</v>
      </c>
      <c r="G130" s="17" t="s">
        <v>47</v>
      </c>
      <c r="H130" s="17" t="s">
        <v>7</v>
      </c>
      <c r="I130" s="17" t="s">
        <v>175</v>
      </c>
      <c r="J130">
        <v>0</v>
      </c>
      <c r="K130" s="17" t="s">
        <v>77</v>
      </c>
      <c r="L130" t="b">
        <v>0</v>
      </c>
      <c r="M130" t="b">
        <v>0</v>
      </c>
      <c r="N130" t="b">
        <v>0</v>
      </c>
    </row>
    <row r="131" spans="1:14" x14ac:dyDescent="0.25">
      <c r="A131" s="17" t="s">
        <v>141</v>
      </c>
      <c r="B131" t="s">
        <v>350</v>
      </c>
      <c r="D131" t="s">
        <v>351</v>
      </c>
      <c r="E131" s="18">
        <v>0</v>
      </c>
      <c r="F131" t="b">
        <v>0</v>
      </c>
      <c r="G131" s="17"/>
      <c r="H131" s="17"/>
      <c r="I131" s="17"/>
      <c r="K131" s="17"/>
    </row>
    <row r="132" spans="1:14" x14ac:dyDescent="0.25">
      <c r="A132" s="17" t="s">
        <v>141</v>
      </c>
      <c r="B132" t="s">
        <v>78</v>
      </c>
      <c r="C132" t="s">
        <v>263</v>
      </c>
      <c r="D132">
        <v>50.967979582518161</v>
      </c>
      <c r="E132" s="19">
        <v>46184.474039351851</v>
      </c>
      <c r="F132" t="b">
        <v>1</v>
      </c>
      <c r="G132" s="17" t="s">
        <v>264</v>
      </c>
      <c r="H132" s="17" t="s">
        <v>7</v>
      </c>
      <c r="I132" s="17" t="s">
        <v>261</v>
      </c>
      <c r="J132">
        <v>0</v>
      </c>
      <c r="K132" s="17" t="s">
        <v>77</v>
      </c>
      <c r="L132" t="b">
        <v>0</v>
      </c>
      <c r="M132" t="b">
        <v>0</v>
      </c>
      <c r="N132" t="b">
        <v>0</v>
      </c>
    </row>
    <row r="133" spans="1:14" x14ac:dyDescent="0.25">
      <c r="A133" s="17" t="s">
        <v>141</v>
      </c>
      <c r="B133" t="s">
        <v>79</v>
      </c>
      <c r="C133" t="s">
        <v>263</v>
      </c>
      <c r="D133">
        <v>120.21245566186201</v>
      </c>
      <c r="E133" s="19">
        <v>46184.474143518521</v>
      </c>
      <c r="F133" t="b">
        <v>1</v>
      </c>
      <c r="G133" s="17" t="s">
        <v>265</v>
      </c>
      <c r="H133" s="17" t="s">
        <v>7</v>
      </c>
      <c r="I133" s="17" t="s">
        <v>261</v>
      </c>
      <c r="J133">
        <v>0</v>
      </c>
      <c r="K133" s="17" t="s">
        <v>77</v>
      </c>
      <c r="L133" t="b">
        <v>0</v>
      </c>
      <c r="M133" t="b">
        <v>0</v>
      </c>
      <c r="N133" t="b">
        <v>0</v>
      </c>
    </row>
    <row r="134" spans="1:14" x14ac:dyDescent="0.25">
      <c r="A134" s="17" t="s">
        <v>141</v>
      </c>
      <c r="B134" t="s">
        <v>80</v>
      </c>
      <c r="C134" t="s">
        <v>263</v>
      </c>
      <c r="D134">
        <v>58.553707089085371</v>
      </c>
      <c r="E134" s="19">
        <v>46184.474236111113</v>
      </c>
      <c r="F134" t="b">
        <v>1</v>
      </c>
      <c r="G134" s="17" t="s">
        <v>266</v>
      </c>
      <c r="H134" s="17" t="s">
        <v>7</v>
      </c>
      <c r="I134" s="17" t="s">
        <v>261</v>
      </c>
      <c r="J134">
        <v>0</v>
      </c>
      <c r="K134" s="17" t="s">
        <v>77</v>
      </c>
      <c r="L134" t="b">
        <v>0</v>
      </c>
      <c r="M134" t="b">
        <v>0</v>
      </c>
      <c r="N134" t="b">
        <v>0</v>
      </c>
    </row>
    <row r="135" spans="1:14" x14ac:dyDescent="0.25">
      <c r="A135" s="17" t="s">
        <v>141</v>
      </c>
      <c r="B135" t="s">
        <v>81</v>
      </c>
      <c r="C135" t="s">
        <v>263</v>
      </c>
      <c r="D135">
        <v>65.579758001123139</v>
      </c>
      <c r="E135" s="19">
        <v>46184.474340277775</v>
      </c>
      <c r="F135" t="b">
        <v>1</v>
      </c>
      <c r="G135" s="17" t="s">
        <v>267</v>
      </c>
      <c r="H135" s="17" t="s">
        <v>7</v>
      </c>
      <c r="I135" s="17" t="s">
        <v>261</v>
      </c>
      <c r="J135">
        <v>0</v>
      </c>
      <c r="K135" s="17" t="s">
        <v>77</v>
      </c>
      <c r="L135" t="b">
        <v>0</v>
      </c>
      <c r="M135" t="b">
        <v>0</v>
      </c>
      <c r="N135" t="b">
        <v>0</v>
      </c>
    </row>
    <row r="136" spans="1:14" x14ac:dyDescent="0.25">
      <c r="A136" s="17" t="s">
        <v>141</v>
      </c>
      <c r="B136" t="s">
        <v>82</v>
      </c>
      <c r="C136" t="s">
        <v>263</v>
      </c>
      <c r="D136">
        <v>77.833862631324294</v>
      </c>
      <c r="E136" s="19">
        <v>46184.474444444444</v>
      </c>
      <c r="F136" t="b">
        <v>1</v>
      </c>
      <c r="G136" s="17" t="s">
        <v>268</v>
      </c>
      <c r="H136" s="17" t="s">
        <v>7</v>
      </c>
      <c r="I136" s="17" t="s">
        <v>261</v>
      </c>
      <c r="J136">
        <v>0</v>
      </c>
      <c r="K136" s="17" t="s">
        <v>77</v>
      </c>
      <c r="L136" t="b">
        <v>0</v>
      </c>
      <c r="M136" t="b">
        <v>0</v>
      </c>
      <c r="N136" t="b">
        <v>0</v>
      </c>
    </row>
    <row r="137" spans="1:14" x14ac:dyDescent="0.25">
      <c r="A137" s="17" t="s">
        <v>141</v>
      </c>
      <c r="B137" t="s">
        <v>83</v>
      </c>
      <c r="C137" t="s">
        <v>263</v>
      </c>
      <c r="D137">
        <v>30.054561207357068</v>
      </c>
      <c r="E137" s="19">
        <v>46184.474537037036</v>
      </c>
      <c r="F137" t="b">
        <v>1</v>
      </c>
      <c r="G137" s="17" t="s">
        <v>269</v>
      </c>
      <c r="H137" s="17" t="s">
        <v>7</v>
      </c>
      <c r="I137" s="17" t="s">
        <v>261</v>
      </c>
      <c r="J137">
        <v>0</v>
      </c>
      <c r="K137" s="17" t="s">
        <v>77</v>
      </c>
      <c r="L137" t="b">
        <v>0</v>
      </c>
      <c r="M137" t="b">
        <v>0</v>
      </c>
      <c r="N137" t="b">
        <v>0</v>
      </c>
    </row>
    <row r="138" spans="1:14" x14ac:dyDescent="0.25">
      <c r="A138" s="17" t="s">
        <v>141</v>
      </c>
      <c r="B138" t="s">
        <v>76</v>
      </c>
      <c r="C138" t="s">
        <v>263</v>
      </c>
      <c r="D138">
        <v>68.336249781639438</v>
      </c>
      <c r="E138" s="19">
        <v>46184.474641203706</v>
      </c>
      <c r="F138" t="b">
        <v>1</v>
      </c>
      <c r="G138" s="17" t="s">
        <v>270</v>
      </c>
      <c r="H138" s="17" t="s">
        <v>7</v>
      </c>
      <c r="I138" s="17" t="s">
        <v>261</v>
      </c>
      <c r="J138">
        <v>0</v>
      </c>
      <c r="K138" s="17" t="s">
        <v>77</v>
      </c>
      <c r="L138" t="b">
        <v>0</v>
      </c>
      <c r="M138" t="b">
        <v>0</v>
      </c>
      <c r="N138" t="b">
        <v>0</v>
      </c>
    </row>
    <row r="139" spans="1:14" x14ac:dyDescent="0.25">
      <c r="A139" s="17" t="s">
        <v>141</v>
      </c>
      <c r="B139" t="s">
        <v>84</v>
      </c>
      <c r="C139" t="s">
        <v>273</v>
      </c>
      <c r="D139">
        <v>43.611058577426</v>
      </c>
      <c r="E139" s="19">
        <v>46184.47552083333</v>
      </c>
      <c r="F139" t="b">
        <v>1</v>
      </c>
      <c r="G139" s="17" t="s">
        <v>274</v>
      </c>
      <c r="H139" s="17" t="s">
        <v>7</v>
      </c>
      <c r="I139" s="17" t="s">
        <v>271</v>
      </c>
      <c r="J139">
        <v>0</v>
      </c>
      <c r="K139" s="17" t="s">
        <v>77</v>
      </c>
      <c r="L139" t="b">
        <v>0</v>
      </c>
      <c r="M139" t="b">
        <v>0</v>
      </c>
      <c r="N139" t="b">
        <v>0</v>
      </c>
    </row>
    <row r="140" spans="1:14" x14ac:dyDescent="0.25">
      <c r="A140" s="17" t="s">
        <v>141</v>
      </c>
      <c r="B140" t="s">
        <v>95</v>
      </c>
      <c r="C140" t="s">
        <v>182</v>
      </c>
      <c r="D140">
        <v>-0.67179061870602896</v>
      </c>
      <c r="E140" s="19">
        <v>46184.492766203701</v>
      </c>
      <c r="F140" t="b">
        <v>1</v>
      </c>
      <c r="G140" s="17" t="s">
        <v>358</v>
      </c>
      <c r="H140" s="17" t="s">
        <v>7</v>
      </c>
      <c r="I140" s="17" t="s">
        <v>175</v>
      </c>
      <c r="J140">
        <v>0</v>
      </c>
      <c r="K140" s="17" t="s">
        <v>77</v>
      </c>
      <c r="L140" t="b">
        <v>0</v>
      </c>
      <c r="M140" t="b">
        <v>0</v>
      </c>
      <c r="N140" t="b">
        <v>0</v>
      </c>
    </row>
    <row r="141" spans="1:14" x14ac:dyDescent="0.25">
      <c r="A141" s="17" t="s">
        <v>141</v>
      </c>
      <c r="B141" t="s">
        <v>365</v>
      </c>
      <c r="C141" t="s">
        <v>182</v>
      </c>
      <c r="D141">
        <v>330</v>
      </c>
      <c r="E141" s="19">
        <v>46185.440578703703</v>
      </c>
      <c r="F141" t="b">
        <v>1</v>
      </c>
      <c r="G141" s="17" t="s">
        <v>43</v>
      </c>
      <c r="H141" s="17" t="s">
        <v>7</v>
      </c>
      <c r="I141" s="17" t="s">
        <v>175</v>
      </c>
      <c r="J141">
        <v>0</v>
      </c>
      <c r="K141" s="17" t="s">
        <v>77</v>
      </c>
      <c r="L141" t="b">
        <v>0</v>
      </c>
      <c r="M141" t="b">
        <v>0</v>
      </c>
      <c r="N141" t="b">
        <v>0</v>
      </c>
    </row>
    <row r="142" spans="1:14" x14ac:dyDescent="0.25">
      <c r="A142" s="17" t="s">
        <v>147</v>
      </c>
      <c r="B142" t="s">
        <v>85</v>
      </c>
      <c r="C142" t="s">
        <v>182</v>
      </c>
      <c r="D142">
        <v>68.291668825013403</v>
      </c>
      <c r="E142" s="19">
        <v>46181.434479166666</v>
      </c>
      <c r="F142" t="b">
        <v>1</v>
      </c>
      <c r="G142" s="17" t="s">
        <v>148</v>
      </c>
      <c r="H142" s="17" t="s">
        <v>7</v>
      </c>
      <c r="I142" s="17" t="s">
        <v>175</v>
      </c>
      <c r="J142">
        <v>0</v>
      </c>
      <c r="K142" s="17" t="s">
        <v>77</v>
      </c>
      <c r="L142" t="b">
        <v>0</v>
      </c>
      <c r="M142" t="b">
        <v>0</v>
      </c>
      <c r="N142" t="b">
        <v>0</v>
      </c>
    </row>
    <row r="143" spans="1:14" x14ac:dyDescent="0.25">
      <c r="A143" s="17" t="s">
        <v>147</v>
      </c>
      <c r="B143" t="s">
        <v>87</v>
      </c>
      <c r="C143" t="s">
        <v>182</v>
      </c>
      <c r="D143">
        <v>0.71982449635397405</v>
      </c>
      <c r="E143" s="19">
        <v>46181.434479166666</v>
      </c>
      <c r="F143" t="b">
        <v>1</v>
      </c>
      <c r="G143" s="17" t="s">
        <v>149</v>
      </c>
      <c r="H143" s="17" t="s">
        <v>7</v>
      </c>
      <c r="I143" s="17" t="s">
        <v>175</v>
      </c>
      <c r="J143">
        <v>0</v>
      </c>
      <c r="K143" s="17" t="s">
        <v>77</v>
      </c>
      <c r="L143" t="b">
        <v>0</v>
      </c>
      <c r="M143" t="b">
        <v>0</v>
      </c>
      <c r="N143" t="b">
        <v>0</v>
      </c>
    </row>
    <row r="144" spans="1:14" x14ac:dyDescent="0.25">
      <c r="A144" s="17" t="s">
        <v>147</v>
      </c>
      <c r="B144" t="s">
        <v>89</v>
      </c>
      <c r="C144" t="s">
        <v>182</v>
      </c>
      <c r="D144">
        <v>80.896181538461505</v>
      </c>
      <c r="E144" s="19">
        <v>46181.434479166666</v>
      </c>
      <c r="F144" t="b">
        <v>1</v>
      </c>
      <c r="G144" s="17" t="s">
        <v>150</v>
      </c>
      <c r="H144" s="17" t="s">
        <v>7</v>
      </c>
      <c r="I144" s="17" t="s">
        <v>175</v>
      </c>
      <c r="J144">
        <v>0</v>
      </c>
      <c r="K144" s="17" t="s">
        <v>77</v>
      </c>
      <c r="L144" t="b">
        <v>0</v>
      </c>
      <c r="M144" t="b">
        <v>0</v>
      </c>
      <c r="N144" t="b">
        <v>0</v>
      </c>
    </row>
    <row r="145" spans="1:14" x14ac:dyDescent="0.25">
      <c r="A145" s="17" t="s">
        <v>147</v>
      </c>
      <c r="B145" t="s">
        <v>91</v>
      </c>
      <c r="C145" t="s">
        <v>182</v>
      </c>
      <c r="D145">
        <v>0.13372854541610901</v>
      </c>
      <c r="E145" s="19">
        <v>46181.434479166666</v>
      </c>
      <c r="F145" t="b">
        <v>1</v>
      </c>
      <c r="G145" s="17" t="s">
        <v>151</v>
      </c>
      <c r="H145" s="17" t="s">
        <v>7</v>
      </c>
      <c r="I145" s="17" t="s">
        <v>175</v>
      </c>
      <c r="J145">
        <v>0</v>
      </c>
      <c r="K145" s="17" t="s">
        <v>77</v>
      </c>
      <c r="L145" t="b">
        <v>0</v>
      </c>
      <c r="M145" t="b">
        <v>0</v>
      </c>
      <c r="N145" t="b">
        <v>0</v>
      </c>
    </row>
    <row r="146" spans="1:14" x14ac:dyDescent="0.25">
      <c r="A146" s="17" t="s">
        <v>147</v>
      </c>
      <c r="B146" t="s">
        <v>93</v>
      </c>
      <c r="C146" t="s">
        <v>182</v>
      </c>
      <c r="D146">
        <v>0.20789577611610899</v>
      </c>
      <c r="E146" s="19">
        <v>46181.434490740743</v>
      </c>
      <c r="F146" t="b">
        <v>1</v>
      </c>
      <c r="G146" s="17" t="s">
        <v>152</v>
      </c>
      <c r="H146" s="17" t="s">
        <v>7</v>
      </c>
      <c r="I146" s="17" t="s">
        <v>175</v>
      </c>
      <c r="J146">
        <v>0</v>
      </c>
      <c r="K146" s="17" t="s">
        <v>77</v>
      </c>
      <c r="L146" t="b">
        <v>0</v>
      </c>
      <c r="M146" t="b">
        <v>0</v>
      </c>
      <c r="N146" t="b">
        <v>0</v>
      </c>
    </row>
    <row r="147" spans="1:14" x14ac:dyDescent="0.25">
      <c r="A147" s="17" t="s">
        <v>147</v>
      </c>
      <c r="B147" t="s">
        <v>96</v>
      </c>
      <c r="C147" t="s">
        <v>182</v>
      </c>
      <c r="D147">
        <v>85</v>
      </c>
      <c r="E147" s="18">
        <v>0</v>
      </c>
      <c r="F147" t="b">
        <v>1</v>
      </c>
      <c r="G147" s="17" t="s">
        <v>44</v>
      </c>
      <c r="H147" s="17" t="s">
        <v>7</v>
      </c>
      <c r="I147" s="17" t="s">
        <v>175</v>
      </c>
      <c r="J147">
        <v>0</v>
      </c>
      <c r="K147" s="17" t="s">
        <v>77</v>
      </c>
      <c r="L147" t="b">
        <v>0</v>
      </c>
      <c r="M147" t="b">
        <v>0</v>
      </c>
      <c r="N147" t="b">
        <v>0</v>
      </c>
    </row>
    <row r="148" spans="1:14" x14ac:dyDescent="0.25">
      <c r="A148" s="17" t="s">
        <v>147</v>
      </c>
      <c r="B148" t="s">
        <v>97</v>
      </c>
      <c r="C148" t="s">
        <v>182</v>
      </c>
      <c r="D148">
        <v>359</v>
      </c>
      <c r="E148" s="18">
        <v>0</v>
      </c>
      <c r="F148" t="b">
        <v>1</v>
      </c>
      <c r="G148" s="17" t="s">
        <v>45</v>
      </c>
      <c r="H148" s="17" t="s">
        <v>7</v>
      </c>
      <c r="I148" s="17" t="s">
        <v>175</v>
      </c>
      <c r="J148">
        <v>0</v>
      </c>
      <c r="K148" s="17" t="s">
        <v>77</v>
      </c>
      <c r="L148" t="b">
        <v>0</v>
      </c>
      <c r="M148" t="b">
        <v>0</v>
      </c>
      <c r="N148" t="b">
        <v>0</v>
      </c>
    </row>
    <row r="149" spans="1:14" x14ac:dyDescent="0.25">
      <c r="A149" s="17" t="s">
        <v>147</v>
      </c>
      <c r="B149" t="s">
        <v>98</v>
      </c>
      <c r="C149" t="s">
        <v>182</v>
      </c>
      <c r="D149">
        <v>156</v>
      </c>
      <c r="E149" s="18">
        <v>0</v>
      </c>
      <c r="F149" t="b">
        <v>1</v>
      </c>
      <c r="G149" s="17" t="s">
        <v>46</v>
      </c>
      <c r="H149" s="17" t="s">
        <v>7</v>
      </c>
      <c r="I149" s="17" t="s">
        <v>175</v>
      </c>
      <c r="J149">
        <v>0</v>
      </c>
      <c r="K149" s="17" t="s">
        <v>77</v>
      </c>
      <c r="L149" t="b">
        <v>0</v>
      </c>
      <c r="M149" t="b">
        <v>0</v>
      </c>
      <c r="N149" t="b">
        <v>0</v>
      </c>
    </row>
    <row r="150" spans="1:14" x14ac:dyDescent="0.25">
      <c r="A150" s="17" t="s">
        <v>147</v>
      </c>
      <c r="B150" t="s">
        <v>99</v>
      </c>
      <c r="C150" t="s">
        <v>182</v>
      </c>
      <c r="D150">
        <v>35</v>
      </c>
      <c r="E150" s="18">
        <v>0</v>
      </c>
      <c r="F150" t="b">
        <v>1</v>
      </c>
      <c r="G150" s="17" t="s">
        <v>47</v>
      </c>
      <c r="H150" s="17" t="s">
        <v>7</v>
      </c>
      <c r="I150" s="17" t="s">
        <v>175</v>
      </c>
      <c r="J150">
        <v>0</v>
      </c>
      <c r="K150" s="17" t="s">
        <v>77</v>
      </c>
      <c r="L150" t="b">
        <v>0</v>
      </c>
      <c r="M150" t="b">
        <v>0</v>
      </c>
      <c r="N150" t="b">
        <v>0</v>
      </c>
    </row>
    <row r="151" spans="1:14" x14ac:dyDescent="0.25">
      <c r="A151" s="17" t="s">
        <v>147</v>
      </c>
      <c r="B151" t="s">
        <v>350</v>
      </c>
      <c r="D151" t="s">
        <v>351</v>
      </c>
      <c r="E151" s="18">
        <v>0</v>
      </c>
      <c r="F151" t="b">
        <v>0</v>
      </c>
      <c r="G151" s="17"/>
      <c r="H151" s="17"/>
      <c r="I151" s="17"/>
      <c r="K151" s="17"/>
    </row>
    <row r="152" spans="1:14" x14ac:dyDescent="0.25">
      <c r="A152" s="17" t="s">
        <v>147</v>
      </c>
      <c r="B152" t="s">
        <v>78</v>
      </c>
      <c r="C152" t="s">
        <v>278</v>
      </c>
      <c r="D152">
        <v>50.967979582518161</v>
      </c>
      <c r="E152" s="19">
        <v>46184.479317129626</v>
      </c>
      <c r="F152" t="b">
        <v>1</v>
      </c>
      <c r="G152" s="17" t="s">
        <v>279</v>
      </c>
      <c r="H152" s="17" t="s">
        <v>7</v>
      </c>
      <c r="I152" s="17" t="s">
        <v>276</v>
      </c>
      <c r="J152">
        <v>0</v>
      </c>
      <c r="K152" s="17" t="s">
        <v>77</v>
      </c>
      <c r="L152" t="b">
        <v>0</v>
      </c>
      <c r="M152" t="b">
        <v>0</v>
      </c>
      <c r="N152" t="b">
        <v>0</v>
      </c>
    </row>
    <row r="153" spans="1:14" x14ac:dyDescent="0.25">
      <c r="A153" s="17" t="s">
        <v>147</v>
      </c>
      <c r="B153" t="s">
        <v>79</v>
      </c>
      <c r="C153" t="s">
        <v>278</v>
      </c>
      <c r="D153">
        <v>120.21245566186201</v>
      </c>
      <c r="E153" s="19">
        <v>46184.479421296295</v>
      </c>
      <c r="F153" t="b">
        <v>1</v>
      </c>
      <c r="G153" s="17" t="s">
        <v>280</v>
      </c>
      <c r="H153" s="17" t="s">
        <v>7</v>
      </c>
      <c r="I153" s="17" t="s">
        <v>276</v>
      </c>
      <c r="J153">
        <v>0</v>
      </c>
      <c r="K153" s="17" t="s">
        <v>77</v>
      </c>
      <c r="L153" t="b">
        <v>0</v>
      </c>
      <c r="M153" t="b">
        <v>0</v>
      </c>
      <c r="N153" t="b">
        <v>0</v>
      </c>
    </row>
    <row r="154" spans="1:14" x14ac:dyDescent="0.25">
      <c r="A154" s="17" t="s">
        <v>147</v>
      </c>
      <c r="B154" t="s">
        <v>80</v>
      </c>
      <c r="C154" t="s">
        <v>278</v>
      </c>
      <c r="D154">
        <v>58.553707089085329</v>
      </c>
      <c r="E154" s="19">
        <v>46184.479513888888</v>
      </c>
      <c r="F154" t="b">
        <v>1</v>
      </c>
      <c r="G154" s="17" t="s">
        <v>281</v>
      </c>
      <c r="H154" s="17" t="s">
        <v>7</v>
      </c>
      <c r="I154" s="17" t="s">
        <v>276</v>
      </c>
      <c r="J154">
        <v>0</v>
      </c>
      <c r="K154" s="17" t="s">
        <v>77</v>
      </c>
      <c r="L154" t="b">
        <v>0</v>
      </c>
      <c r="M154" t="b">
        <v>0</v>
      </c>
      <c r="N154" t="b">
        <v>0</v>
      </c>
    </row>
    <row r="155" spans="1:14" x14ac:dyDescent="0.25">
      <c r="A155" s="17" t="s">
        <v>147</v>
      </c>
      <c r="B155" t="s">
        <v>81</v>
      </c>
      <c r="C155" t="s">
        <v>278</v>
      </c>
      <c r="D155">
        <v>65.579758001123139</v>
      </c>
      <c r="E155" s="19">
        <v>46184.479629629626</v>
      </c>
      <c r="F155" t="b">
        <v>1</v>
      </c>
      <c r="G155" s="17" t="s">
        <v>282</v>
      </c>
      <c r="H155" s="17" t="s">
        <v>7</v>
      </c>
      <c r="I155" s="17" t="s">
        <v>276</v>
      </c>
      <c r="J155">
        <v>0</v>
      </c>
      <c r="K155" s="17" t="s">
        <v>77</v>
      </c>
      <c r="L155" t="b">
        <v>0</v>
      </c>
      <c r="M155" t="b">
        <v>0</v>
      </c>
      <c r="N155" t="b">
        <v>0</v>
      </c>
    </row>
    <row r="156" spans="1:14" x14ac:dyDescent="0.25">
      <c r="A156" s="17" t="s">
        <v>147</v>
      </c>
      <c r="B156" t="s">
        <v>82</v>
      </c>
      <c r="C156" t="s">
        <v>278</v>
      </c>
      <c r="D156">
        <v>77.833862631324294</v>
      </c>
      <c r="E156" s="19">
        <v>46184.479733796295</v>
      </c>
      <c r="F156" t="b">
        <v>1</v>
      </c>
      <c r="G156" s="17" t="s">
        <v>283</v>
      </c>
      <c r="H156" s="17" t="s">
        <v>7</v>
      </c>
      <c r="I156" s="17" t="s">
        <v>276</v>
      </c>
      <c r="J156">
        <v>0</v>
      </c>
      <c r="K156" s="17" t="s">
        <v>77</v>
      </c>
      <c r="L156" t="b">
        <v>0</v>
      </c>
      <c r="M156" t="b">
        <v>0</v>
      </c>
      <c r="N156" t="b">
        <v>0</v>
      </c>
    </row>
    <row r="157" spans="1:14" x14ac:dyDescent="0.25">
      <c r="A157" s="17" t="s">
        <v>147</v>
      </c>
      <c r="B157" t="s">
        <v>83</v>
      </c>
      <c r="C157" t="s">
        <v>278</v>
      </c>
      <c r="D157">
        <v>30.054561207357068</v>
      </c>
      <c r="E157" s="19">
        <v>46184.479837962965</v>
      </c>
      <c r="F157" t="b">
        <v>1</v>
      </c>
      <c r="G157" s="17" t="s">
        <v>284</v>
      </c>
      <c r="H157" s="17" t="s">
        <v>7</v>
      </c>
      <c r="I157" s="17" t="s">
        <v>276</v>
      </c>
      <c r="J157">
        <v>0</v>
      </c>
      <c r="K157" s="17" t="s">
        <v>77</v>
      </c>
      <c r="L157" t="b">
        <v>0</v>
      </c>
      <c r="M157" t="b">
        <v>0</v>
      </c>
      <c r="N157" t="b">
        <v>0</v>
      </c>
    </row>
    <row r="158" spans="1:14" x14ac:dyDescent="0.25">
      <c r="A158" s="17" t="s">
        <v>147</v>
      </c>
      <c r="B158" t="s">
        <v>76</v>
      </c>
      <c r="C158" t="s">
        <v>278</v>
      </c>
      <c r="D158">
        <v>68.336249781639438</v>
      </c>
      <c r="E158" s="19">
        <v>46184.479953703703</v>
      </c>
      <c r="F158" t="b">
        <v>1</v>
      </c>
      <c r="G158" s="17" t="s">
        <v>285</v>
      </c>
      <c r="H158" s="17" t="s">
        <v>7</v>
      </c>
      <c r="I158" s="17" t="s">
        <v>276</v>
      </c>
      <c r="J158">
        <v>0</v>
      </c>
      <c r="K158" s="17" t="s">
        <v>77</v>
      </c>
      <c r="L158" t="b">
        <v>0</v>
      </c>
      <c r="M158" t="b">
        <v>0</v>
      </c>
      <c r="N158" t="b">
        <v>0</v>
      </c>
    </row>
    <row r="159" spans="1:14" x14ac:dyDescent="0.25">
      <c r="A159" s="17" t="s">
        <v>147</v>
      </c>
      <c r="B159" t="s">
        <v>84</v>
      </c>
      <c r="C159" t="s">
        <v>273</v>
      </c>
      <c r="D159">
        <v>43.611058577426</v>
      </c>
      <c r="E159" s="19">
        <v>46184.480219907404</v>
      </c>
      <c r="F159" t="b">
        <v>1</v>
      </c>
      <c r="G159" s="17" t="s">
        <v>289</v>
      </c>
      <c r="H159" s="17" t="s">
        <v>7</v>
      </c>
      <c r="I159" s="17" t="s">
        <v>271</v>
      </c>
      <c r="J159">
        <v>0</v>
      </c>
      <c r="K159" s="17" t="s">
        <v>77</v>
      </c>
      <c r="L159" t="b">
        <v>0</v>
      </c>
      <c r="M159" t="b">
        <v>0</v>
      </c>
      <c r="N159" t="b">
        <v>0</v>
      </c>
    </row>
    <row r="160" spans="1:14" x14ac:dyDescent="0.25">
      <c r="A160" s="17" t="s">
        <v>147</v>
      </c>
      <c r="B160" t="s">
        <v>95</v>
      </c>
      <c r="C160" t="s">
        <v>182</v>
      </c>
      <c r="D160">
        <v>-0.67179061870602896</v>
      </c>
      <c r="E160" s="19">
        <v>46184.492719907408</v>
      </c>
      <c r="F160" t="b">
        <v>1</v>
      </c>
      <c r="G160" s="17" t="s">
        <v>359</v>
      </c>
      <c r="H160" s="17" t="s">
        <v>7</v>
      </c>
      <c r="I160" s="17" t="s">
        <v>175</v>
      </c>
      <c r="J160">
        <v>0</v>
      </c>
      <c r="K160" s="17" t="s">
        <v>77</v>
      </c>
      <c r="L160" t="b">
        <v>0</v>
      </c>
      <c r="M160" t="b">
        <v>0</v>
      </c>
      <c r="N160" t="b">
        <v>0</v>
      </c>
    </row>
    <row r="161" spans="1:14" x14ac:dyDescent="0.25">
      <c r="A161" s="17" t="s">
        <v>147</v>
      </c>
      <c r="B161" t="s">
        <v>365</v>
      </c>
      <c r="C161" t="s">
        <v>182</v>
      </c>
      <c r="D161">
        <v>330</v>
      </c>
      <c r="E161" s="19">
        <v>46185.440636574072</v>
      </c>
      <c r="F161" t="b">
        <v>1</v>
      </c>
      <c r="G161" s="17" t="s">
        <v>43</v>
      </c>
      <c r="H161" s="17" t="s">
        <v>7</v>
      </c>
      <c r="I161" s="17" t="s">
        <v>175</v>
      </c>
      <c r="J161">
        <v>0</v>
      </c>
      <c r="K161" s="17" t="s">
        <v>77</v>
      </c>
      <c r="L161" t="b">
        <v>0</v>
      </c>
      <c r="M161" t="b">
        <v>0</v>
      </c>
      <c r="N161" t="b">
        <v>0</v>
      </c>
    </row>
    <row r="162" spans="1:14" x14ac:dyDescent="0.25">
      <c r="A162" s="17" t="s">
        <v>153</v>
      </c>
      <c r="B162" t="s">
        <v>85</v>
      </c>
      <c r="C162" t="s">
        <v>182</v>
      </c>
      <c r="D162">
        <v>68.291668825013403</v>
      </c>
      <c r="E162" s="19">
        <v>46181.434525462966</v>
      </c>
      <c r="F162" t="b">
        <v>1</v>
      </c>
      <c r="G162" s="17" t="s">
        <v>154</v>
      </c>
      <c r="H162" s="17" t="s">
        <v>7</v>
      </c>
      <c r="I162" s="17" t="s">
        <v>175</v>
      </c>
      <c r="J162">
        <v>0</v>
      </c>
      <c r="K162" s="17" t="s">
        <v>77</v>
      </c>
      <c r="L162" t="b">
        <v>0</v>
      </c>
      <c r="M162" t="b">
        <v>0</v>
      </c>
      <c r="N162" t="b">
        <v>0</v>
      </c>
    </row>
    <row r="163" spans="1:14" x14ac:dyDescent="0.25">
      <c r="A163" s="17" t="s">
        <v>153</v>
      </c>
      <c r="B163" t="s">
        <v>87</v>
      </c>
      <c r="C163" t="s">
        <v>182</v>
      </c>
      <c r="D163">
        <v>0.71982449635397405</v>
      </c>
      <c r="E163" s="19">
        <v>46181.434537037036</v>
      </c>
      <c r="F163" t="b">
        <v>1</v>
      </c>
      <c r="G163" s="17" t="s">
        <v>155</v>
      </c>
      <c r="H163" s="17" t="s">
        <v>7</v>
      </c>
      <c r="I163" s="17" t="s">
        <v>175</v>
      </c>
      <c r="J163">
        <v>0</v>
      </c>
      <c r="K163" s="17" t="s">
        <v>77</v>
      </c>
      <c r="L163" t="b">
        <v>0</v>
      </c>
      <c r="M163" t="b">
        <v>0</v>
      </c>
      <c r="N163" t="b">
        <v>0</v>
      </c>
    </row>
    <row r="164" spans="1:14" x14ac:dyDescent="0.25">
      <c r="A164" s="17" t="s">
        <v>153</v>
      </c>
      <c r="B164" t="s">
        <v>89</v>
      </c>
      <c r="C164" t="s">
        <v>182</v>
      </c>
      <c r="D164">
        <v>80.896181538461505</v>
      </c>
      <c r="E164" s="19">
        <v>46181.434537037036</v>
      </c>
      <c r="F164" t="b">
        <v>1</v>
      </c>
      <c r="G164" s="17" t="s">
        <v>156</v>
      </c>
      <c r="H164" s="17" t="s">
        <v>7</v>
      </c>
      <c r="I164" s="17" t="s">
        <v>175</v>
      </c>
      <c r="J164">
        <v>0</v>
      </c>
      <c r="K164" s="17" t="s">
        <v>77</v>
      </c>
      <c r="L164" t="b">
        <v>0</v>
      </c>
      <c r="M164" t="b">
        <v>0</v>
      </c>
      <c r="N164" t="b">
        <v>0</v>
      </c>
    </row>
    <row r="165" spans="1:14" x14ac:dyDescent="0.25">
      <c r="A165" s="17" t="s">
        <v>153</v>
      </c>
      <c r="B165" t="s">
        <v>91</v>
      </c>
      <c r="C165" t="s">
        <v>182</v>
      </c>
      <c r="D165">
        <v>0.3</v>
      </c>
      <c r="E165" s="19">
        <v>46181.434537037036</v>
      </c>
      <c r="F165" t="b">
        <v>1</v>
      </c>
      <c r="G165" s="17" t="s">
        <v>157</v>
      </c>
      <c r="H165" s="17" t="s">
        <v>7</v>
      </c>
      <c r="I165" s="17" t="s">
        <v>175</v>
      </c>
      <c r="J165">
        <v>0</v>
      </c>
      <c r="K165" s="17" t="s">
        <v>77</v>
      </c>
      <c r="L165" t="b">
        <v>0</v>
      </c>
      <c r="M165" t="b">
        <v>0</v>
      </c>
      <c r="N165" t="b">
        <v>0</v>
      </c>
    </row>
    <row r="166" spans="1:14" x14ac:dyDescent="0.25">
      <c r="A166" s="17" t="s">
        <v>153</v>
      </c>
      <c r="B166" t="s">
        <v>93</v>
      </c>
      <c r="C166" t="s">
        <v>182</v>
      </c>
      <c r="D166">
        <v>0.20789577611610899</v>
      </c>
      <c r="E166" s="19">
        <v>46181.434548611112</v>
      </c>
      <c r="F166" t="b">
        <v>1</v>
      </c>
      <c r="G166" s="17" t="s">
        <v>158</v>
      </c>
      <c r="H166" s="17" t="s">
        <v>7</v>
      </c>
      <c r="I166" s="17" t="s">
        <v>175</v>
      </c>
      <c r="J166">
        <v>0</v>
      </c>
      <c r="K166" s="17" t="s">
        <v>77</v>
      </c>
      <c r="L166" t="b">
        <v>0</v>
      </c>
      <c r="M166" t="b">
        <v>0</v>
      </c>
      <c r="N166" t="b">
        <v>0</v>
      </c>
    </row>
    <row r="167" spans="1:14" x14ac:dyDescent="0.25">
      <c r="A167" s="17" t="s">
        <v>153</v>
      </c>
      <c r="B167" t="s">
        <v>96</v>
      </c>
      <c r="C167" t="s">
        <v>182</v>
      </c>
      <c r="D167">
        <v>85</v>
      </c>
      <c r="E167" s="18">
        <v>0</v>
      </c>
      <c r="F167" t="b">
        <v>1</v>
      </c>
      <c r="G167" s="17" t="s">
        <v>44</v>
      </c>
      <c r="H167" s="17" t="s">
        <v>7</v>
      </c>
      <c r="I167" s="17" t="s">
        <v>175</v>
      </c>
      <c r="J167">
        <v>0</v>
      </c>
      <c r="K167" s="17" t="s">
        <v>77</v>
      </c>
      <c r="L167" t="b">
        <v>0</v>
      </c>
      <c r="M167" t="b">
        <v>0</v>
      </c>
      <c r="N167" t="b">
        <v>0</v>
      </c>
    </row>
    <row r="168" spans="1:14" x14ac:dyDescent="0.25">
      <c r="A168" s="17" t="s">
        <v>153</v>
      </c>
      <c r="B168" t="s">
        <v>97</v>
      </c>
      <c r="C168" t="s">
        <v>182</v>
      </c>
      <c r="D168">
        <v>359</v>
      </c>
      <c r="E168" s="18">
        <v>0</v>
      </c>
      <c r="F168" t="b">
        <v>1</v>
      </c>
      <c r="G168" s="17" t="s">
        <v>45</v>
      </c>
      <c r="H168" s="17" t="s">
        <v>7</v>
      </c>
      <c r="I168" s="17" t="s">
        <v>175</v>
      </c>
      <c r="J168">
        <v>0</v>
      </c>
      <c r="K168" s="17" t="s">
        <v>77</v>
      </c>
      <c r="L168" t="b">
        <v>0</v>
      </c>
      <c r="M168" t="b">
        <v>0</v>
      </c>
      <c r="N168" t="b">
        <v>0</v>
      </c>
    </row>
    <row r="169" spans="1:14" x14ac:dyDescent="0.25">
      <c r="A169" s="17" t="s">
        <v>153</v>
      </c>
      <c r="B169" t="s">
        <v>98</v>
      </c>
      <c r="C169" t="s">
        <v>182</v>
      </c>
      <c r="D169">
        <v>156</v>
      </c>
      <c r="E169" s="18">
        <v>0</v>
      </c>
      <c r="F169" t="b">
        <v>1</v>
      </c>
      <c r="G169" s="17" t="s">
        <v>46</v>
      </c>
      <c r="H169" s="17" t="s">
        <v>7</v>
      </c>
      <c r="I169" s="17" t="s">
        <v>175</v>
      </c>
      <c r="J169">
        <v>0</v>
      </c>
      <c r="K169" s="17" t="s">
        <v>77</v>
      </c>
      <c r="L169" t="b">
        <v>0</v>
      </c>
      <c r="M169" t="b">
        <v>0</v>
      </c>
      <c r="N169" t="b">
        <v>0</v>
      </c>
    </row>
    <row r="170" spans="1:14" x14ac:dyDescent="0.25">
      <c r="A170" s="17" t="s">
        <v>153</v>
      </c>
      <c r="B170" t="s">
        <v>99</v>
      </c>
      <c r="C170" t="s">
        <v>182</v>
      </c>
      <c r="D170">
        <v>35</v>
      </c>
      <c r="E170" s="18">
        <v>0</v>
      </c>
      <c r="F170" t="b">
        <v>1</v>
      </c>
      <c r="G170" s="17" t="s">
        <v>47</v>
      </c>
      <c r="H170" s="17" t="s">
        <v>7</v>
      </c>
      <c r="I170" s="17" t="s">
        <v>175</v>
      </c>
      <c r="J170">
        <v>0</v>
      </c>
      <c r="K170" s="17" t="s">
        <v>77</v>
      </c>
      <c r="L170" t="b">
        <v>0</v>
      </c>
      <c r="M170" t="b">
        <v>0</v>
      </c>
      <c r="N170" t="b">
        <v>0</v>
      </c>
    </row>
    <row r="171" spans="1:14" x14ac:dyDescent="0.25">
      <c r="A171" s="17" t="s">
        <v>153</v>
      </c>
      <c r="B171" t="s">
        <v>350</v>
      </c>
      <c r="D171" t="s">
        <v>351</v>
      </c>
      <c r="E171" s="18">
        <v>0</v>
      </c>
      <c r="F171" t="b">
        <v>0</v>
      </c>
      <c r="G171" s="17"/>
      <c r="H171" s="17"/>
      <c r="I171" s="17"/>
      <c r="K171" s="17"/>
    </row>
    <row r="172" spans="1:14" x14ac:dyDescent="0.25">
      <c r="A172" s="17" t="s">
        <v>153</v>
      </c>
      <c r="B172" t="s">
        <v>78</v>
      </c>
      <c r="C172" t="s">
        <v>290</v>
      </c>
      <c r="D172">
        <v>50.967979582518161</v>
      </c>
      <c r="E172" s="19">
        <v>46184.481261574074</v>
      </c>
      <c r="F172" t="b">
        <v>1</v>
      </c>
      <c r="G172" s="17" t="s">
        <v>291</v>
      </c>
      <c r="H172" s="17" t="s">
        <v>7</v>
      </c>
      <c r="I172" s="17" t="s">
        <v>286</v>
      </c>
      <c r="J172">
        <v>0</v>
      </c>
      <c r="K172" s="17" t="s">
        <v>77</v>
      </c>
      <c r="L172" t="b">
        <v>0</v>
      </c>
      <c r="M172" t="b">
        <v>0</v>
      </c>
      <c r="N172" t="b">
        <v>0</v>
      </c>
    </row>
    <row r="173" spans="1:14" x14ac:dyDescent="0.25">
      <c r="A173" s="17" t="s">
        <v>153</v>
      </c>
      <c r="B173" t="s">
        <v>79</v>
      </c>
      <c r="C173" t="s">
        <v>290</v>
      </c>
      <c r="D173">
        <v>120.21245566186201</v>
      </c>
      <c r="E173" s="19">
        <v>46184.481377314813</v>
      </c>
      <c r="F173" t="b">
        <v>1</v>
      </c>
      <c r="G173" s="17" t="s">
        <v>292</v>
      </c>
      <c r="H173" s="17" t="s">
        <v>7</v>
      </c>
      <c r="I173" s="17" t="s">
        <v>286</v>
      </c>
      <c r="J173">
        <v>0</v>
      </c>
      <c r="K173" s="17" t="s">
        <v>77</v>
      </c>
      <c r="L173" t="b">
        <v>0</v>
      </c>
      <c r="M173" t="b">
        <v>0</v>
      </c>
      <c r="N173" t="b">
        <v>0</v>
      </c>
    </row>
    <row r="174" spans="1:14" x14ac:dyDescent="0.25">
      <c r="A174" s="17" t="s">
        <v>153</v>
      </c>
      <c r="B174" t="s">
        <v>80</v>
      </c>
      <c r="C174" t="s">
        <v>290</v>
      </c>
      <c r="D174">
        <v>58.553707089085329</v>
      </c>
      <c r="E174" s="19">
        <v>46184.481481481482</v>
      </c>
      <c r="F174" t="b">
        <v>1</v>
      </c>
      <c r="G174" s="17" t="s">
        <v>293</v>
      </c>
      <c r="H174" s="17" t="s">
        <v>7</v>
      </c>
      <c r="I174" s="17" t="s">
        <v>286</v>
      </c>
      <c r="J174">
        <v>0</v>
      </c>
      <c r="K174" s="17" t="s">
        <v>77</v>
      </c>
      <c r="L174" t="b">
        <v>0</v>
      </c>
      <c r="M174" t="b">
        <v>0</v>
      </c>
      <c r="N174" t="b">
        <v>0</v>
      </c>
    </row>
    <row r="175" spans="1:14" x14ac:dyDescent="0.25">
      <c r="A175" s="17" t="s">
        <v>153</v>
      </c>
      <c r="B175" t="s">
        <v>81</v>
      </c>
      <c r="C175" t="s">
        <v>290</v>
      </c>
      <c r="D175">
        <v>65.579758001123139</v>
      </c>
      <c r="E175" s="19">
        <v>46184.481585648151</v>
      </c>
      <c r="F175" t="b">
        <v>1</v>
      </c>
      <c r="G175" s="17" t="s">
        <v>294</v>
      </c>
      <c r="H175" s="17" t="s">
        <v>7</v>
      </c>
      <c r="I175" s="17" t="s">
        <v>286</v>
      </c>
      <c r="J175">
        <v>0</v>
      </c>
      <c r="K175" s="17" t="s">
        <v>77</v>
      </c>
      <c r="L175" t="b">
        <v>0</v>
      </c>
      <c r="M175" t="b">
        <v>0</v>
      </c>
      <c r="N175" t="b">
        <v>0</v>
      </c>
    </row>
    <row r="176" spans="1:14" x14ac:dyDescent="0.25">
      <c r="A176" s="17" t="s">
        <v>153</v>
      </c>
      <c r="B176" t="s">
        <v>82</v>
      </c>
      <c r="C176" t="s">
        <v>290</v>
      </c>
      <c r="D176">
        <v>77.833862631324294</v>
      </c>
      <c r="E176" s="19">
        <v>46184.481689814813</v>
      </c>
      <c r="F176" t="b">
        <v>1</v>
      </c>
      <c r="G176" s="17" t="s">
        <v>295</v>
      </c>
      <c r="H176" s="17" t="s">
        <v>7</v>
      </c>
      <c r="I176" s="17" t="s">
        <v>286</v>
      </c>
      <c r="J176">
        <v>0</v>
      </c>
      <c r="K176" s="17" t="s">
        <v>77</v>
      </c>
      <c r="L176" t="b">
        <v>0</v>
      </c>
      <c r="M176" t="b">
        <v>0</v>
      </c>
      <c r="N176" t="b">
        <v>0</v>
      </c>
    </row>
    <row r="177" spans="1:14" x14ac:dyDescent="0.25">
      <c r="A177" s="17" t="s">
        <v>153</v>
      </c>
      <c r="B177" t="s">
        <v>83</v>
      </c>
      <c r="C177" t="s">
        <v>290</v>
      </c>
      <c r="D177">
        <v>30.054561207357068</v>
      </c>
      <c r="E177" s="19">
        <v>46184.481793981482</v>
      </c>
      <c r="F177" t="b">
        <v>1</v>
      </c>
      <c r="G177" s="17" t="s">
        <v>296</v>
      </c>
      <c r="H177" s="17" t="s">
        <v>7</v>
      </c>
      <c r="I177" s="17" t="s">
        <v>286</v>
      </c>
      <c r="J177">
        <v>0</v>
      </c>
      <c r="K177" s="17" t="s">
        <v>77</v>
      </c>
      <c r="L177" t="b">
        <v>0</v>
      </c>
      <c r="M177" t="b">
        <v>0</v>
      </c>
      <c r="N177" t="b">
        <v>0</v>
      </c>
    </row>
    <row r="178" spans="1:14" x14ac:dyDescent="0.25">
      <c r="A178" s="17" t="s">
        <v>153</v>
      </c>
      <c r="B178" t="s">
        <v>76</v>
      </c>
      <c r="C178" t="s">
        <v>290</v>
      </c>
      <c r="D178">
        <v>68.336249781639438</v>
      </c>
      <c r="E178" s="19">
        <v>46184.481898148151</v>
      </c>
      <c r="F178" t="b">
        <v>1</v>
      </c>
      <c r="G178" s="17" t="s">
        <v>297</v>
      </c>
      <c r="H178" s="17" t="s">
        <v>7</v>
      </c>
      <c r="I178" s="17" t="s">
        <v>286</v>
      </c>
      <c r="J178">
        <v>0</v>
      </c>
      <c r="K178" s="17" t="s">
        <v>77</v>
      </c>
      <c r="L178" t="b">
        <v>0</v>
      </c>
      <c r="M178" t="b">
        <v>0</v>
      </c>
      <c r="N178" t="b">
        <v>0</v>
      </c>
    </row>
    <row r="179" spans="1:14" x14ac:dyDescent="0.25">
      <c r="A179" s="17" t="s">
        <v>153</v>
      </c>
      <c r="B179" t="s">
        <v>84</v>
      </c>
      <c r="C179" t="s">
        <v>273</v>
      </c>
      <c r="D179">
        <v>43.611058577426</v>
      </c>
      <c r="E179" s="19">
        <v>46184.482245370367</v>
      </c>
      <c r="F179" t="b">
        <v>1</v>
      </c>
      <c r="G179" s="17" t="s">
        <v>301</v>
      </c>
      <c r="H179" s="17" t="s">
        <v>7</v>
      </c>
      <c r="I179" s="17" t="s">
        <v>271</v>
      </c>
      <c r="J179">
        <v>0</v>
      </c>
      <c r="K179" s="17" t="s">
        <v>77</v>
      </c>
      <c r="L179" t="b">
        <v>0</v>
      </c>
      <c r="M179" t="b">
        <v>0</v>
      </c>
      <c r="N179" t="b">
        <v>0</v>
      </c>
    </row>
    <row r="180" spans="1:14" x14ac:dyDescent="0.25">
      <c r="A180" s="17" t="s">
        <v>153</v>
      </c>
      <c r="B180" t="s">
        <v>95</v>
      </c>
      <c r="C180" t="s">
        <v>182</v>
      </c>
      <c r="D180">
        <v>-0.67179062000018097</v>
      </c>
      <c r="E180" s="19">
        <v>46184.492662037039</v>
      </c>
      <c r="F180" t="b">
        <v>1</v>
      </c>
      <c r="G180" s="17" t="s">
        <v>360</v>
      </c>
      <c r="H180" s="17" t="s">
        <v>7</v>
      </c>
      <c r="I180" s="17" t="s">
        <v>175</v>
      </c>
      <c r="J180">
        <v>0</v>
      </c>
      <c r="K180" s="17" t="s">
        <v>77</v>
      </c>
      <c r="L180" t="b">
        <v>0</v>
      </c>
      <c r="M180" t="b">
        <v>0</v>
      </c>
      <c r="N180" t="b">
        <v>0</v>
      </c>
    </row>
    <row r="181" spans="1:14" x14ac:dyDescent="0.25">
      <c r="A181" s="17" t="s">
        <v>153</v>
      </c>
      <c r="B181" t="s">
        <v>365</v>
      </c>
      <c r="C181" t="s">
        <v>182</v>
      </c>
      <c r="D181">
        <v>330</v>
      </c>
      <c r="E181" s="19">
        <v>46185.440694444442</v>
      </c>
      <c r="F181" t="b">
        <v>1</v>
      </c>
      <c r="G181" s="17" t="s">
        <v>43</v>
      </c>
      <c r="H181" s="17" t="s">
        <v>7</v>
      </c>
      <c r="I181" s="17" t="s">
        <v>175</v>
      </c>
      <c r="J181">
        <v>0</v>
      </c>
      <c r="K181" s="17" t="s">
        <v>77</v>
      </c>
      <c r="L181" t="b">
        <v>0</v>
      </c>
      <c r="M181" t="b">
        <v>0</v>
      </c>
      <c r="N181" t="b">
        <v>0</v>
      </c>
    </row>
    <row r="182" spans="1:14" x14ac:dyDescent="0.25">
      <c r="A182" s="17" t="s">
        <v>75</v>
      </c>
      <c r="B182" t="s">
        <v>85</v>
      </c>
      <c r="C182" t="s">
        <v>182</v>
      </c>
      <c r="D182">
        <v>68.274786414580404</v>
      </c>
      <c r="E182" s="19">
        <v>46181.434583333335</v>
      </c>
      <c r="F182" t="b">
        <v>1</v>
      </c>
      <c r="G182" s="17" t="s">
        <v>86</v>
      </c>
      <c r="H182" s="17" t="s">
        <v>7</v>
      </c>
      <c r="I182" s="17" t="s">
        <v>175</v>
      </c>
      <c r="J182">
        <v>0</v>
      </c>
      <c r="K182" s="17" t="s">
        <v>77</v>
      </c>
      <c r="L182" t="b">
        <v>0</v>
      </c>
      <c r="M182" t="b">
        <v>0</v>
      </c>
      <c r="N182" t="b">
        <v>0</v>
      </c>
    </row>
    <row r="183" spans="1:14" x14ac:dyDescent="0.25">
      <c r="A183" s="17" t="s">
        <v>75</v>
      </c>
      <c r="B183" t="s">
        <v>87</v>
      </c>
      <c r="C183" t="s">
        <v>182</v>
      </c>
      <c r="D183">
        <v>0.71982449635397305</v>
      </c>
      <c r="E183" s="19">
        <v>46181.434583333335</v>
      </c>
      <c r="F183" t="b">
        <v>1</v>
      </c>
      <c r="G183" s="17" t="s">
        <v>88</v>
      </c>
      <c r="H183" s="17" t="s">
        <v>7</v>
      </c>
      <c r="I183" s="17" t="s">
        <v>175</v>
      </c>
      <c r="J183">
        <v>0</v>
      </c>
      <c r="K183" s="17" t="s">
        <v>77</v>
      </c>
      <c r="L183" t="b">
        <v>0</v>
      </c>
      <c r="M183" t="b">
        <v>0</v>
      </c>
      <c r="N183" t="b">
        <v>0</v>
      </c>
    </row>
    <row r="184" spans="1:14" x14ac:dyDescent="0.25">
      <c r="A184" s="17" t="s">
        <v>75</v>
      </c>
      <c r="B184" t="s">
        <v>89</v>
      </c>
      <c r="C184" t="s">
        <v>182</v>
      </c>
      <c r="D184">
        <v>80.896181538461505</v>
      </c>
      <c r="E184" s="19">
        <v>46181.434594907405</v>
      </c>
      <c r="F184" t="b">
        <v>1</v>
      </c>
      <c r="G184" s="17" t="s">
        <v>90</v>
      </c>
      <c r="H184" s="17" t="s">
        <v>7</v>
      </c>
      <c r="I184" s="17" t="s">
        <v>175</v>
      </c>
      <c r="J184">
        <v>0</v>
      </c>
      <c r="K184" s="17" t="s">
        <v>77</v>
      </c>
      <c r="L184" t="b">
        <v>0</v>
      </c>
      <c r="M184" t="b">
        <v>0</v>
      </c>
      <c r="N184" t="b">
        <v>0</v>
      </c>
    </row>
    <row r="185" spans="1:14" x14ac:dyDescent="0.25">
      <c r="A185" s="17" t="s">
        <v>75</v>
      </c>
      <c r="B185" t="s">
        <v>91</v>
      </c>
      <c r="C185" t="s">
        <v>182</v>
      </c>
      <c r="D185">
        <v>0.3</v>
      </c>
      <c r="E185" s="19">
        <v>46181.434594907405</v>
      </c>
      <c r="F185" t="b">
        <v>1</v>
      </c>
      <c r="G185" s="17" t="s">
        <v>92</v>
      </c>
      <c r="H185" s="17" t="s">
        <v>7</v>
      </c>
      <c r="I185" s="17" t="s">
        <v>175</v>
      </c>
      <c r="J185">
        <v>0</v>
      </c>
      <c r="K185" s="17" t="s">
        <v>77</v>
      </c>
      <c r="L185" t="b">
        <v>0</v>
      </c>
      <c r="M185" t="b">
        <v>0</v>
      </c>
      <c r="N185" t="b">
        <v>0</v>
      </c>
    </row>
    <row r="186" spans="1:14" x14ac:dyDescent="0.25">
      <c r="A186" s="17" t="s">
        <v>75</v>
      </c>
      <c r="B186" t="s">
        <v>93</v>
      </c>
      <c r="C186" t="s">
        <v>182</v>
      </c>
      <c r="D186">
        <v>0.20789577611610899</v>
      </c>
      <c r="E186" s="19">
        <v>46181.434594907405</v>
      </c>
      <c r="F186" t="b">
        <v>1</v>
      </c>
      <c r="G186" s="17" t="s">
        <v>94</v>
      </c>
      <c r="H186" s="17" t="s">
        <v>7</v>
      </c>
      <c r="I186" s="17" t="s">
        <v>175</v>
      </c>
      <c r="J186">
        <v>0</v>
      </c>
      <c r="K186" s="17" t="s">
        <v>77</v>
      </c>
      <c r="L186" t="b">
        <v>0</v>
      </c>
      <c r="M186" t="b">
        <v>0</v>
      </c>
      <c r="N186" t="b">
        <v>0</v>
      </c>
    </row>
    <row r="187" spans="1:14" x14ac:dyDescent="0.25">
      <c r="A187" s="17" t="s">
        <v>75</v>
      </c>
      <c r="B187" t="s">
        <v>96</v>
      </c>
      <c r="C187" t="s">
        <v>182</v>
      </c>
      <c r="D187">
        <v>85</v>
      </c>
      <c r="E187" s="18">
        <v>0</v>
      </c>
      <c r="F187" t="b">
        <v>1</v>
      </c>
      <c r="G187" s="17" t="s">
        <v>44</v>
      </c>
      <c r="H187" s="17" t="s">
        <v>7</v>
      </c>
      <c r="I187" s="17" t="s">
        <v>175</v>
      </c>
      <c r="J187">
        <v>0</v>
      </c>
      <c r="K187" s="17" t="s">
        <v>77</v>
      </c>
      <c r="L187" t="b">
        <v>0</v>
      </c>
      <c r="M187" t="b">
        <v>0</v>
      </c>
      <c r="N187" t="b">
        <v>0</v>
      </c>
    </row>
    <row r="188" spans="1:14" x14ac:dyDescent="0.25">
      <c r="A188" s="17" t="s">
        <v>75</v>
      </c>
      <c r="B188" t="s">
        <v>97</v>
      </c>
      <c r="C188" t="s">
        <v>182</v>
      </c>
      <c r="D188">
        <v>359</v>
      </c>
      <c r="E188" s="18">
        <v>0</v>
      </c>
      <c r="F188" t="b">
        <v>1</v>
      </c>
      <c r="G188" s="17" t="s">
        <v>45</v>
      </c>
      <c r="H188" s="17" t="s">
        <v>7</v>
      </c>
      <c r="I188" s="17" t="s">
        <v>175</v>
      </c>
      <c r="J188">
        <v>0</v>
      </c>
      <c r="K188" s="17" t="s">
        <v>77</v>
      </c>
      <c r="L188" t="b">
        <v>0</v>
      </c>
      <c r="M188" t="b">
        <v>0</v>
      </c>
      <c r="N188" t="b">
        <v>0</v>
      </c>
    </row>
    <row r="189" spans="1:14" x14ac:dyDescent="0.25">
      <c r="A189" s="17" t="s">
        <v>75</v>
      </c>
      <c r="B189" t="s">
        <v>98</v>
      </c>
      <c r="C189" t="s">
        <v>182</v>
      </c>
      <c r="D189">
        <v>156</v>
      </c>
      <c r="E189" s="18">
        <v>0</v>
      </c>
      <c r="F189" t="b">
        <v>1</v>
      </c>
      <c r="G189" s="17" t="s">
        <v>46</v>
      </c>
      <c r="H189" s="17" t="s">
        <v>7</v>
      </c>
      <c r="I189" s="17" t="s">
        <v>175</v>
      </c>
      <c r="J189">
        <v>0</v>
      </c>
      <c r="K189" s="17" t="s">
        <v>77</v>
      </c>
      <c r="L189" t="b">
        <v>0</v>
      </c>
      <c r="M189" t="b">
        <v>0</v>
      </c>
      <c r="N189" t="b">
        <v>0</v>
      </c>
    </row>
    <row r="190" spans="1:14" x14ac:dyDescent="0.25">
      <c r="A190" s="17" t="s">
        <v>75</v>
      </c>
      <c r="B190" t="s">
        <v>99</v>
      </c>
      <c r="C190" t="s">
        <v>182</v>
      </c>
      <c r="D190">
        <v>35</v>
      </c>
      <c r="E190" s="18">
        <v>0</v>
      </c>
      <c r="F190" t="b">
        <v>1</v>
      </c>
      <c r="G190" s="17" t="s">
        <v>47</v>
      </c>
      <c r="H190" s="17" t="s">
        <v>7</v>
      </c>
      <c r="I190" s="17" t="s">
        <v>175</v>
      </c>
      <c r="J190">
        <v>0</v>
      </c>
      <c r="K190" s="17" t="s">
        <v>77</v>
      </c>
      <c r="L190" t="b">
        <v>0</v>
      </c>
      <c r="M190" t="b">
        <v>0</v>
      </c>
      <c r="N190" t="b">
        <v>0</v>
      </c>
    </row>
    <row r="191" spans="1:14" x14ac:dyDescent="0.25">
      <c r="A191" s="17" t="s">
        <v>75</v>
      </c>
      <c r="B191" t="s">
        <v>350</v>
      </c>
      <c r="D191" t="s">
        <v>351</v>
      </c>
      <c r="E191" s="18">
        <v>0</v>
      </c>
      <c r="F191" t="b">
        <v>0</v>
      </c>
      <c r="G191" s="17"/>
      <c r="H191" s="17"/>
      <c r="I191" s="17"/>
      <c r="K191" s="17"/>
    </row>
    <row r="192" spans="1:14" x14ac:dyDescent="0.25">
      <c r="A192" s="17" t="s">
        <v>75</v>
      </c>
      <c r="B192" t="s">
        <v>78</v>
      </c>
      <c r="C192" t="s">
        <v>302</v>
      </c>
      <c r="D192">
        <v>50.967979582518161</v>
      </c>
      <c r="E192" s="19">
        <v>46184.483356481483</v>
      </c>
      <c r="F192" t="b">
        <v>1</v>
      </c>
      <c r="G192" s="17" t="s">
        <v>303</v>
      </c>
      <c r="H192" s="17" t="s">
        <v>7</v>
      </c>
      <c r="I192" s="17" t="s">
        <v>299</v>
      </c>
      <c r="J192">
        <v>0</v>
      </c>
      <c r="K192" s="17" t="s">
        <v>77</v>
      </c>
      <c r="L192" t="b">
        <v>0</v>
      </c>
      <c r="M192" t="b">
        <v>0</v>
      </c>
      <c r="N192" t="b">
        <v>0</v>
      </c>
    </row>
    <row r="193" spans="1:14" x14ac:dyDescent="0.25">
      <c r="A193" s="17" t="s">
        <v>75</v>
      </c>
      <c r="B193" t="s">
        <v>79</v>
      </c>
      <c r="C193" t="s">
        <v>302</v>
      </c>
      <c r="D193">
        <v>120.21245566186201</v>
      </c>
      <c r="E193" s="19">
        <v>46184.483460648145</v>
      </c>
      <c r="F193" t="b">
        <v>1</v>
      </c>
      <c r="G193" s="17" t="s">
        <v>304</v>
      </c>
      <c r="H193" s="17" t="s">
        <v>7</v>
      </c>
      <c r="I193" s="17" t="s">
        <v>299</v>
      </c>
      <c r="J193">
        <v>0</v>
      </c>
      <c r="K193" s="17" t="s">
        <v>77</v>
      </c>
      <c r="L193" t="b">
        <v>0</v>
      </c>
      <c r="M193" t="b">
        <v>0</v>
      </c>
      <c r="N193" t="b">
        <v>0</v>
      </c>
    </row>
    <row r="194" spans="1:14" x14ac:dyDescent="0.25">
      <c r="A194" s="17" t="s">
        <v>75</v>
      </c>
      <c r="B194" t="s">
        <v>80</v>
      </c>
      <c r="C194" t="s">
        <v>302</v>
      </c>
      <c r="D194">
        <v>58.553707089085371</v>
      </c>
      <c r="E194" s="19">
        <v>46184.483576388891</v>
      </c>
      <c r="F194" t="b">
        <v>1</v>
      </c>
      <c r="G194" s="17" t="s">
        <v>305</v>
      </c>
      <c r="H194" s="17" t="s">
        <v>7</v>
      </c>
      <c r="I194" s="17" t="s">
        <v>299</v>
      </c>
      <c r="J194">
        <v>0</v>
      </c>
      <c r="K194" s="17" t="s">
        <v>77</v>
      </c>
      <c r="L194" t="b">
        <v>0</v>
      </c>
      <c r="M194" t="b">
        <v>0</v>
      </c>
      <c r="N194" t="b">
        <v>0</v>
      </c>
    </row>
    <row r="195" spans="1:14" x14ac:dyDescent="0.25">
      <c r="A195" s="17" t="s">
        <v>75</v>
      </c>
      <c r="B195" t="s">
        <v>81</v>
      </c>
      <c r="C195" t="s">
        <v>302</v>
      </c>
      <c r="D195">
        <v>65.579758001123139</v>
      </c>
      <c r="E195" s="19">
        <v>46184.483680555553</v>
      </c>
      <c r="F195" t="b">
        <v>1</v>
      </c>
      <c r="G195" s="17" t="s">
        <v>306</v>
      </c>
      <c r="H195" s="17" t="s">
        <v>7</v>
      </c>
      <c r="I195" s="17" t="s">
        <v>299</v>
      </c>
      <c r="J195">
        <v>0</v>
      </c>
      <c r="K195" s="17" t="s">
        <v>77</v>
      </c>
      <c r="L195" t="b">
        <v>0</v>
      </c>
      <c r="M195" t="b">
        <v>0</v>
      </c>
      <c r="N195" t="b">
        <v>0</v>
      </c>
    </row>
    <row r="196" spans="1:14" x14ac:dyDescent="0.25">
      <c r="A196" s="17" t="s">
        <v>75</v>
      </c>
      <c r="B196" t="s">
        <v>82</v>
      </c>
      <c r="C196" t="s">
        <v>302</v>
      </c>
      <c r="D196">
        <v>77.833862631324294</v>
      </c>
      <c r="E196" s="19">
        <v>46184.483796296299</v>
      </c>
      <c r="F196" t="b">
        <v>1</v>
      </c>
      <c r="G196" s="17" t="s">
        <v>307</v>
      </c>
      <c r="H196" s="17" t="s">
        <v>7</v>
      </c>
      <c r="I196" s="17" t="s">
        <v>299</v>
      </c>
      <c r="J196">
        <v>0</v>
      </c>
      <c r="K196" s="17" t="s">
        <v>77</v>
      </c>
      <c r="L196" t="b">
        <v>0</v>
      </c>
      <c r="M196" t="b">
        <v>0</v>
      </c>
      <c r="N196" t="b">
        <v>0</v>
      </c>
    </row>
    <row r="197" spans="1:14" x14ac:dyDescent="0.25">
      <c r="A197" s="17" t="s">
        <v>75</v>
      </c>
      <c r="B197" t="s">
        <v>83</v>
      </c>
      <c r="C197" t="s">
        <v>302</v>
      </c>
      <c r="D197">
        <v>30.054561207357068</v>
      </c>
      <c r="E197" s="19">
        <v>46184.483900462961</v>
      </c>
      <c r="F197" t="b">
        <v>1</v>
      </c>
      <c r="G197" s="17" t="s">
        <v>308</v>
      </c>
      <c r="H197" s="17" t="s">
        <v>7</v>
      </c>
      <c r="I197" s="17" t="s">
        <v>299</v>
      </c>
      <c r="J197">
        <v>0</v>
      </c>
      <c r="K197" s="17" t="s">
        <v>77</v>
      </c>
      <c r="L197" t="b">
        <v>0</v>
      </c>
      <c r="M197" t="b">
        <v>0</v>
      </c>
      <c r="N197" t="b">
        <v>0</v>
      </c>
    </row>
    <row r="198" spans="1:14" x14ac:dyDescent="0.25">
      <c r="A198" s="17" t="s">
        <v>75</v>
      </c>
      <c r="B198" t="s">
        <v>76</v>
      </c>
      <c r="C198" t="s">
        <v>302</v>
      </c>
      <c r="D198">
        <v>68.336249781639438</v>
      </c>
      <c r="E198" s="19">
        <v>46184.484016203707</v>
      </c>
      <c r="F198" t="b">
        <v>1</v>
      </c>
      <c r="G198" s="17" t="s">
        <v>309</v>
      </c>
      <c r="H198" s="17" t="s">
        <v>7</v>
      </c>
      <c r="I198" s="17" t="s">
        <v>299</v>
      </c>
      <c r="J198">
        <v>0</v>
      </c>
      <c r="K198" s="17" t="s">
        <v>77</v>
      </c>
      <c r="L198" t="b">
        <v>0</v>
      </c>
      <c r="M198" t="b">
        <v>0</v>
      </c>
      <c r="N198" t="b">
        <v>0</v>
      </c>
    </row>
    <row r="199" spans="1:14" x14ac:dyDescent="0.25">
      <c r="A199" s="17" t="s">
        <v>75</v>
      </c>
      <c r="B199" t="s">
        <v>84</v>
      </c>
      <c r="C199" t="s">
        <v>273</v>
      </c>
      <c r="D199">
        <v>43.611058577426</v>
      </c>
      <c r="E199" s="19">
        <v>46184.484363425923</v>
      </c>
      <c r="F199" t="b">
        <v>1</v>
      </c>
      <c r="G199" s="17" t="s">
        <v>312</v>
      </c>
      <c r="H199" s="17" t="s">
        <v>7</v>
      </c>
      <c r="I199" s="17" t="s">
        <v>271</v>
      </c>
      <c r="J199">
        <v>0</v>
      </c>
      <c r="K199" s="17" t="s">
        <v>77</v>
      </c>
      <c r="L199" t="b">
        <v>0</v>
      </c>
      <c r="M199" t="b">
        <v>0</v>
      </c>
      <c r="N199" t="b">
        <v>0</v>
      </c>
    </row>
    <row r="200" spans="1:14" x14ac:dyDescent="0.25">
      <c r="A200" s="17" t="s">
        <v>75</v>
      </c>
      <c r="B200" t="s">
        <v>95</v>
      </c>
      <c r="C200" t="s">
        <v>182</v>
      </c>
      <c r="D200">
        <v>-0.67179062000018097</v>
      </c>
      <c r="E200" s="19">
        <v>46184.492615740739</v>
      </c>
      <c r="F200" t="b">
        <v>1</v>
      </c>
      <c r="G200" s="17" t="s">
        <v>361</v>
      </c>
      <c r="H200" s="17" t="s">
        <v>7</v>
      </c>
      <c r="I200" s="17" t="s">
        <v>175</v>
      </c>
      <c r="J200">
        <v>0</v>
      </c>
      <c r="K200" s="17" t="s">
        <v>77</v>
      </c>
      <c r="L200" t="b">
        <v>0</v>
      </c>
      <c r="M200" t="b">
        <v>0</v>
      </c>
      <c r="N200" t="b">
        <v>0</v>
      </c>
    </row>
    <row r="201" spans="1:14" x14ac:dyDescent="0.25">
      <c r="A201" s="17" t="s">
        <v>75</v>
      </c>
      <c r="B201" t="s">
        <v>365</v>
      </c>
      <c r="C201" t="s">
        <v>182</v>
      </c>
      <c r="D201">
        <v>330</v>
      </c>
      <c r="E201" s="19">
        <v>46185.440775462965</v>
      </c>
      <c r="F201" t="b">
        <v>1</v>
      </c>
      <c r="G201" s="17" t="s">
        <v>43</v>
      </c>
      <c r="H201" s="17" t="s">
        <v>7</v>
      </c>
      <c r="I201" s="17" t="s">
        <v>175</v>
      </c>
      <c r="J201">
        <v>0</v>
      </c>
      <c r="K201" s="17" t="s">
        <v>77</v>
      </c>
      <c r="L201" t="b">
        <v>0</v>
      </c>
      <c r="M201" t="b">
        <v>0</v>
      </c>
      <c r="N201" t="b">
        <v>0</v>
      </c>
    </row>
    <row r="202" spans="1:14" x14ac:dyDescent="0.25">
      <c r="A202" s="17" t="s">
        <v>100</v>
      </c>
      <c r="B202" t="s">
        <v>85</v>
      </c>
      <c r="C202" t="s">
        <v>182</v>
      </c>
      <c r="D202">
        <v>68.274787902373603</v>
      </c>
      <c r="E202" s="19">
        <v>46181.434641203705</v>
      </c>
      <c r="F202" t="b">
        <v>1</v>
      </c>
      <c r="G202" s="17" t="s">
        <v>159</v>
      </c>
      <c r="H202" s="17" t="s">
        <v>7</v>
      </c>
      <c r="I202" s="17" t="s">
        <v>175</v>
      </c>
      <c r="J202">
        <v>0</v>
      </c>
      <c r="K202" s="17" t="s">
        <v>77</v>
      </c>
      <c r="L202" t="b">
        <v>0</v>
      </c>
      <c r="M202" t="b">
        <v>0</v>
      </c>
      <c r="N202" t="b">
        <v>0</v>
      </c>
    </row>
    <row r="203" spans="1:14" x14ac:dyDescent="0.25">
      <c r="A203" s="17" t="s">
        <v>100</v>
      </c>
      <c r="B203" t="s">
        <v>87</v>
      </c>
      <c r="C203" t="s">
        <v>182</v>
      </c>
      <c r="D203">
        <v>0.69676277490104199</v>
      </c>
      <c r="E203" s="19">
        <v>46181.434641203705</v>
      </c>
      <c r="F203" t="b">
        <v>1</v>
      </c>
      <c r="G203" s="17" t="s">
        <v>160</v>
      </c>
      <c r="H203" s="17" t="s">
        <v>7</v>
      </c>
      <c r="I203" s="17" t="s">
        <v>175</v>
      </c>
      <c r="J203">
        <v>0</v>
      </c>
      <c r="K203" s="17" t="s">
        <v>77</v>
      </c>
      <c r="L203" t="b">
        <v>0</v>
      </c>
      <c r="M203" t="b">
        <v>0</v>
      </c>
      <c r="N203" t="b">
        <v>0</v>
      </c>
    </row>
    <row r="204" spans="1:14" x14ac:dyDescent="0.25">
      <c r="A204" s="17" t="s">
        <v>100</v>
      </c>
      <c r="B204" t="s">
        <v>89</v>
      </c>
      <c r="C204" t="s">
        <v>182</v>
      </c>
      <c r="D204">
        <v>80.896181538461505</v>
      </c>
      <c r="E204" s="19">
        <v>46181.434652777774</v>
      </c>
      <c r="F204" t="b">
        <v>1</v>
      </c>
      <c r="G204" s="17" t="s">
        <v>161</v>
      </c>
      <c r="H204" s="17" t="s">
        <v>7</v>
      </c>
      <c r="I204" s="17" t="s">
        <v>175</v>
      </c>
      <c r="J204">
        <v>0</v>
      </c>
      <c r="K204" s="17" t="s">
        <v>77</v>
      </c>
      <c r="L204" t="b">
        <v>0</v>
      </c>
      <c r="M204" t="b">
        <v>0</v>
      </c>
      <c r="N204" t="b">
        <v>0</v>
      </c>
    </row>
    <row r="205" spans="1:14" x14ac:dyDescent="0.25">
      <c r="A205" s="17" t="s">
        <v>100</v>
      </c>
      <c r="B205" t="s">
        <v>91</v>
      </c>
      <c r="C205" t="s">
        <v>182</v>
      </c>
      <c r="D205">
        <v>0.3</v>
      </c>
      <c r="E205" s="19">
        <v>46181.434652777774</v>
      </c>
      <c r="F205" t="b">
        <v>1</v>
      </c>
      <c r="G205" s="17" t="s">
        <v>162</v>
      </c>
      <c r="H205" s="17" t="s">
        <v>7</v>
      </c>
      <c r="I205" s="17" t="s">
        <v>175</v>
      </c>
      <c r="J205">
        <v>0</v>
      </c>
      <c r="K205" s="17" t="s">
        <v>77</v>
      </c>
      <c r="L205" t="b">
        <v>0</v>
      </c>
      <c r="M205" t="b">
        <v>0</v>
      </c>
      <c r="N205" t="b">
        <v>0</v>
      </c>
    </row>
    <row r="206" spans="1:14" x14ac:dyDescent="0.25">
      <c r="A206" s="17" t="s">
        <v>100</v>
      </c>
      <c r="B206" t="s">
        <v>93</v>
      </c>
      <c r="C206" t="s">
        <v>182</v>
      </c>
      <c r="D206">
        <v>0.20789577611610899</v>
      </c>
      <c r="E206" s="19">
        <v>46181.434652777774</v>
      </c>
      <c r="F206" t="b">
        <v>1</v>
      </c>
      <c r="G206" s="17" t="s">
        <v>163</v>
      </c>
      <c r="H206" s="17" t="s">
        <v>7</v>
      </c>
      <c r="I206" s="17" t="s">
        <v>175</v>
      </c>
      <c r="J206">
        <v>0</v>
      </c>
      <c r="K206" s="17" t="s">
        <v>77</v>
      </c>
      <c r="L206" t="b">
        <v>0</v>
      </c>
      <c r="M206" t="b">
        <v>0</v>
      </c>
      <c r="N206" t="b">
        <v>0</v>
      </c>
    </row>
    <row r="207" spans="1:14" x14ac:dyDescent="0.25">
      <c r="A207" s="17" t="s">
        <v>100</v>
      </c>
      <c r="B207" t="s">
        <v>96</v>
      </c>
      <c r="C207" t="s">
        <v>182</v>
      </c>
      <c r="D207">
        <v>85</v>
      </c>
      <c r="E207" s="18">
        <v>0</v>
      </c>
      <c r="F207" t="b">
        <v>1</v>
      </c>
      <c r="G207" s="17" t="s">
        <v>44</v>
      </c>
      <c r="H207" s="17" t="s">
        <v>7</v>
      </c>
      <c r="I207" s="17" t="s">
        <v>175</v>
      </c>
      <c r="J207">
        <v>0</v>
      </c>
      <c r="K207" s="17" t="s">
        <v>77</v>
      </c>
      <c r="L207" t="b">
        <v>0</v>
      </c>
      <c r="M207" t="b">
        <v>0</v>
      </c>
      <c r="N207" t="b">
        <v>0</v>
      </c>
    </row>
    <row r="208" spans="1:14" x14ac:dyDescent="0.25">
      <c r="A208" s="17" t="s">
        <v>100</v>
      </c>
      <c r="B208" t="s">
        <v>97</v>
      </c>
      <c r="C208" t="s">
        <v>182</v>
      </c>
      <c r="D208">
        <v>359</v>
      </c>
      <c r="E208" s="18">
        <v>0</v>
      </c>
      <c r="F208" t="b">
        <v>1</v>
      </c>
      <c r="G208" s="17" t="s">
        <v>45</v>
      </c>
      <c r="H208" s="17" t="s">
        <v>7</v>
      </c>
      <c r="I208" s="17" t="s">
        <v>175</v>
      </c>
      <c r="J208">
        <v>0</v>
      </c>
      <c r="K208" s="17" t="s">
        <v>77</v>
      </c>
      <c r="L208" t="b">
        <v>0</v>
      </c>
      <c r="M208" t="b">
        <v>0</v>
      </c>
      <c r="N208" t="b">
        <v>0</v>
      </c>
    </row>
    <row r="209" spans="1:14" x14ac:dyDescent="0.25">
      <c r="A209" s="17" t="s">
        <v>100</v>
      </c>
      <c r="B209" t="s">
        <v>98</v>
      </c>
      <c r="C209" t="s">
        <v>182</v>
      </c>
      <c r="D209">
        <v>156</v>
      </c>
      <c r="E209" s="18">
        <v>0</v>
      </c>
      <c r="F209" t="b">
        <v>1</v>
      </c>
      <c r="G209" s="17" t="s">
        <v>46</v>
      </c>
      <c r="H209" s="17" t="s">
        <v>7</v>
      </c>
      <c r="I209" s="17" t="s">
        <v>175</v>
      </c>
      <c r="J209">
        <v>0</v>
      </c>
      <c r="K209" s="17" t="s">
        <v>77</v>
      </c>
      <c r="L209" t="b">
        <v>0</v>
      </c>
      <c r="M209" t="b">
        <v>0</v>
      </c>
      <c r="N209" t="b">
        <v>0</v>
      </c>
    </row>
    <row r="210" spans="1:14" x14ac:dyDescent="0.25">
      <c r="A210" s="17" t="s">
        <v>100</v>
      </c>
      <c r="B210" t="s">
        <v>99</v>
      </c>
      <c r="C210" t="s">
        <v>182</v>
      </c>
      <c r="D210">
        <v>35</v>
      </c>
      <c r="E210" s="18">
        <v>0</v>
      </c>
      <c r="F210" t="b">
        <v>1</v>
      </c>
      <c r="G210" s="17" t="s">
        <v>47</v>
      </c>
      <c r="H210" s="17" t="s">
        <v>7</v>
      </c>
      <c r="I210" s="17" t="s">
        <v>175</v>
      </c>
      <c r="J210">
        <v>0</v>
      </c>
      <c r="K210" s="17" t="s">
        <v>77</v>
      </c>
      <c r="L210" t="b">
        <v>0</v>
      </c>
      <c r="M210" t="b">
        <v>0</v>
      </c>
      <c r="N210" t="b">
        <v>0</v>
      </c>
    </row>
    <row r="211" spans="1:14" x14ac:dyDescent="0.25">
      <c r="A211" s="17" t="s">
        <v>100</v>
      </c>
      <c r="B211" t="s">
        <v>350</v>
      </c>
      <c r="D211" t="s">
        <v>351</v>
      </c>
      <c r="E211" s="18">
        <v>0</v>
      </c>
      <c r="F211" t="b">
        <v>0</v>
      </c>
      <c r="G211" s="17"/>
      <c r="H211" s="17"/>
      <c r="I211" s="17"/>
      <c r="K211" s="17"/>
    </row>
    <row r="212" spans="1:14" x14ac:dyDescent="0.25">
      <c r="A212" s="17" t="s">
        <v>100</v>
      </c>
      <c r="B212" t="s">
        <v>78</v>
      </c>
      <c r="C212" t="s">
        <v>313</v>
      </c>
      <c r="D212">
        <v>50.967979582518161</v>
      </c>
      <c r="E212" s="19">
        <v>46184.485115740739</v>
      </c>
      <c r="F212" t="b">
        <v>1</v>
      </c>
      <c r="G212" s="17" t="s">
        <v>314</v>
      </c>
      <c r="H212" s="17" t="s">
        <v>7</v>
      </c>
      <c r="I212" s="17" t="s">
        <v>209</v>
      </c>
      <c r="J212">
        <v>0</v>
      </c>
      <c r="K212" s="17" t="s">
        <v>77</v>
      </c>
      <c r="L212" t="b">
        <v>0</v>
      </c>
      <c r="M212" t="b">
        <v>0</v>
      </c>
      <c r="N212" t="b">
        <v>0</v>
      </c>
    </row>
    <row r="213" spans="1:14" x14ac:dyDescent="0.25">
      <c r="A213" s="17" t="s">
        <v>100</v>
      </c>
      <c r="B213" t="s">
        <v>79</v>
      </c>
      <c r="C213" t="s">
        <v>313</v>
      </c>
      <c r="D213">
        <v>120.21245566186201</v>
      </c>
      <c r="E213" s="19">
        <v>46184.485243055555</v>
      </c>
      <c r="F213" t="b">
        <v>1</v>
      </c>
      <c r="G213" s="17" t="s">
        <v>315</v>
      </c>
      <c r="H213" s="17" t="s">
        <v>7</v>
      </c>
      <c r="I213" s="17" t="s">
        <v>209</v>
      </c>
      <c r="J213">
        <v>0</v>
      </c>
      <c r="K213" s="17" t="s">
        <v>77</v>
      </c>
      <c r="L213" t="b">
        <v>0</v>
      </c>
      <c r="M213" t="b">
        <v>0</v>
      </c>
      <c r="N213" t="b">
        <v>0</v>
      </c>
    </row>
    <row r="214" spans="1:14" x14ac:dyDescent="0.25">
      <c r="A214" s="17" t="s">
        <v>100</v>
      </c>
      <c r="B214" t="s">
        <v>80</v>
      </c>
      <c r="C214" t="s">
        <v>313</v>
      </c>
      <c r="D214">
        <v>58.553707089085371</v>
      </c>
      <c r="E214" s="19">
        <v>46184.485347222224</v>
      </c>
      <c r="F214" t="b">
        <v>1</v>
      </c>
      <c r="G214" s="17" t="s">
        <v>316</v>
      </c>
      <c r="H214" s="17" t="s">
        <v>7</v>
      </c>
      <c r="I214" s="17" t="s">
        <v>209</v>
      </c>
      <c r="J214">
        <v>0</v>
      </c>
      <c r="K214" s="17" t="s">
        <v>77</v>
      </c>
      <c r="L214" t="b">
        <v>0</v>
      </c>
      <c r="M214" t="b">
        <v>0</v>
      </c>
      <c r="N214" t="b">
        <v>0</v>
      </c>
    </row>
    <row r="215" spans="1:14" x14ac:dyDescent="0.25">
      <c r="A215" s="17" t="s">
        <v>100</v>
      </c>
      <c r="B215" t="s">
        <v>81</v>
      </c>
      <c r="C215" t="s">
        <v>313</v>
      </c>
      <c r="D215">
        <v>65.579758001123139</v>
      </c>
      <c r="E215" s="19">
        <v>46184.485462962963</v>
      </c>
      <c r="F215" t="b">
        <v>1</v>
      </c>
      <c r="G215" s="17" t="s">
        <v>317</v>
      </c>
      <c r="H215" s="17" t="s">
        <v>7</v>
      </c>
      <c r="I215" s="17" t="s">
        <v>209</v>
      </c>
      <c r="J215">
        <v>0</v>
      </c>
      <c r="K215" s="17" t="s">
        <v>77</v>
      </c>
      <c r="L215" t="b">
        <v>0</v>
      </c>
      <c r="M215" t="b">
        <v>0</v>
      </c>
      <c r="N215" t="b">
        <v>0</v>
      </c>
    </row>
    <row r="216" spans="1:14" x14ac:dyDescent="0.25">
      <c r="A216" s="17" t="s">
        <v>100</v>
      </c>
      <c r="B216" t="s">
        <v>82</v>
      </c>
      <c r="C216" t="s">
        <v>313</v>
      </c>
      <c r="D216">
        <v>77.833862631324294</v>
      </c>
      <c r="E216" s="19">
        <v>46184.485555555555</v>
      </c>
      <c r="F216" t="b">
        <v>1</v>
      </c>
      <c r="G216" s="17" t="s">
        <v>318</v>
      </c>
      <c r="H216" s="17" t="s">
        <v>7</v>
      </c>
      <c r="I216" s="17" t="s">
        <v>209</v>
      </c>
      <c r="J216">
        <v>0</v>
      </c>
      <c r="K216" s="17" t="s">
        <v>77</v>
      </c>
      <c r="L216" t="b">
        <v>0</v>
      </c>
      <c r="M216" t="b">
        <v>0</v>
      </c>
      <c r="N216" t="b">
        <v>0</v>
      </c>
    </row>
    <row r="217" spans="1:14" x14ac:dyDescent="0.25">
      <c r="A217" s="17" t="s">
        <v>100</v>
      </c>
      <c r="B217" t="s">
        <v>83</v>
      </c>
      <c r="C217" t="s">
        <v>313</v>
      </c>
      <c r="D217">
        <v>30.054561207357068</v>
      </c>
      <c r="E217" s="19">
        <v>46184.485648148147</v>
      </c>
      <c r="F217" t="b">
        <v>1</v>
      </c>
      <c r="G217" s="17" t="s">
        <v>319</v>
      </c>
      <c r="H217" s="17" t="s">
        <v>7</v>
      </c>
      <c r="I217" s="17" t="s">
        <v>209</v>
      </c>
      <c r="J217">
        <v>0</v>
      </c>
      <c r="K217" s="17" t="s">
        <v>77</v>
      </c>
      <c r="L217" t="b">
        <v>0</v>
      </c>
      <c r="M217" t="b">
        <v>0</v>
      </c>
      <c r="N217" t="b">
        <v>0</v>
      </c>
    </row>
    <row r="218" spans="1:14" x14ac:dyDescent="0.25">
      <c r="A218" s="17" t="s">
        <v>100</v>
      </c>
      <c r="B218" t="s">
        <v>76</v>
      </c>
      <c r="C218" t="s">
        <v>313</v>
      </c>
      <c r="D218">
        <v>68.336249781639438</v>
      </c>
      <c r="E218" s="19">
        <v>46184.485752314817</v>
      </c>
      <c r="F218" t="b">
        <v>1</v>
      </c>
      <c r="G218" s="17" t="s">
        <v>320</v>
      </c>
      <c r="H218" s="17" t="s">
        <v>7</v>
      </c>
      <c r="I218" s="17" t="s">
        <v>209</v>
      </c>
      <c r="J218">
        <v>0</v>
      </c>
      <c r="K218" s="17" t="s">
        <v>77</v>
      </c>
      <c r="L218" t="b">
        <v>0</v>
      </c>
      <c r="M218" t="b">
        <v>0</v>
      </c>
      <c r="N218" t="b">
        <v>0</v>
      </c>
    </row>
    <row r="219" spans="1:14" x14ac:dyDescent="0.25">
      <c r="A219" s="17" t="s">
        <v>100</v>
      </c>
      <c r="B219" t="s">
        <v>84</v>
      </c>
      <c r="C219" t="s">
        <v>273</v>
      </c>
      <c r="D219">
        <v>43.611058577426</v>
      </c>
      <c r="E219" s="19">
        <v>46184.486354166664</v>
      </c>
      <c r="F219" t="b">
        <v>1</v>
      </c>
      <c r="G219" s="17" t="s">
        <v>322</v>
      </c>
      <c r="H219" s="17" t="s">
        <v>7</v>
      </c>
      <c r="I219" s="17" t="s">
        <v>271</v>
      </c>
      <c r="J219">
        <v>0</v>
      </c>
      <c r="K219" s="17" t="s">
        <v>77</v>
      </c>
      <c r="L219" t="b">
        <v>0</v>
      </c>
      <c r="M219" t="b">
        <v>0</v>
      </c>
      <c r="N219" t="b">
        <v>0</v>
      </c>
    </row>
    <row r="220" spans="1:14" x14ac:dyDescent="0.25">
      <c r="A220" s="17" t="s">
        <v>100</v>
      </c>
      <c r="B220" t="s">
        <v>95</v>
      </c>
      <c r="C220" t="s">
        <v>182</v>
      </c>
      <c r="D220">
        <v>-0.67179062000018097</v>
      </c>
      <c r="E220" s="19">
        <v>46184.492569444446</v>
      </c>
      <c r="F220" t="b">
        <v>1</v>
      </c>
      <c r="G220" s="17" t="s">
        <v>362</v>
      </c>
      <c r="H220" s="17" t="s">
        <v>7</v>
      </c>
      <c r="I220" s="17" t="s">
        <v>175</v>
      </c>
      <c r="J220">
        <v>0</v>
      </c>
      <c r="K220" s="17" t="s">
        <v>77</v>
      </c>
      <c r="L220" t="b">
        <v>0</v>
      </c>
      <c r="M220" t="b">
        <v>0</v>
      </c>
      <c r="N220" t="b">
        <v>0</v>
      </c>
    </row>
    <row r="221" spans="1:14" x14ac:dyDescent="0.25">
      <c r="A221" s="17" t="s">
        <v>100</v>
      </c>
      <c r="B221" t="s">
        <v>365</v>
      </c>
      <c r="C221" t="s">
        <v>182</v>
      </c>
      <c r="D221">
        <v>330</v>
      </c>
      <c r="E221" s="19">
        <v>46185.440833333334</v>
      </c>
      <c r="F221" t="b">
        <v>1</v>
      </c>
      <c r="G221" s="17" t="s">
        <v>43</v>
      </c>
      <c r="H221" s="17" t="s">
        <v>7</v>
      </c>
      <c r="I221" s="17" t="s">
        <v>175</v>
      </c>
      <c r="J221">
        <v>0</v>
      </c>
      <c r="K221" s="17" t="s">
        <v>77</v>
      </c>
      <c r="L221" t="b">
        <v>0</v>
      </c>
      <c r="M221" t="b">
        <v>0</v>
      </c>
      <c r="N221" t="b">
        <v>0</v>
      </c>
    </row>
    <row r="222" spans="1:14" x14ac:dyDescent="0.25">
      <c r="A222" s="17" t="s">
        <v>101</v>
      </c>
      <c r="B222" t="s">
        <v>85</v>
      </c>
      <c r="C222" t="s">
        <v>182</v>
      </c>
      <c r="D222">
        <v>68.2747845747502</v>
      </c>
      <c r="E222" s="19">
        <v>46181.43472222222</v>
      </c>
      <c r="F222" t="b">
        <v>1</v>
      </c>
      <c r="G222" s="17" t="s">
        <v>164</v>
      </c>
      <c r="H222" s="17" t="s">
        <v>7</v>
      </c>
      <c r="I222" s="17" t="s">
        <v>175</v>
      </c>
      <c r="J222">
        <v>0</v>
      </c>
      <c r="K222" s="17" t="s">
        <v>77</v>
      </c>
      <c r="L222" t="b">
        <v>0</v>
      </c>
      <c r="M222" t="b">
        <v>0</v>
      </c>
      <c r="N222" t="b">
        <v>0</v>
      </c>
    </row>
    <row r="223" spans="1:14" x14ac:dyDescent="0.25">
      <c r="A223" s="17" t="s">
        <v>101</v>
      </c>
      <c r="B223" t="s">
        <v>87</v>
      </c>
      <c r="C223" t="s">
        <v>182</v>
      </c>
      <c r="D223">
        <v>0.69676277490104199</v>
      </c>
      <c r="E223" s="19">
        <v>46181.434733796297</v>
      </c>
      <c r="F223" t="b">
        <v>1</v>
      </c>
      <c r="G223" s="17" t="s">
        <v>165</v>
      </c>
      <c r="H223" s="17" t="s">
        <v>7</v>
      </c>
      <c r="I223" s="17" t="s">
        <v>175</v>
      </c>
      <c r="J223">
        <v>0</v>
      </c>
      <c r="K223" s="17" t="s">
        <v>77</v>
      </c>
      <c r="L223" t="b">
        <v>0</v>
      </c>
      <c r="M223" t="b">
        <v>0</v>
      </c>
      <c r="N223" t="b">
        <v>0</v>
      </c>
    </row>
    <row r="224" spans="1:14" x14ac:dyDescent="0.25">
      <c r="A224" s="17" t="s">
        <v>101</v>
      </c>
      <c r="B224" t="s">
        <v>89</v>
      </c>
      <c r="C224" t="s">
        <v>182</v>
      </c>
      <c r="D224">
        <v>80.896181538461505</v>
      </c>
      <c r="E224" s="19">
        <v>46181.434733796297</v>
      </c>
      <c r="F224" t="b">
        <v>1</v>
      </c>
      <c r="G224" s="17" t="s">
        <v>166</v>
      </c>
      <c r="H224" s="17" t="s">
        <v>7</v>
      </c>
      <c r="I224" s="17" t="s">
        <v>175</v>
      </c>
      <c r="J224">
        <v>0</v>
      </c>
      <c r="K224" s="17" t="s">
        <v>77</v>
      </c>
      <c r="L224" t="b">
        <v>0</v>
      </c>
      <c r="M224" t="b">
        <v>0</v>
      </c>
      <c r="N224" t="b">
        <v>0</v>
      </c>
    </row>
    <row r="225" spans="1:14" x14ac:dyDescent="0.25">
      <c r="A225" s="17" t="s">
        <v>101</v>
      </c>
      <c r="B225" t="s">
        <v>91</v>
      </c>
      <c r="C225" t="s">
        <v>182</v>
      </c>
      <c r="D225">
        <v>0.3</v>
      </c>
      <c r="E225" s="19">
        <v>46181.434733796297</v>
      </c>
      <c r="F225" t="b">
        <v>1</v>
      </c>
      <c r="G225" s="17" t="s">
        <v>167</v>
      </c>
      <c r="H225" s="17" t="s">
        <v>7</v>
      </c>
      <c r="I225" s="17" t="s">
        <v>175</v>
      </c>
      <c r="J225">
        <v>0</v>
      </c>
      <c r="K225" s="17" t="s">
        <v>77</v>
      </c>
      <c r="L225" t="b">
        <v>0</v>
      </c>
      <c r="M225" t="b">
        <v>0</v>
      </c>
      <c r="N225" t="b">
        <v>0</v>
      </c>
    </row>
    <row r="226" spans="1:14" x14ac:dyDescent="0.25">
      <c r="A226" s="17" t="s">
        <v>101</v>
      </c>
      <c r="B226" t="s">
        <v>93</v>
      </c>
      <c r="C226" t="s">
        <v>182</v>
      </c>
      <c r="D226">
        <v>0.20789577611610899</v>
      </c>
      <c r="E226" s="19">
        <v>46181.434745370374</v>
      </c>
      <c r="F226" t="b">
        <v>1</v>
      </c>
      <c r="G226" s="17" t="s">
        <v>168</v>
      </c>
      <c r="H226" s="17" t="s">
        <v>7</v>
      </c>
      <c r="I226" s="17" t="s">
        <v>175</v>
      </c>
      <c r="J226">
        <v>0</v>
      </c>
      <c r="K226" s="17" t="s">
        <v>77</v>
      </c>
      <c r="L226" t="b">
        <v>0</v>
      </c>
      <c r="M226" t="b">
        <v>0</v>
      </c>
      <c r="N226" t="b">
        <v>0</v>
      </c>
    </row>
    <row r="227" spans="1:14" x14ac:dyDescent="0.25">
      <c r="A227" s="17" t="s">
        <v>101</v>
      </c>
      <c r="B227" t="s">
        <v>96</v>
      </c>
      <c r="C227" t="s">
        <v>182</v>
      </c>
      <c r="D227">
        <v>85</v>
      </c>
      <c r="E227" s="18">
        <v>0</v>
      </c>
      <c r="F227" t="b">
        <v>1</v>
      </c>
      <c r="G227" s="17" t="s">
        <v>44</v>
      </c>
      <c r="H227" s="17" t="s">
        <v>7</v>
      </c>
      <c r="I227" s="17" t="s">
        <v>175</v>
      </c>
      <c r="J227">
        <v>0</v>
      </c>
      <c r="K227" s="17" t="s">
        <v>77</v>
      </c>
      <c r="L227" t="b">
        <v>0</v>
      </c>
      <c r="M227" t="b">
        <v>0</v>
      </c>
      <c r="N227" t="b">
        <v>0</v>
      </c>
    </row>
    <row r="228" spans="1:14" x14ac:dyDescent="0.25">
      <c r="A228" s="17" t="s">
        <v>101</v>
      </c>
      <c r="B228" t="s">
        <v>97</v>
      </c>
      <c r="C228" t="s">
        <v>182</v>
      </c>
      <c r="D228">
        <v>359</v>
      </c>
      <c r="E228" s="18">
        <v>0</v>
      </c>
      <c r="F228" t="b">
        <v>1</v>
      </c>
      <c r="G228" s="17" t="s">
        <v>45</v>
      </c>
      <c r="H228" s="17" t="s">
        <v>7</v>
      </c>
      <c r="I228" s="17" t="s">
        <v>175</v>
      </c>
      <c r="J228">
        <v>0</v>
      </c>
      <c r="K228" s="17" t="s">
        <v>77</v>
      </c>
      <c r="L228" t="b">
        <v>0</v>
      </c>
      <c r="M228" t="b">
        <v>0</v>
      </c>
      <c r="N228" t="b">
        <v>0</v>
      </c>
    </row>
    <row r="229" spans="1:14" x14ac:dyDescent="0.25">
      <c r="A229" s="17" t="s">
        <v>101</v>
      </c>
      <c r="B229" t="s">
        <v>98</v>
      </c>
      <c r="C229" t="s">
        <v>182</v>
      </c>
      <c r="D229">
        <v>156</v>
      </c>
      <c r="E229" s="18">
        <v>0</v>
      </c>
      <c r="F229" t="b">
        <v>1</v>
      </c>
      <c r="G229" s="17" t="s">
        <v>46</v>
      </c>
      <c r="H229" s="17" t="s">
        <v>7</v>
      </c>
      <c r="I229" s="17" t="s">
        <v>175</v>
      </c>
      <c r="J229">
        <v>0</v>
      </c>
      <c r="K229" s="17" t="s">
        <v>77</v>
      </c>
      <c r="L229" t="b">
        <v>0</v>
      </c>
      <c r="M229" t="b">
        <v>0</v>
      </c>
      <c r="N229" t="b">
        <v>0</v>
      </c>
    </row>
    <row r="230" spans="1:14" x14ac:dyDescent="0.25">
      <c r="A230" s="17" t="s">
        <v>101</v>
      </c>
      <c r="B230" t="s">
        <v>99</v>
      </c>
      <c r="C230" t="s">
        <v>182</v>
      </c>
      <c r="D230">
        <v>35</v>
      </c>
      <c r="E230" s="18">
        <v>0</v>
      </c>
      <c r="F230" t="b">
        <v>1</v>
      </c>
      <c r="G230" s="17" t="s">
        <v>47</v>
      </c>
      <c r="H230" s="17" t="s">
        <v>7</v>
      </c>
      <c r="I230" s="17" t="s">
        <v>175</v>
      </c>
      <c r="J230">
        <v>0</v>
      </c>
      <c r="K230" s="17" t="s">
        <v>77</v>
      </c>
      <c r="L230" t="b">
        <v>0</v>
      </c>
      <c r="M230" t="b">
        <v>0</v>
      </c>
      <c r="N230" t="b">
        <v>0</v>
      </c>
    </row>
    <row r="231" spans="1:14" x14ac:dyDescent="0.25">
      <c r="A231" s="17" t="s">
        <v>101</v>
      </c>
      <c r="B231" t="s">
        <v>350</v>
      </c>
      <c r="D231" t="s">
        <v>351</v>
      </c>
      <c r="E231" s="18">
        <v>0</v>
      </c>
      <c r="F231" t="b">
        <v>0</v>
      </c>
      <c r="G231" s="17"/>
      <c r="H231" s="17"/>
      <c r="I231" s="17"/>
      <c r="K231" s="17"/>
    </row>
    <row r="232" spans="1:14" x14ac:dyDescent="0.25">
      <c r="A232" s="17" t="s">
        <v>101</v>
      </c>
      <c r="B232" t="s">
        <v>78</v>
      </c>
      <c r="C232" t="s">
        <v>325</v>
      </c>
      <c r="D232">
        <v>50.967979582518161</v>
      </c>
      <c r="E232" s="19">
        <v>46184.487986111111</v>
      </c>
      <c r="F232" t="b">
        <v>1</v>
      </c>
      <c r="G232" s="17" t="s">
        <v>326</v>
      </c>
      <c r="H232" s="17" t="s">
        <v>7</v>
      </c>
      <c r="I232" s="17" t="s">
        <v>321</v>
      </c>
      <c r="J232">
        <v>0</v>
      </c>
      <c r="K232" s="17" t="s">
        <v>77</v>
      </c>
      <c r="L232" t="b">
        <v>0</v>
      </c>
      <c r="M232" t="b">
        <v>0</v>
      </c>
      <c r="N232" t="b">
        <v>0</v>
      </c>
    </row>
    <row r="233" spans="1:14" x14ac:dyDescent="0.25">
      <c r="A233" s="17" t="s">
        <v>101</v>
      </c>
      <c r="B233" t="s">
        <v>79</v>
      </c>
      <c r="C233" t="s">
        <v>325</v>
      </c>
      <c r="D233">
        <v>120.21245566186201</v>
      </c>
      <c r="E233" s="19">
        <v>46184.48809027778</v>
      </c>
      <c r="F233" t="b">
        <v>1</v>
      </c>
      <c r="G233" s="17" t="s">
        <v>327</v>
      </c>
      <c r="H233" s="17" t="s">
        <v>7</v>
      </c>
      <c r="I233" s="17" t="s">
        <v>321</v>
      </c>
      <c r="J233">
        <v>0</v>
      </c>
      <c r="K233" s="17" t="s">
        <v>77</v>
      </c>
      <c r="L233" t="b">
        <v>0</v>
      </c>
      <c r="M233" t="b">
        <v>0</v>
      </c>
      <c r="N233" t="b">
        <v>0</v>
      </c>
    </row>
    <row r="234" spans="1:14" x14ac:dyDescent="0.25">
      <c r="A234" s="17" t="s">
        <v>101</v>
      </c>
      <c r="B234" t="s">
        <v>80</v>
      </c>
      <c r="C234" t="s">
        <v>325</v>
      </c>
      <c r="D234">
        <v>58.553707089085371</v>
      </c>
      <c r="E234" s="19">
        <v>46184.488194444442</v>
      </c>
      <c r="F234" t="b">
        <v>1</v>
      </c>
      <c r="G234" s="17" t="s">
        <v>328</v>
      </c>
      <c r="H234" s="17" t="s">
        <v>7</v>
      </c>
      <c r="I234" s="17" t="s">
        <v>321</v>
      </c>
      <c r="J234">
        <v>0</v>
      </c>
      <c r="K234" s="17" t="s">
        <v>77</v>
      </c>
      <c r="L234" t="b">
        <v>0</v>
      </c>
      <c r="M234" t="b">
        <v>0</v>
      </c>
      <c r="N234" t="b">
        <v>0</v>
      </c>
    </row>
    <row r="235" spans="1:14" x14ac:dyDescent="0.25">
      <c r="A235" s="17" t="s">
        <v>101</v>
      </c>
      <c r="B235" t="s">
        <v>81</v>
      </c>
      <c r="C235" t="s">
        <v>325</v>
      </c>
      <c r="D235">
        <v>65.579758001123139</v>
      </c>
      <c r="E235" s="19">
        <v>46184.488310185188</v>
      </c>
      <c r="F235" t="b">
        <v>1</v>
      </c>
      <c r="G235" s="17" t="s">
        <v>329</v>
      </c>
      <c r="H235" s="17" t="s">
        <v>7</v>
      </c>
      <c r="I235" s="17" t="s">
        <v>321</v>
      </c>
      <c r="J235">
        <v>0</v>
      </c>
      <c r="K235" s="17" t="s">
        <v>77</v>
      </c>
      <c r="L235" t="b">
        <v>0</v>
      </c>
      <c r="M235" t="b">
        <v>0</v>
      </c>
      <c r="N235" t="b">
        <v>0</v>
      </c>
    </row>
    <row r="236" spans="1:14" x14ac:dyDescent="0.25">
      <c r="A236" s="17" t="s">
        <v>101</v>
      </c>
      <c r="B236" t="s">
        <v>82</v>
      </c>
      <c r="C236" t="s">
        <v>325</v>
      </c>
      <c r="D236">
        <v>77.833862631324294</v>
      </c>
      <c r="E236" s="19">
        <v>46184.48841435185</v>
      </c>
      <c r="F236" t="b">
        <v>1</v>
      </c>
      <c r="G236" s="17" t="s">
        <v>330</v>
      </c>
      <c r="H236" s="17" t="s">
        <v>7</v>
      </c>
      <c r="I236" s="17" t="s">
        <v>321</v>
      </c>
      <c r="J236">
        <v>0</v>
      </c>
      <c r="K236" s="17" t="s">
        <v>77</v>
      </c>
      <c r="L236" t="b">
        <v>0</v>
      </c>
      <c r="M236" t="b">
        <v>0</v>
      </c>
      <c r="N236" t="b">
        <v>0</v>
      </c>
    </row>
    <row r="237" spans="1:14" x14ac:dyDescent="0.25">
      <c r="A237" s="17" t="s">
        <v>101</v>
      </c>
      <c r="B237" t="s">
        <v>83</v>
      </c>
      <c r="C237" t="s">
        <v>325</v>
      </c>
      <c r="D237">
        <v>30.054561207357068</v>
      </c>
      <c r="E237" s="19">
        <v>46184.488518518519</v>
      </c>
      <c r="F237" t="b">
        <v>1</v>
      </c>
      <c r="G237" s="17" t="s">
        <v>331</v>
      </c>
      <c r="H237" s="17" t="s">
        <v>7</v>
      </c>
      <c r="I237" s="17" t="s">
        <v>321</v>
      </c>
      <c r="J237">
        <v>0</v>
      </c>
      <c r="K237" s="17" t="s">
        <v>77</v>
      </c>
      <c r="L237" t="b">
        <v>0</v>
      </c>
      <c r="M237" t="b">
        <v>0</v>
      </c>
      <c r="N237" t="b">
        <v>0</v>
      </c>
    </row>
    <row r="238" spans="1:14" x14ac:dyDescent="0.25">
      <c r="A238" s="17" t="s">
        <v>101</v>
      </c>
      <c r="B238" t="s">
        <v>76</v>
      </c>
      <c r="C238" t="s">
        <v>325</v>
      </c>
      <c r="D238">
        <v>68.336249781639438</v>
      </c>
      <c r="E238" s="19">
        <v>46184.488622685189</v>
      </c>
      <c r="F238" t="b">
        <v>1</v>
      </c>
      <c r="G238" s="17" t="s">
        <v>332</v>
      </c>
      <c r="H238" s="17" t="s">
        <v>7</v>
      </c>
      <c r="I238" s="17" t="s">
        <v>321</v>
      </c>
      <c r="J238">
        <v>0</v>
      </c>
      <c r="K238" s="17" t="s">
        <v>77</v>
      </c>
      <c r="L238" t="b">
        <v>0</v>
      </c>
      <c r="M238" t="b">
        <v>0</v>
      </c>
      <c r="N238" t="b">
        <v>0</v>
      </c>
    </row>
    <row r="239" spans="1:14" x14ac:dyDescent="0.25">
      <c r="A239" s="17" t="s">
        <v>101</v>
      </c>
      <c r="B239" t="s">
        <v>84</v>
      </c>
      <c r="C239" t="s">
        <v>273</v>
      </c>
      <c r="D239">
        <v>43.611058577426</v>
      </c>
      <c r="E239" s="19">
        <v>46184.488935185182</v>
      </c>
      <c r="F239" t="b">
        <v>1</v>
      </c>
      <c r="G239" s="17" t="s">
        <v>335</v>
      </c>
      <c r="H239" s="17" t="s">
        <v>7</v>
      </c>
      <c r="I239" s="17" t="s">
        <v>271</v>
      </c>
      <c r="J239">
        <v>0</v>
      </c>
      <c r="K239" s="17" t="s">
        <v>77</v>
      </c>
      <c r="L239" t="b">
        <v>0</v>
      </c>
      <c r="M239" t="b">
        <v>0</v>
      </c>
      <c r="N239" t="b">
        <v>0</v>
      </c>
    </row>
    <row r="240" spans="1:14" x14ac:dyDescent="0.25">
      <c r="A240" s="17" t="s">
        <v>101</v>
      </c>
      <c r="B240" t="s">
        <v>95</v>
      </c>
      <c r="C240" t="s">
        <v>182</v>
      </c>
      <c r="D240">
        <v>-0.67179062000018097</v>
      </c>
      <c r="E240" s="19">
        <v>46184.492511574077</v>
      </c>
      <c r="F240" t="b">
        <v>1</v>
      </c>
      <c r="G240" s="17" t="s">
        <v>363</v>
      </c>
      <c r="H240" s="17" t="s">
        <v>7</v>
      </c>
      <c r="I240" s="17" t="s">
        <v>175</v>
      </c>
      <c r="J240">
        <v>0</v>
      </c>
      <c r="K240" s="17" t="s">
        <v>77</v>
      </c>
      <c r="L240" t="b">
        <v>0</v>
      </c>
      <c r="M240" t="b">
        <v>0</v>
      </c>
      <c r="N240" t="b">
        <v>0</v>
      </c>
    </row>
    <row r="241" spans="1:14" x14ac:dyDescent="0.25">
      <c r="A241" s="17" t="s">
        <v>101</v>
      </c>
      <c r="B241" t="s">
        <v>365</v>
      </c>
      <c r="C241" t="s">
        <v>182</v>
      </c>
      <c r="D241">
        <v>330</v>
      </c>
      <c r="E241" s="19">
        <v>46185.44090277778</v>
      </c>
      <c r="F241" t="b">
        <v>1</v>
      </c>
      <c r="G241" s="17" t="s">
        <v>43</v>
      </c>
      <c r="H241" s="17" t="s">
        <v>7</v>
      </c>
      <c r="I241" s="17" t="s">
        <v>175</v>
      </c>
      <c r="J241">
        <v>0</v>
      </c>
      <c r="K241" s="17" t="s">
        <v>77</v>
      </c>
      <c r="L241" t="b">
        <v>0</v>
      </c>
      <c r="M241" t="b">
        <v>0</v>
      </c>
      <c r="N241" t="b">
        <v>0</v>
      </c>
    </row>
    <row r="242" spans="1:14" x14ac:dyDescent="0.25">
      <c r="A242" s="17" t="s">
        <v>102</v>
      </c>
      <c r="B242" t="s">
        <v>85</v>
      </c>
      <c r="C242" t="s">
        <v>182</v>
      </c>
      <c r="D242">
        <v>68.274785869470605</v>
      </c>
      <c r="E242" s="19">
        <v>46181.434803240743</v>
      </c>
      <c r="F242" t="b">
        <v>1</v>
      </c>
      <c r="G242" s="17" t="s">
        <v>169</v>
      </c>
      <c r="H242" s="17" t="s">
        <v>7</v>
      </c>
      <c r="I242" s="17" t="s">
        <v>175</v>
      </c>
      <c r="J242">
        <v>0</v>
      </c>
      <c r="K242" s="17" t="s">
        <v>77</v>
      </c>
      <c r="L242" t="b">
        <v>0</v>
      </c>
      <c r="M242" t="b">
        <v>0</v>
      </c>
      <c r="N242" t="b">
        <v>0</v>
      </c>
    </row>
    <row r="243" spans="1:14" x14ac:dyDescent="0.25">
      <c r="A243" s="17" t="s">
        <v>102</v>
      </c>
      <c r="B243" t="s">
        <v>87</v>
      </c>
      <c r="C243" t="s">
        <v>182</v>
      </c>
      <c r="D243">
        <v>0.69676277490104199</v>
      </c>
      <c r="E243" s="19">
        <v>46181.434803240743</v>
      </c>
      <c r="F243" t="b">
        <v>1</v>
      </c>
      <c r="G243" s="17" t="s">
        <v>170</v>
      </c>
      <c r="H243" s="17" t="s">
        <v>7</v>
      </c>
      <c r="I243" s="17" t="s">
        <v>175</v>
      </c>
      <c r="J243">
        <v>0</v>
      </c>
      <c r="K243" s="17" t="s">
        <v>77</v>
      </c>
      <c r="L243" t="b">
        <v>0</v>
      </c>
      <c r="M243" t="b">
        <v>0</v>
      </c>
      <c r="N243" t="b">
        <v>0</v>
      </c>
    </row>
    <row r="244" spans="1:14" x14ac:dyDescent="0.25">
      <c r="A244" s="17" t="s">
        <v>102</v>
      </c>
      <c r="B244" t="s">
        <v>89</v>
      </c>
      <c r="C244" t="s">
        <v>182</v>
      </c>
      <c r="D244">
        <v>80.896181538461505</v>
      </c>
      <c r="E244" s="19">
        <v>46181.434814814813</v>
      </c>
      <c r="F244" t="b">
        <v>1</v>
      </c>
      <c r="G244" s="17" t="s">
        <v>171</v>
      </c>
      <c r="H244" s="17" t="s">
        <v>7</v>
      </c>
      <c r="I244" s="17" t="s">
        <v>175</v>
      </c>
      <c r="J244">
        <v>0</v>
      </c>
      <c r="K244" s="17" t="s">
        <v>77</v>
      </c>
      <c r="L244" t="b">
        <v>0</v>
      </c>
      <c r="M244" t="b">
        <v>0</v>
      </c>
      <c r="N244" t="b">
        <v>0</v>
      </c>
    </row>
    <row r="245" spans="1:14" x14ac:dyDescent="0.25">
      <c r="A245" s="17" t="s">
        <v>102</v>
      </c>
      <c r="B245" t="s">
        <v>91</v>
      </c>
      <c r="C245" t="s">
        <v>182</v>
      </c>
      <c r="D245">
        <v>0.3</v>
      </c>
      <c r="E245" s="19">
        <v>46181.434814814813</v>
      </c>
      <c r="F245" t="b">
        <v>1</v>
      </c>
      <c r="G245" s="17" t="s">
        <v>172</v>
      </c>
      <c r="H245" s="17" t="s">
        <v>7</v>
      </c>
      <c r="I245" s="17" t="s">
        <v>175</v>
      </c>
      <c r="J245">
        <v>0</v>
      </c>
      <c r="K245" s="17" t="s">
        <v>77</v>
      </c>
      <c r="L245" t="b">
        <v>0</v>
      </c>
      <c r="M245" t="b">
        <v>0</v>
      </c>
      <c r="N245" t="b">
        <v>0</v>
      </c>
    </row>
    <row r="246" spans="1:14" x14ac:dyDescent="0.25">
      <c r="A246" s="17" t="s">
        <v>102</v>
      </c>
      <c r="B246" t="s">
        <v>93</v>
      </c>
      <c r="C246" t="s">
        <v>182</v>
      </c>
      <c r="D246">
        <v>0.118309818208218</v>
      </c>
      <c r="E246" s="19">
        <v>46181.43482638889</v>
      </c>
      <c r="F246" t="b">
        <v>1</v>
      </c>
      <c r="G246" s="17" t="s">
        <v>173</v>
      </c>
      <c r="H246" s="17" t="s">
        <v>7</v>
      </c>
      <c r="I246" s="17" t="s">
        <v>175</v>
      </c>
      <c r="J246">
        <v>0</v>
      </c>
      <c r="K246" s="17" t="s">
        <v>77</v>
      </c>
      <c r="L246" t="b">
        <v>0</v>
      </c>
      <c r="M246" t="b">
        <v>0</v>
      </c>
      <c r="N246" t="b">
        <v>0</v>
      </c>
    </row>
    <row r="247" spans="1:14" x14ac:dyDescent="0.25">
      <c r="A247" s="17" t="s">
        <v>102</v>
      </c>
      <c r="B247" t="s">
        <v>96</v>
      </c>
      <c r="C247" t="s">
        <v>182</v>
      </c>
      <c r="D247">
        <v>85</v>
      </c>
      <c r="E247" s="18">
        <v>0</v>
      </c>
      <c r="F247" t="b">
        <v>1</v>
      </c>
      <c r="G247" s="17" t="s">
        <v>44</v>
      </c>
      <c r="H247" s="17" t="s">
        <v>7</v>
      </c>
      <c r="I247" s="17" t="s">
        <v>175</v>
      </c>
      <c r="J247">
        <v>0</v>
      </c>
      <c r="K247" s="17" t="s">
        <v>77</v>
      </c>
      <c r="L247" t="b">
        <v>0</v>
      </c>
      <c r="M247" t="b">
        <v>0</v>
      </c>
      <c r="N247" t="b">
        <v>0</v>
      </c>
    </row>
    <row r="248" spans="1:14" x14ac:dyDescent="0.25">
      <c r="A248" s="17" t="s">
        <v>102</v>
      </c>
      <c r="B248" t="s">
        <v>97</v>
      </c>
      <c r="C248" t="s">
        <v>182</v>
      </c>
      <c r="D248">
        <v>359</v>
      </c>
      <c r="E248" s="18">
        <v>0</v>
      </c>
      <c r="F248" t="b">
        <v>1</v>
      </c>
      <c r="G248" s="17" t="s">
        <v>45</v>
      </c>
      <c r="H248" s="17" t="s">
        <v>7</v>
      </c>
      <c r="I248" s="17" t="s">
        <v>175</v>
      </c>
      <c r="J248">
        <v>0</v>
      </c>
      <c r="K248" s="17" t="s">
        <v>77</v>
      </c>
      <c r="L248" t="b">
        <v>0</v>
      </c>
      <c r="M248" t="b">
        <v>0</v>
      </c>
      <c r="N248" t="b">
        <v>0</v>
      </c>
    </row>
    <row r="249" spans="1:14" x14ac:dyDescent="0.25">
      <c r="A249" s="17" t="s">
        <v>102</v>
      </c>
      <c r="B249" t="s">
        <v>98</v>
      </c>
      <c r="C249" t="s">
        <v>182</v>
      </c>
      <c r="D249">
        <v>156</v>
      </c>
      <c r="E249" s="18">
        <v>0</v>
      </c>
      <c r="F249" t="b">
        <v>1</v>
      </c>
      <c r="G249" s="17" t="s">
        <v>46</v>
      </c>
      <c r="H249" s="17" t="s">
        <v>7</v>
      </c>
      <c r="I249" s="17" t="s">
        <v>175</v>
      </c>
      <c r="J249">
        <v>0</v>
      </c>
      <c r="K249" s="17" t="s">
        <v>77</v>
      </c>
      <c r="L249" t="b">
        <v>0</v>
      </c>
      <c r="M249" t="b">
        <v>0</v>
      </c>
      <c r="N249" t="b">
        <v>0</v>
      </c>
    </row>
    <row r="250" spans="1:14" x14ac:dyDescent="0.25">
      <c r="A250" s="17" t="s">
        <v>102</v>
      </c>
      <c r="B250" t="s">
        <v>99</v>
      </c>
      <c r="C250" t="s">
        <v>182</v>
      </c>
      <c r="D250">
        <v>35</v>
      </c>
      <c r="E250" s="18">
        <v>0</v>
      </c>
      <c r="F250" t="b">
        <v>1</v>
      </c>
      <c r="G250" s="17" t="s">
        <v>47</v>
      </c>
      <c r="H250" s="17" t="s">
        <v>7</v>
      </c>
      <c r="I250" s="17" t="s">
        <v>175</v>
      </c>
      <c r="J250">
        <v>0</v>
      </c>
      <c r="K250" s="17" t="s">
        <v>77</v>
      </c>
      <c r="L250" t="b">
        <v>0</v>
      </c>
      <c r="M250" t="b">
        <v>0</v>
      </c>
      <c r="N250" t="b">
        <v>0</v>
      </c>
    </row>
    <row r="251" spans="1:14" x14ac:dyDescent="0.25">
      <c r="A251" s="17" t="s">
        <v>102</v>
      </c>
      <c r="B251" t="s">
        <v>350</v>
      </c>
      <c r="D251" t="s">
        <v>351</v>
      </c>
      <c r="E251" s="18">
        <v>0</v>
      </c>
      <c r="F251" t="b">
        <v>0</v>
      </c>
      <c r="G251" s="17"/>
      <c r="H251" s="17"/>
      <c r="I251" s="17"/>
      <c r="K251" s="17"/>
    </row>
    <row r="252" spans="1:14" x14ac:dyDescent="0.25">
      <c r="A252" s="17" t="s">
        <v>102</v>
      </c>
      <c r="B252" t="s">
        <v>78</v>
      </c>
      <c r="C252" t="s">
        <v>336</v>
      </c>
      <c r="D252">
        <v>50.967979582518161</v>
      </c>
      <c r="E252" s="19">
        <v>46184.489930555559</v>
      </c>
      <c r="F252" t="b">
        <v>1</v>
      </c>
      <c r="G252" s="17" t="s">
        <v>337</v>
      </c>
      <c r="H252" s="17" t="s">
        <v>7</v>
      </c>
      <c r="I252" s="17" t="s">
        <v>210</v>
      </c>
      <c r="J252">
        <v>0</v>
      </c>
      <c r="K252" s="17" t="s">
        <v>77</v>
      </c>
      <c r="L252" t="b">
        <v>0</v>
      </c>
      <c r="M252" t="b">
        <v>0</v>
      </c>
      <c r="N252" t="b">
        <v>0</v>
      </c>
    </row>
    <row r="253" spans="1:14" x14ac:dyDescent="0.25">
      <c r="A253" s="17" t="s">
        <v>102</v>
      </c>
      <c r="B253" t="s">
        <v>79</v>
      </c>
      <c r="C253" t="s">
        <v>336</v>
      </c>
      <c r="D253">
        <v>120.21245566186201</v>
      </c>
      <c r="E253" s="19">
        <v>46184.490057870367</v>
      </c>
      <c r="F253" t="b">
        <v>1</v>
      </c>
      <c r="G253" s="17" t="s">
        <v>338</v>
      </c>
      <c r="H253" s="17" t="s">
        <v>7</v>
      </c>
      <c r="I253" s="17" t="s">
        <v>210</v>
      </c>
      <c r="J253">
        <v>0</v>
      </c>
      <c r="K253" s="17" t="s">
        <v>77</v>
      </c>
      <c r="L253" t="b">
        <v>0</v>
      </c>
      <c r="M253" t="b">
        <v>0</v>
      </c>
      <c r="N253" t="b">
        <v>0</v>
      </c>
    </row>
    <row r="254" spans="1:14" x14ac:dyDescent="0.25">
      <c r="A254" s="17" t="s">
        <v>102</v>
      </c>
      <c r="B254" t="s">
        <v>80</v>
      </c>
      <c r="C254" t="s">
        <v>336</v>
      </c>
      <c r="D254">
        <v>58.553707089085371</v>
      </c>
      <c r="E254" s="19">
        <v>46184.490162037036</v>
      </c>
      <c r="F254" t="b">
        <v>1</v>
      </c>
      <c r="G254" s="17" t="s">
        <v>339</v>
      </c>
      <c r="H254" s="17" t="s">
        <v>7</v>
      </c>
      <c r="I254" s="17" t="s">
        <v>210</v>
      </c>
      <c r="J254">
        <v>0</v>
      </c>
      <c r="K254" s="17" t="s">
        <v>77</v>
      </c>
      <c r="L254" t="b">
        <v>0</v>
      </c>
      <c r="M254" t="b">
        <v>0</v>
      </c>
      <c r="N254" t="b">
        <v>0</v>
      </c>
    </row>
    <row r="255" spans="1:14" x14ac:dyDescent="0.25">
      <c r="A255" s="17" t="s">
        <v>102</v>
      </c>
      <c r="B255" t="s">
        <v>81</v>
      </c>
      <c r="C255" t="s">
        <v>336</v>
      </c>
      <c r="D255">
        <v>65.579758001123139</v>
      </c>
      <c r="E255" s="19">
        <v>46184.490266203706</v>
      </c>
      <c r="F255" t="b">
        <v>1</v>
      </c>
      <c r="G255" s="17" t="s">
        <v>340</v>
      </c>
      <c r="H255" s="17" t="s">
        <v>7</v>
      </c>
      <c r="I255" s="17" t="s">
        <v>210</v>
      </c>
      <c r="J255">
        <v>0</v>
      </c>
      <c r="K255" s="17" t="s">
        <v>77</v>
      </c>
      <c r="L255" t="b">
        <v>0</v>
      </c>
      <c r="M255" t="b">
        <v>0</v>
      </c>
      <c r="N255" t="b">
        <v>0</v>
      </c>
    </row>
    <row r="256" spans="1:14" x14ac:dyDescent="0.25">
      <c r="A256" s="17" t="s">
        <v>102</v>
      </c>
      <c r="B256" t="s">
        <v>82</v>
      </c>
      <c r="C256" t="s">
        <v>336</v>
      </c>
      <c r="D256">
        <v>77.833862631324294</v>
      </c>
      <c r="E256" s="19">
        <v>46184.490358796298</v>
      </c>
      <c r="F256" t="b">
        <v>1</v>
      </c>
      <c r="G256" s="17" t="s">
        <v>341</v>
      </c>
      <c r="H256" s="17" t="s">
        <v>7</v>
      </c>
      <c r="I256" s="17" t="s">
        <v>210</v>
      </c>
      <c r="J256">
        <v>0</v>
      </c>
      <c r="K256" s="17" t="s">
        <v>77</v>
      </c>
      <c r="L256" t="b">
        <v>0</v>
      </c>
      <c r="M256" t="b">
        <v>0</v>
      </c>
      <c r="N256" t="b">
        <v>0</v>
      </c>
    </row>
    <row r="257" spans="1:14" x14ac:dyDescent="0.25">
      <c r="A257" s="17" t="s">
        <v>102</v>
      </c>
      <c r="B257" t="s">
        <v>83</v>
      </c>
      <c r="C257" t="s">
        <v>336</v>
      </c>
      <c r="D257">
        <v>30.054561207357068</v>
      </c>
      <c r="E257" s="19">
        <v>46184.49046296296</v>
      </c>
      <c r="F257" t="b">
        <v>1</v>
      </c>
      <c r="G257" s="17" t="s">
        <v>342</v>
      </c>
      <c r="H257" s="17" t="s">
        <v>7</v>
      </c>
      <c r="I257" s="17" t="s">
        <v>210</v>
      </c>
      <c r="J257">
        <v>0</v>
      </c>
      <c r="K257" s="17" t="s">
        <v>77</v>
      </c>
      <c r="L257" t="b">
        <v>0</v>
      </c>
      <c r="M257" t="b">
        <v>0</v>
      </c>
      <c r="N257" t="b">
        <v>0</v>
      </c>
    </row>
    <row r="258" spans="1:14" x14ac:dyDescent="0.25">
      <c r="A258" s="17" t="s">
        <v>102</v>
      </c>
      <c r="B258" t="s">
        <v>76</v>
      </c>
      <c r="C258" t="s">
        <v>336</v>
      </c>
      <c r="D258">
        <v>68.336249781639438</v>
      </c>
      <c r="E258" s="19">
        <v>46184.490578703706</v>
      </c>
      <c r="F258" t="b">
        <v>1</v>
      </c>
      <c r="G258" s="17" t="s">
        <v>343</v>
      </c>
      <c r="H258" s="17" t="s">
        <v>7</v>
      </c>
      <c r="I258" s="17" t="s">
        <v>210</v>
      </c>
      <c r="J258">
        <v>0</v>
      </c>
      <c r="K258" s="17" t="s">
        <v>77</v>
      </c>
      <c r="L258" t="b">
        <v>0</v>
      </c>
      <c r="M258" t="b">
        <v>0</v>
      </c>
      <c r="N258" t="b">
        <v>0</v>
      </c>
    </row>
    <row r="259" spans="1:14" x14ac:dyDescent="0.25">
      <c r="A259" s="17" t="s">
        <v>102</v>
      </c>
      <c r="B259" t="s">
        <v>84</v>
      </c>
      <c r="C259" t="s">
        <v>346</v>
      </c>
      <c r="D259">
        <v>43.611058577426</v>
      </c>
      <c r="E259" s="19">
        <v>46184.491319444445</v>
      </c>
      <c r="F259" t="b">
        <v>1</v>
      </c>
      <c r="G259" s="17" t="s">
        <v>347</v>
      </c>
      <c r="H259" s="17" t="s">
        <v>7</v>
      </c>
      <c r="I259" s="17" t="s">
        <v>344</v>
      </c>
      <c r="J259">
        <v>0</v>
      </c>
      <c r="K259" s="17" t="s">
        <v>77</v>
      </c>
      <c r="L259" t="b">
        <v>0</v>
      </c>
      <c r="M259" t="b">
        <v>0</v>
      </c>
      <c r="N259" t="b">
        <v>0</v>
      </c>
    </row>
    <row r="260" spans="1:14" x14ac:dyDescent="0.25">
      <c r="A260" s="17" t="s">
        <v>102</v>
      </c>
      <c r="B260" t="s">
        <v>95</v>
      </c>
      <c r="C260" t="s">
        <v>182</v>
      </c>
      <c r="D260">
        <v>-0.67179062000018097</v>
      </c>
      <c r="E260" s="19">
        <v>46184.492349537039</v>
      </c>
      <c r="F260" t="b">
        <v>1</v>
      </c>
      <c r="G260" s="17" t="s">
        <v>364</v>
      </c>
      <c r="H260" s="17" t="s">
        <v>7</v>
      </c>
      <c r="I260" s="17" t="s">
        <v>175</v>
      </c>
      <c r="J260">
        <v>0</v>
      </c>
      <c r="K260" s="17" t="s">
        <v>77</v>
      </c>
      <c r="L260" t="b">
        <v>0</v>
      </c>
      <c r="M260" t="b">
        <v>0</v>
      </c>
      <c r="N260" t="b">
        <v>0</v>
      </c>
    </row>
    <row r="261" spans="1:14" x14ac:dyDescent="0.25">
      <c r="A261" s="17" t="s">
        <v>102</v>
      </c>
      <c r="B261" t="s">
        <v>365</v>
      </c>
      <c r="C261" t="s">
        <v>182</v>
      </c>
      <c r="D261">
        <v>330</v>
      </c>
      <c r="E261" s="19">
        <v>46185.440972222219</v>
      </c>
      <c r="F261" t="b">
        <v>1</v>
      </c>
      <c r="G261" s="17" t="s">
        <v>43</v>
      </c>
      <c r="H261" s="17" t="s">
        <v>7</v>
      </c>
      <c r="I261" s="17" t="s">
        <v>175</v>
      </c>
      <c r="J261">
        <v>0</v>
      </c>
      <c r="K261" s="17" t="s">
        <v>77</v>
      </c>
      <c r="L261" t="b">
        <v>0</v>
      </c>
      <c r="M261" t="b">
        <v>0</v>
      </c>
      <c r="N26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8F27-00FC-4133-9514-AC36A7BF6EC3}">
  <dimension ref="A1:W172"/>
  <sheetViews>
    <sheetView topLeftCell="A105" zoomScaleNormal="100" workbookViewId="0">
      <selection activeCell="T120" sqref="T120"/>
    </sheetView>
  </sheetViews>
  <sheetFormatPr defaultRowHeight="15" x14ac:dyDescent="0.25"/>
  <cols>
    <col min="1" max="1" width="12.140625" customWidth="1"/>
    <col min="2" max="2" width="20.85546875" customWidth="1"/>
    <col min="9" max="9" width="18.285156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I3" s="1" t="s">
        <v>7</v>
      </c>
      <c r="J3" s="2" t="s">
        <v>5</v>
      </c>
      <c r="K3" s="2"/>
      <c r="L3" t="s">
        <v>174</v>
      </c>
    </row>
    <row r="4" spans="1:23" x14ac:dyDescent="0.25">
      <c r="A4" t="s">
        <v>185</v>
      </c>
      <c r="B4" s="2" t="s">
        <v>8</v>
      </c>
      <c r="C4" s="2"/>
      <c r="D4" s="3" t="s">
        <v>183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187</v>
      </c>
      <c r="J5" s="2" t="s">
        <v>9</v>
      </c>
      <c r="K5" s="2"/>
    </row>
    <row r="6" spans="1:23" x14ac:dyDescent="0.25">
      <c r="A6" t="s">
        <v>184</v>
      </c>
      <c r="I6" t="s">
        <v>186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conv2qa(X12(stifidx_apr2023.m,MULT,1996m1,2023m9))</v>
      </c>
      <c r="C10" s="11" t="str">
        <f t="shared" ref="C10:D10" si="0">"conv2qa(X12("&amp;$D$5&amp;$D$3&amp;C9&amp;$D$4&amp;",MULT," &amp; TEXT($A$3,"yyyy""m""m") &amp; "," &amp; TEXT($A$4,"yyyy""m""m") &amp; "))"</f>
        <v>conv2qa(X12(stif_srv_apr2023.m,MULT,1996m1,2023m9))</v>
      </c>
      <c r="D10" s="11" t="str">
        <f t="shared" si="0"/>
        <v>conv2qa(X12(stif_gds_xeatfnab_apr2023.m,MULT,1996m1,2023m9))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booze.m,fags.m,#,#,#,#,#,#,#,#,#,#,#,#,#,#,#,#,#),MULT,1996m1,2023m9))</v>
      </c>
      <c r="F10" s="11" t="str">
        <f>"conv2qa(X12("&amp;$D$5&amp;$D$3&amp;F9&amp;$D$4&amp;",MULT," &amp; TEXT($A$3,"yyyy""m""m") &amp; "," &amp; TEXT($A$4,"yyyy""m""m") &amp; "))"</f>
        <v>conv2qa(X12(stif_fnab_apr2023.m,MULT,1996m1,2023m9))</v>
      </c>
      <c r="G10" s="11" t="str">
        <f>"conv2qa(X12("&amp;G9&amp;",MULT," &amp; TEXT($A$3,"yyyy""m""m") &amp; "," &amp; TEXT($A$4,"yyyy""m""m") &amp; "))"</f>
        <v>conv2qa(X12(booze.m,MULT,1996m1,2023m9))</v>
      </c>
      <c r="H10" s="11" t="str">
        <f>"conv2qa(X12("&amp;H9&amp;",MULT," &amp; TEXT($A$3,"yyyy""m""m") &amp; "," &amp; TEXT($A$4,"yyyy""m""m") &amp; "))"</f>
        <v>conv2qa(X12(fags.m,MULT,1996m1,2023m9))</v>
      </c>
      <c r="I10" s="11" t="str">
        <f>"conv2qa(X12("&amp;$D$5&amp;$D$3&amp;I9&amp;$D$4&amp;",MULT," &amp; TEXT($A$3,"yyyy""m""m") &amp; "," &amp; TEXT($I$5,"yyyy""m""m") &amp; "))"</f>
        <v>conv2qa(X12(stif_pu_apr2023.m,MULT,1996m1,2026m12))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68.336249781639438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58.553707089075935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77.833862631329339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43.611058577426739</v>
      </c>
      <c r="J12">
        <f>[2]!FAMEData($L$5&amp;$L$3&amp;J9&amp;$L$4, $I$3, $I$4, 0,"Quarterly", "Down", "No Heading", "Normal")</f>
        <v>68.3476703233937</v>
      </c>
      <c r="K12">
        <f>[2]!FAMEData($L$5&amp;$L$3&amp;K9&amp;$L$4, $I$3, $I$4, 0,"Quarterly", "Down", "No Heading", "Normal")</f>
        <v>0.87462265142754203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[2]!FAMEData($L$5&amp;$L$3&amp;P9&amp;$L$4, $I$3, $I$4, 0,"Quarterly", "Down", "No Heading", "Normal")</f>
        <v>-0.67176493946876903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68.723480942931303</v>
      </c>
      <c r="C13">
        <v>51.436217115422501</v>
      </c>
      <c r="D13">
        <v>120.55767761245134</v>
      </c>
      <c r="E13">
        <v>59.150835037242729</v>
      </c>
      <c r="F13">
        <v>66.150622751811724</v>
      </c>
      <c r="G13">
        <v>78.703574190496269</v>
      </c>
      <c r="H13">
        <v>30.476125774121101</v>
      </c>
      <c r="I13">
        <v>43.120581147797395</v>
      </c>
      <c r="J13">
        <v>68.734916666065899</v>
      </c>
      <c r="K13">
        <v>0.87520591247050405</v>
      </c>
      <c r="L13">
        <v>81.882196923076904</v>
      </c>
      <c r="M13" s="15">
        <f>+'[3]VAR expectations'!C37</f>
        <v>2.6154884948264598</v>
      </c>
      <c r="N13">
        <v>0.3</v>
      </c>
      <c r="O13">
        <v>-0.16120155703172701</v>
      </c>
      <c r="P13">
        <v>-0.90949895859321095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68.949456546139999</v>
      </c>
      <c r="C14">
        <v>51.916931408985363</v>
      </c>
      <c r="D14">
        <v>120.616001958364</v>
      </c>
      <c r="E14">
        <v>59.122311970343027</v>
      </c>
      <c r="F14">
        <v>65.892031840330773</v>
      </c>
      <c r="G14">
        <v>78.989247520026069</v>
      </c>
      <c r="H14">
        <v>30.929830737469263</v>
      </c>
      <c r="I14">
        <v>43.346266616040964</v>
      </c>
      <c r="J14">
        <v>68.960876270918902</v>
      </c>
      <c r="K14">
        <v>0.85681424432570896</v>
      </c>
      <c r="L14">
        <v>82.869486363636398</v>
      </c>
      <c r="M14" s="15">
        <f>+'[3]VAR expectations'!C38</f>
        <v>2.6428562485995646</v>
      </c>
      <c r="N14">
        <v>0.3</v>
      </c>
      <c r="O14">
        <v>0.32912444162450999</v>
      </c>
      <c r="P14">
        <v>-0.98494571988528201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69.259947297382666</v>
      </c>
      <c r="C15">
        <v>52.311071312771993</v>
      </c>
      <c r="D15">
        <v>120.63002394083701</v>
      </c>
      <c r="E15">
        <v>58.834792121229668</v>
      </c>
      <c r="F15">
        <v>65.084105610473628</v>
      </c>
      <c r="G15">
        <v>79.125642753287792</v>
      </c>
      <c r="H15">
        <v>31.483583173415834</v>
      </c>
      <c r="I15">
        <v>44.726774991033437</v>
      </c>
      <c r="J15">
        <v>69.271521877852194</v>
      </c>
      <c r="K15">
        <v>0.84667207907818098</v>
      </c>
      <c r="L15">
        <v>88.333556060606099</v>
      </c>
      <c r="M15" s="15">
        <f>+'[3]VAR expectations'!C39</f>
        <v>2.8292929206876933</v>
      </c>
      <c r="N15">
        <v>0.3</v>
      </c>
      <c r="O15">
        <v>-2.2510150918334201E-3</v>
      </c>
      <c r="P15">
        <v>-0.94541859652643301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69.656172144574199</v>
      </c>
      <c r="C16">
        <v>52.833527081934562</v>
      </c>
      <c r="D16">
        <v>120.51831953602668</v>
      </c>
      <c r="E16">
        <v>59.076250345073333</v>
      </c>
      <c r="F16">
        <v>65.240899062162541</v>
      </c>
      <c r="G16">
        <v>78.957703138356138</v>
      </c>
      <c r="H16">
        <v>32.032941374691433</v>
      </c>
      <c r="I16">
        <v>45.328295668909931</v>
      </c>
      <c r="J16">
        <v>69.667808905679294</v>
      </c>
      <c r="K16">
        <v>0.81438823057671805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-0.262290558696672</v>
      </c>
      <c r="P16">
        <v>-8.1219057887445198E-3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69.818827320614531</v>
      </c>
      <c r="C17">
        <v>53.331404584016006</v>
      </c>
      <c r="D17">
        <v>120.31018836209466</v>
      </c>
      <c r="E17">
        <v>59.375031266219402</v>
      </c>
      <c r="F17">
        <v>65.408499895120499</v>
      </c>
      <c r="G17">
        <v>79.267965073231366</v>
      </c>
      <c r="H17">
        <v>32.549626728659497</v>
      </c>
      <c r="I17">
        <v>44.445946493019626</v>
      </c>
      <c r="J17">
        <v>69.830422718659904</v>
      </c>
      <c r="K17">
        <v>0.80227584750237602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-0.18076935065413899</v>
      </c>
      <c r="P17">
        <v>7.8411142858474905E-2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70.281779806161396</v>
      </c>
      <c r="C18">
        <v>53.831610222106065</v>
      </c>
      <c r="D18">
        <v>120.33884823031001</v>
      </c>
      <c r="E18">
        <v>59.894854454244864</v>
      </c>
      <c r="F18">
        <v>65.91284178230616</v>
      </c>
      <c r="G18">
        <v>79.394793740400601</v>
      </c>
      <c r="H18">
        <v>33.304621200313129</v>
      </c>
      <c r="I18">
        <v>45.375545582596096</v>
      </c>
      <c r="J18">
        <v>70.2934385363301</v>
      </c>
      <c r="K18">
        <v>0.79099584566582204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0.135072712526874</v>
      </c>
      <c r="P18">
        <v>5.2461272244371197E-3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70.53419060633307</v>
      </c>
      <c r="C19">
        <v>54.355759858200429</v>
      </c>
      <c r="D19">
        <v>120.137475565896</v>
      </c>
      <c r="E19">
        <v>60.113280542567431</v>
      </c>
      <c r="F19">
        <v>65.8557702922663</v>
      </c>
      <c r="G19">
        <v>79.329518514678469</v>
      </c>
      <c r="H19">
        <v>34.107615541725131</v>
      </c>
      <c r="I19">
        <v>45.16594359183577</v>
      </c>
      <c r="J19">
        <v>70.545986369878804</v>
      </c>
      <c r="K19">
        <v>0.78723953960031501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-0.18038836269067801</v>
      </c>
      <c r="P19">
        <v>-0.11331577786800499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70.760831716940672</v>
      </c>
      <c r="C20">
        <v>54.867317852625739</v>
      </c>
      <c r="D20">
        <v>119.84603007593834</v>
      </c>
      <c r="E20">
        <v>60.324796119999995</v>
      </c>
      <c r="F20">
        <v>65.556439010962194</v>
      </c>
      <c r="G20">
        <v>80.314829273768382</v>
      </c>
      <c r="H20">
        <v>35.043737560231598</v>
      </c>
      <c r="I20">
        <v>45.066788167532167</v>
      </c>
      <c r="J20">
        <v>70.772638800632905</v>
      </c>
      <c r="K20">
        <v>0.77287991178829196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-0.40106993870267899</v>
      </c>
      <c r="P20">
        <v>0.352325800961236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71.100692129748424</v>
      </c>
      <c r="C21">
        <v>55.376840634027268</v>
      </c>
      <c r="D21">
        <v>119.471764844226</v>
      </c>
      <c r="E21">
        <v>60.759837536161434</v>
      </c>
      <c r="F21">
        <v>65.968165559058164</v>
      </c>
      <c r="G21">
        <v>80.697417805791574</v>
      </c>
      <c r="H21">
        <v>35.534825019558106</v>
      </c>
      <c r="I21">
        <v>45.51240079574643</v>
      </c>
      <c r="J21">
        <v>71.112473177250493</v>
      </c>
      <c r="K21">
        <v>0.76081657525898805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-0.121959828355084</v>
      </c>
      <c r="P21">
        <v>0.18544471916191299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71.255609421751757</v>
      </c>
      <c r="C22">
        <v>55.834494062716864</v>
      </c>
      <c r="D22">
        <v>118.95366575846867</v>
      </c>
      <c r="E22">
        <v>61.326564516040435</v>
      </c>
      <c r="F22">
        <v>66.599884378909437</v>
      </c>
      <c r="G22">
        <v>81.111237273044537</v>
      </c>
      <c r="H22">
        <v>36.009377724473367</v>
      </c>
      <c r="I22">
        <v>45.240117527978271</v>
      </c>
      <c r="J22">
        <v>71.267461713521001</v>
      </c>
      <c r="K22">
        <v>0.74745017761454602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0.148148898493562</v>
      </c>
      <c r="P22">
        <v>0.157845722425275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71.539883561847091</v>
      </c>
      <c r="C23">
        <v>56.342645165224205</v>
      </c>
      <c r="D23">
        <v>118.50979090512165</v>
      </c>
      <c r="E23">
        <v>61.798219502367864</v>
      </c>
      <c r="F23">
        <v>66.931585635713873</v>
      </c>
      <c r="G23">
        <v>81.345598400684096</v>
      </c>
      <c r="H23">
        <v>36.768433546819701</v>
      </c>
      <c r="I23">
        <v>45.182611283644668</v>
      </c>
      <c r="J23">
        <v>71.551842806245205</v>
      </c>
      <c r="K23">
        <v>0.75024931812993401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-0.44461325206669999</v>
      </c>
      <c r="P23">
        <v>-0.51317086473708096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71.8694483629166</v>
      </c>
      <c r="C24">
        <v>56.82033730205</v>
      </c>
      <c r="D24">
        <v>117.91126120930534</v>
      </c>
      <c r="E24">
        <v>62.464147956123561</v>
      </c>
      <c r="F24">
        <v>67.238659277963336</v>
      </c>
      <c r="G24">
        <v>81.576404148274094</v>
      </c>
      <c r="H24">
        <v>38.383741142192932</v>
      </c>
      <c r="I24">
        <v>45.605839036922362</v>
      </c>
      <c r="J24">
        <v>71.881446842730796</v>
      </c>
      <c r="K24">
        <v>0.74701597099030403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0.52782221066476598</v>
      </c>
      <c r="P24">
        <v>-0.37218782473891598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72.089045435709579</v>
      </c>
      <c r="C25">
        <v>57.315645524914494</v>
      </c>
      <c r="D25">
        <v>117.102020370133</v>
      </c>
      <c r="E25">
        <v>62.327610220775902</v>
      </c>
      <c r="F25">
        <v>66.5718447626803</v>
      </c>
      <c r="G25">
        <v>81.622908379699467</v>
      </c>
      <c r="H25">
        <v>39.566559269125868</v>
      </c>
      <c r="I25">
        <v>46.92488601678847</v>
      </c>
      <c r="J25">
        <v>72.100995123604605</v>
      </c>
      <c r="K25">
        <v>0.74412834252829496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0.48725261916995399</v>
      </c>
      <c r="P25">
        <v>4.5365294725485603E-2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72.125395078809461</v>
      </c>
      <c r="C26">
        <v>57.725891052137996</v>
      </c>
      <c r="D26">
        <v>116.21646773960235</v>
      </c>
      <c r="E26">
        <v>62.266005901834198</v>
      </c>
      <c r="F26">
        <v>65.966078638823305</v>
      </c>
      <c r="G26">
        <v>81.700276436629906</v>
      </c>
      <c r="H26">
        <v>40.694457856592834</v>
      </c>
      <c r="I26">
        <v>47.676146770899265</v>
      </c>
      <c r="J26">
        <v>72.137451884749893</v>
      </c>
      <c r="K26">
        <v>0.74555785073191405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0.67076862974608797</v>
      </c>
      <c r="P26">
        <v>0.16262397992439601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72.359803406131064</v>
      </c>
      <c r="C27">
        <v>58.260597172429165</v>
      </c>
      <c r="D27">
        <v>115.11724534960534</v>
      </c>
      <c r="E27">
        <v>62.42519019386517</v>
      </c>
      <c r="F27">
        <v>66.000462650335507</v>
      </c>
      <c r="G27">
        <v>81.899917498559731</v>
      </c>
      <c r="H27">
        <v>41.070297939989963</v>
      </c>
      <c r="I27">
        <v>48.744128850962198</v>
      </c>
      <c r="J27">
        <v>72.371868760317298</v>
      </c>
      <c r="K27">
        <v>0.74698909902544797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0.25537877518103203</v>
      </c>
      <c r="P27">
        <v>0.81451014852542103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72.440743283127702</v>
      </c>
      <c r="C28">
        <v>58.772737337575798</v>
      </c>
      <c r="D28">
        <v>113.71050289670167</v>
      </c>
      <c r="E28">
        <v>62.294225685534862</v>
      </c>
      <c r="F28">
        <v>65.73895121871756</v>
      </c>
      <c r="G28">
        <v>81.953847149547599</v>
      </c>
      <c r="H28">
        <v>41.192698366381329</v>
      </c>
      <c r="I28">
        <v>50.014345022030632</v>
      </c>
      <c r="J28">
        <v>72.452764321226695</v>
      </c>
      <c r="K28">
        <v>0.75406826834531804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9.2271063782413995E-2</v>
      </c>
      <c r="P28">
        <v>-0.80707786296882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72.539182312901559</v>
      </c>
      <c r="C29">
        <v>59.02203967980207</v>
      </c>
      <c r="D29">
        <v>113.06246638512165</v>
      </c>
      <c r="E29">
        <v>62.695488445113703</v>
      </c>
      <c r="F29">
        <v>65.54757652531562</v>
      </c>
      <c r="G29">
        <v>81.549251879582997</v>
      </c>
      <c r="H29">
        <v>43.499742188590204</v>
      </c>
      <c r="I29">
        <v>50.294131092600168</v>
      </c>
      <c r="J29">
        <v>72.5513183846586</v>
      </c>
      <c r="K29">
        <v>0.76477853444836297</v>
      </c>
      <c r="L29">
        <v>101.013821538462</v>
      </c>
      <c r="M29" s="15">
        <f>+'[3]VAR expectations'!C53</f>
        <v>2.480790509902373</v>
      </c>
      <c r="N29">
        <v>0.578228356186961</v>
      </c>
      <c r="O29">
        <v>6.4185673634936505E-2</v>
      </c>
      <c r="P29">
        <v>0.53264032260072802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72.707840576578334</v>
      </c>
      <c r="C30">
        <v>59.618307460283496</v>
      </c>
      <c r="D30">
        <v>111.70485772051835</v>
      </c>
      <c r="E30">
        <v>63.480786531384098</v>
      </c>
      <c r="F30">
        <v>66.470733130132999</v>
      </c>
      <c r="G30">
        <v>81.400383542675129</v>
      </c>
      <c r="H30">
        <v>44.129516914384872</v>
      </c>
      <c r="I30">
        <v>50.848549060419998</v>
      </c>
      <c r="J30">
        <v>72.720001335718095</v>
      </c>
      <c r="K30">
        <v>0.77678948920695401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0.321076211975517</v>
      </c>
      <c r="P30">
        <v>0.27180660187267203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73.058296991179603</v>
      </c>
      <c r="C31">
        <v>60.261873317665106</v>
      </c>
      <c r="D31">
        <v>111.14640687755768</v>
      </c>
      <c r="E31">
        <v>63.852768940614936</v>
      </c>
      <c r="F31">
        <v>66.715067260721909</v>
      </c>
      <c r="G31">
        <v>81.765643929156298</v>
      </c>
      <c r="H31">
        <v>44.729361747939201</v>
      </c>
      <c r="I31">
        <v>51.114811152387695</v>
      </c>
      <c r="J31">
        <v>73.070319319949803</v>
      </c>
      <c r="K31">
        <v>0.77716589856964102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-1.6390389462865099E-2</v>
      </c>
      <c r="P31">
        <v>0.70674457048624195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73.057199972408668</v>
      </c>
      <c r="C32">
        <v>60.743618510498969</v>
      </c>
      <c r="D32">
        <v>110.17048885713666</v>
      </c>
      <c r="E32">
        <v>64.30494737321969</v>
      </c>
      <c r="F32">
        <v>67.219576569644445</v>
      </c>
      <c r="G32">
        <v>81.956356249016224</v>
      </c>
      <c r="H32">
        <v>45.213764850668802</v>
      </c>
      <c r="I32">
        <v>49.776772698189831</v>
      </c>
      <c r="J32">
        <v>73.069249300620896</v>
      </c>
      <c r="K32">
        <v>0.77640460158961899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-0.227577979531076</v>
      </c>
      <c r="P32">
        <v>0.41762760261197801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73.640782847740468</v>
      </c>
      <c r="C33">
        <v>61.544420219891798</v>
      </c>
      <c r="D33">
        <v>109.89504456779933</v>
      </c>
      <c r="E33">
        <v>65.671562554983936</v>
      </c>
      <c r="F33">
        <v>69.291698510747665</v>
      </c>
      <c r="G33">
        <v>81.894722914021827</v>
      </c>
      <c r="H33">
        <v>45.475672674603068</v>
      </c>
      <c r="I33">
        <v>49.554685239844027</v>
      </c>
      <c r="J33">
        <v>73.653376706233999</v>
      </c>
      <c r="K33">
        <v>0.77333754640256802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0.14427868690463599</v>
      </c>
      <c r="P33">
        <v>0.27171772306839898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73.825368346668029</v>
      </c>
      <c r="C34">
        <v>62.223963784248163</v>
      </c>
      <c r="D34">
        <v>109.34835279541601</v>
      </c>
      <c r="E34">
        <v>65.641448844486931</v>
      </c>
      <c r="F34">
        <v>68.979536133767439</v>
      </c>
      <c r="G34">
        <v>82.063297449312898</v>
      </c>
      <c r="H34">
        <v>45.842531035583626</v>
      </c>
      <c r="I34">
        <v>49.541042556067367</v>
      </c>
      <c r="J34">
        <v>73.837800050826402</v>
      </c>
      <c r="K34">
        <v>0.75706362386859805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-0.145405425617782</v>
      </c>
      <c r="P34">
        <v>2.9738325008433798E-2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73.80997669704891</v>
      </c>
      <c r="C35">
        <v>62.586922212608499</v>
      </c>
      <c r="D35">
        <v>108.73663622538766</v>
      </c>
      <c r="E35">
        <v>65.8286982730381</v>
      </c>
      <c r="F35">
        <v>68.970945389816464</v>
      </c>
      <c r="G35">
        <v>82.057820791138766</v>
      </c>
      <c r="H35">
        <v>46.482425595123139</v>
      </c>
      <c r="I35">
        <v>48.00880871435303</v>
      </c>
      <c r="J35">
        <v>73.821881952917096</v>
      </c>
      <c r="K35">
        <v>0.74345217034681099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-0.40207821981541297</v>
      </c>
      <c r="P35">
        <v>-0.63993486955865098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74.172709549425761</v>
      </c>
      <c r="C36">
        <v>63.253448974843401</v>
      </c>
      <c r="D36">
        <v>108.25388781242833</v>
      </c>
      <c r="E36">
        <v>66.271856173335664</v>
      </c>
      <c r="F36">
        <v>69.56686909973719</v>
      </c>
      <c r="G36">
        <v>82.184032827866204</v>
      </c>
      <c r="H36">
        <v>46.712875201976566</v>
      </c>
      <c r="I36">
        <v>48.3000005952401</v>
      </c>
      <c r="J36">
        <v>74.184670976373894</v>
      </c>
      <c r="K36">
        <v>0.74343578366915297</v>
      </c>
      <c r="L36">
        <v>100.22180625</v>
      </c>
      <c r="M36" s="15">
        <f>+'[3]VAR expectations'!C60</f>
        <v>2.2636382290406152</v>
      </c>
      <c r="N36">
        <v>-0.19866515250366801</v>
      </c>
      <c r="O36">
        <v>0.181561700258596</v>
      </c>
      <c r="P36">
        <v>-0.635392453412985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74.341060971786305</v>
      </c>
      <c r="C37">
        <v>64.098357828572958</v>
      </c>
      <c r="D37">
        <v>107.15975382365501</v>
      </c>
      <c r="E37">
        <v>65.841454897160716</v>
      </c>
      <c r="F37">
        <v>69.072767804098206</v>
      </c>
      <c r="G37">
        <v>82.07045538316909</v>
      </c>
      <c r="H37">
        <v>46.699129960245699</v>
      </c>
      <c r="I37">
        <v>48.834968277717799</v>
      </c>
      <c r="J37">
        <v>74.354743866741003</v>
      </c>
      <c r="K37">
        <v>0.74494908375043001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0.26583891266085302</v>
      </c>
      <c r="P37">
        <v>-0.84417258502527004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74.586828836796727</v>
      </c>
      <c r="C38">
        <v>64.806065669870634</v>
      </c>
      <c r="D38">
        <v>106.445834896253</v>
      </c>
      <c r="E38">
        <v>66.101100667714661</v>
      </c>
      <c r="F38">
        <v>69.016510777051025</v>
      </c>
      <c r="G38">
        <v>82.393205067977746</v>
      </c>
      <c r="H38">
        <v>47.312363029675396</v>
      </c>
      <c r="I38">
        <v>48.810172762798068</v>
      </c>
      <c r="J38">
        <v>74.599091393849207</v>
      </c>
      <c r="K38">
        <v>0.73570701289127105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2.2118145407947602E-2</v>
      </c>
      <c r="P38">
        <v>-0.47303919311603998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74.941529849460167</v>
      </c>
      <c r="C39">
        <v>65.527580796552328</v>
      </c>
      <c r="D39">
        <v>105.924489215945</v>
      </c>
      <c r="E39">
        <v>66.196127743888098</v>
      </c>
      <c r="F39">
        <v>69.020712791941733</v>
      </c>
      <c r="G39">
        <v>81.795408943557717</v>
      </c>
      <c r="H39">
        <v>47.821927969552668</v>
      </c>
      <c r="I39">
        <v>49.301431798845066</v>
      </c>
      <c r="J39">
        <v>74.953174701857293</v>
      </c>
      <c r="K39">
        <v>0.73317257206722197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-3.5729490300290101E-2</v>
      </c>
      <c r="P39">
        <v>-0.23491543073484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75.254179644649568</v>
      </c>
      <c r="C40">
        <v>66.024472037828332</v>
      </c>
      <c r="D40">
        <v>105.57840811722434</v>
      </c>
      <c r="E40">
        <v>66.295932107807971</v>
      </c>
      <c r="F40">
        <v>69.109899366671627</v>
      </c>
      <c r="G40">
        <v>81.579240064236629</v>
      </c>
      <c r="H40">
        <v>48.150793182544732</v>
      </c>
      <c r="I40">
        <v>50.696241253807834</v>
      </c>
      <c r="J40">
        <v>75.265692846149307</v>
      </c>
      <c r="K40">
        <v>0.74201000013698204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-0.41248694162266297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75.297738809637565</v>
      </c>
      <c r="C41">
        <v>66.477450029177589</v>
      </c>
      <c r="D41">
        <v>104.82493353966566</v>
      </c>
      <c r="E41">
        <v>66.743556530393803</v>
      </c>
      <c r="F41">
        <v>69.746466956552695</v>
      </c>
      <c r="G41">
        <v>81.92988812954944</v>
      </c>
      <c r="H41">
        <v>48.454084822713895</v>
      </c>
      <c r="I41">
        <v>49.519114800044235</v>
      </c>
      <c r="J41">
        <v>75.312857851625694</v>
      </c>
      <c r="K41">
        <v>0.74032864154194999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-0.53365875579118704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75.612766960190669</v>
      </c>
      <c r="C42">
        <v>66.969781979332893</v>
      </c>
      <c r="D42">
        <v>104.57345498248867</v>
      </c>
      <c r="E42">
        <v>67.312971499143728</v>
      </c>
      <c r="F42">
        <v>70.264155677519838</v>
      </c>
      <c r="G42">
        <v>81.292515580845304</v>
      </c>
      <c r="H42">
        <v>49.190874931205201</v>
      </c>
      <c r="I42">
        <v>49.812423107514526</v>
      </c>
      <c r="J42">
        <v>75.625264588129198</v>
      </c>
      <c r="K42">
        <v>0.74541430208966497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-0.27587813031247499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75.930389742556031</v>
      </c>
      <c r="C43">
        <v>67.546972720055564</v>
      </c>
      <c r="D43">
        <v>104.00485126993435</v>
      </c>
      <c r="E43">
        <v>67.719280323183526</v>
      </c>
      <c r="F43">
        <v>70.752523646913701</v>
      </c>
      <c r="G43">
        <v>81.390202738662538</v>
      </c>
      <c r="H43">
        <v>49.438759845415937</v>
      </c>
      <c r="I43">
        <v>50.456696012188196</v>
      </c>
      <c r="J43">
        <v>75.941608318423903</v>
      </c>
      <c r="K43">
        <v>0.74062050375996402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-0.53389832133277604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76.200272994590662</v>
      </c>
      <c r="C44">
        <v>68.106265289664805</v>
      </c>
      <c r="D44">
        <v>103.62955172569434</v>
      </c>
      <c r="E44">
        <v>67.701718663021225</v>
      </c>
      <c r="F44">
        <v>70.680623238725673</v>
      </c>
      <c r="G44">
        <v>81.372891174970036</v>
      </c>
      <c r="H44">
        <v>49.677802200863276</v>
      </c>
      <c r="I44">
        <v>51.504084250397703</v>
      </c>
      <c r="J44">
        <v>76.210797426923094</v>
      </c>
      <c r="K44">
        <v>0.72884118178333401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0.26647992565739498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76.359143287031102</v>
      </c>
      <c r="C45">
        <v>68.631855810963074</v>
      </c>
      <c r="D45">
        <v>102.87732125835868</v>
      </c>
      <c r="E45">
        <v>67.638283542890633</v>
      </c>
      <c r="F45">
        <v>70.476850083137094</v>
      </c>
      <c r="G45">
        <v>81.287191156728667</v>
      </c>
      <c r="H45">
        <v>50.250960555908598</v>
      </c>
      <c r="I45">
        <v>52.490029623756904</v>
      </c>
      <c r="J45">
        <v>76.3767567017739</v>
      </c>
      <c r="K45">
        <v>0.73558705002471902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0.178629394850502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76.56223146527816</v>
      </c>
      <c r="C46">
        <v>69.203743094828653</v>
      </c>
      <c r="D46">
        <v>102.21000368537135</v>
      </c>
      <c r="E46">
        <v>67.646201471562264</v>
      </c>
      <c r="F46">
        <v>70.117000342394533</v>
      </c>
      <c r="G46">
        <v>81.074507647333235</v>
      </c>
      <c r="H46">
        <v>50.981515734069603</v>
      </c>
      <c r="I46">
        <v>53.359156449512263</v>
      </c>
      <c r="J46">
        <v>76.574764281479901</v>
      </c>
      <c r="K46">
        <v>0.73650722837377103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-2.6019163831234399E-2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77.024679854365317</v>
      </c>
      <c r="C47">
        <v>69.904808949576264</v>
      </c>
      <c r="D47">
        <v>101.65395874864667</v>
      </c>
      <c r="E47">
        <v>67.923177694574335</v>
      </c>
      <c r="F47">
        <v>70.398557806826773</v>
      </c>
      <c r="G47">
        <v>81.151471186683068</v>
      </c>
      <c r="H47">
        <v>51.389293417436363</v>
      </c>
      <c r="I47">
        <v>55.645647600823736</v>
      </c>
      <c r="J47">
        <v>77.034549346150001</v>
      </c>
      <c r="K47">
        <v>0.74397036753497703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0.928208492797165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77.519231157657828</v>
      </c>
      <c r="C48">
        <v>70.711753847994274</v>
      </c>
      <c r="D48">
        <v>101.22455082204699</v>
      </c>
      <c r="E48">
        <v>68.690798407068812</v>
      </c>
      <c r="F48">
        <v>71.390648853385699</v>
      </c>
      <c r="G48">
        <v>80.604662100413961</v>
      </c>
      <c r="H48">
        <v>52.151755181113771</v>
      </c>
      <c r="I48">
        <v>56.449023526619762</v>
      </c>
      <c r="J48">
        <v>77.529260396637895</v>
      </c>
      <c r="K48">
        <v>0.74492188243975299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0.47825978351036003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77.860318978666399</v>
      </c>
      <c r="C49">
        <v>71.482542500614315</v>
      </c>
      <c r="D49">
        <v>100.61472786812833</v>
      </c>
      <c r="E49">
        <v>68.823701779236231</v>
      </c>
      <c r="F49">
        <v>71.584679052963864</v>
      </c>
      <c r="G49">
        <v>80.155896965903963</v>
      </c>
      <c r="H49">
        <v>52.541890031000172</v>
      </c>
      <c r="I49">
        <v>57.44085846363447</v>
      </c>
      <c r="J49">
        <v>77.881756493167401</v>
      </c>
      <c r="K49">
        <v>0.74486848073853695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-0.146554301685619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78.392641774257754</v>
      </c>
      <c r="C50">
        <v>72.329300986461703</v>
      </c>
      <c r="D50">
        <v>100.07117849679203</v>
      </c>
      <c r="E50">
        <v>68.937262000669406</v>
      </c>
      <c r="F50">
        <v>71.487850251354246</v>
      </c>
      <c r="G50">
        <v>80.839757508134639</v>
      </c>
      <c r="H50">
        <v>52.691778581918363</v>
      </c>
      <c r="I50">
        <v>60.297134422700502</v>
      </c>
      <c r="J50">
        <v>78.404476134675207</v>
      </c>
      <c r="K50">
        <v>0.76279020276240905</v>
      </c>
      <c r="L50">
        <v>99.734880303030295</v>
      </c>
      <c r="M50" s="15">
        <f>+'[3]VAR expectations'!C74</f>
        <v>2.2761535969954032</v>
      </c>
      <c r="N50">
        <v>0.70017615103754205</v>
      </c>
      <c r="O50">
        <v>0.242344274322987</v>
      </c>
      <c r="P50">
        <v>9.7562497758584096E-2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78.66501094475133</v>
      </c>
      <c r="C51">
        <v>72.762317021914257</v>
      </c>
      <c r="D51">
        <v>99.588196018148551</v>
      </c>
      <c r="E51">
        <v>69.148775908150327</v>
      </c>
      <c r="F51">
        <v>71.487766542755935</v>
      </c>
      <c r="G51">
        <v>80.757559345656233</v>
      </c>
      <c r="H51">
        <v>53.781965083148371</v>
      </c>
      <c r="I51">
        <v>62.213078539519394</v>
      </c>
      <c r="J51">
        <v>78.670881704150901</v>
      </c>
      <c r="K51">
        <v>0.76572091120725705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-2.1319811991060901E-2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79.028056306014335</v>
      </c>
      <c r="C52">
        <v>73.385241832970863</v>
      </c>
      <c r="D52">
        <v>99.218511686955253</v>
      </c>
      <c r="E52">
        <v>69.456156195331673</v>
      </c>
      <c r="F52">
        <v>71.887123971840168</v>
      </c>
      <c r="G52">
        <v>80.784701311500399</v>
      </c>
      <c r="H52">
        <v>54.031494231415842</v>
      </c>
      <c r="I52">
        <v>63.507502966316906</v>
      </c>
      <c r="J52">
        <v>79.041233698591796</v>
      </c>
      <c r="K52">
        <v>0.77498342097905504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-2.3841079116024299E-2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79.616100029974433</v>
      </c>
      <c r="C53">
        <v>74.005587378155994</v>
      </c>
      <c r="D53">
        <v>98.648450716112094</v>
      </c>
      <c r="E53">
        <v>69.890133169506569</v>
      </c>
      <c r="F53">
        <v>72.381509192160038</v>
      </c>
      <c r="G53">
        <v>80.348360552039765</v>
      </c>
      <c r="H53">
        <v>54.731569565444801</v>
      </c>
      <c r="I53">
        <v>67.671668304625328</v>
      </c>
      <c r="J53">
        <v>79.642654189805398</v>
      </c>
      <c r="K53">
        <v>0.77209232519481996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2.6008595421881501E-2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80.274543861525331</v>
      </c>
      <c r="C54">
        <v>74.554497740033796</v>
      </c>
      <c r="D54">
        <v>98.578686654686294</v>
      </c>
      <c r="E54">
        <v>71.285703193070958</v>
      </c>
      <c r="F54">
        <v>73.986476846058096</v>
      </c>
      <c r="G54">
        <v>80.810977203230564</v>
      </c>
      <c r="H54">
        <v>55.632162390708572</v>
      </c>
      <c r="I54">
        <v>70.050693789677865</v>
      </c>
      <c r="J54">
        <v>80.284776484295506</v>
      </c>
      <c r="K54">
        <v>0.77062001076434805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4.9735153999789401E-2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80.800427122803356</v>
      </c>
      <c r="C55">
        <v>75.456551494435971</v>
      </c>
      <c r="D55">
        <v>98.558511791826007</v>
      </c>
      <c r="E55">
        <v>72.057914396664145</v>
      </c>
      <c r="F55">
        <v>74.869558615116105</v>
      </c>
      <c r="G55">
        <v>81.596468876752198</v>
      </c>
      <c r="H55">
        <v>56.187331956927927</v>
      </c>
      <c r="I55">
        <v>69.842554533109436</v>
      </c>
      <c r="J55">
        <v>80.793523972476706</v>
      </c>
      <c r="K55">
        <v>0.76595391446830896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-8.0932616320032902E-2</v>
      </c>
      <c r="P55">
        <v>0.18561819132969101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81.294136342961679</v>
      </c>
      <c r="C56">
        <v>76.094739669713718</v>
      </c>
      <c r="D56">
        <v>98.471297838087494</v>
      </c>
      <c r="E56">
        <v>72.550993494227626</v>
      </c>
      <c r="F56">
        <v>75.238861131877357</v>
      </c>
      <c r="G56">
        <v>81.666507019149236</v>
      </c>
      <c r="H56">
        <v>57.265357390685132</v>
      </c>
      <c r="I56">
        <v>71.130012018217641</v>
      </c>
      <c r="J56">
        <v>81.318846804494001</v>
      </c>
      <c r="K56">
        <v>0.75675330340823499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0.40347744152117199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81.649030733588361</v>
      </c>
      <c r="C57">
        <v>76.642438856182636</v>
      </c>
      <c r="D57">
        <v>98.272229626108398</v>
      </c>
      <c r="E57">
        <v>73.29853214515289</v>
      </c>
      <c r="F57">
        <v>76.216291492396806</v>
      </c>
      <c r="G57">
        <v>81.349848309080627</v>
      </c>
      <c r="H57">
        <v>57.844588598444169</v>
      </c>
      <c r="I57">
        <v>71.155158708889999</v>
      </c>
      <c r="J57">
        <v>81.682108719328397</v>
      </c>
      <c r="K57">
        <v>0.76536738345886501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0.53144537595879804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81.704609052406099</v>
      </c>
      <c r="C58">
        <v>77.223121527527468</v>
      </c>
      <c r="D58">
        <v>97.540757773203964</v>
      </c>
      <c r="E58">
        <v>73.551264219107864</v>
      </c>
      <c r="F58">
        <v>76.301462808304123</v>
      </c>
      <c r="G58">
        <v>81.728891554805159</v>
      </c>
      <c r="H58">
        <v>58.326843279992936</v>
      </c>
      <c r="I58">
        <v>70.482015896697973</v>
      </c>
      <c r="J58">
        <v>81.712107250768696</v>
      </c>
      <c r="K58">
        <v>0.76900019666481201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0.48010253247658902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82.511309083674291</v>
      </c>
      <c r="C59">
        <v>77.976241800078569</v>
      </c>
      <c r="D59">
        <v>97.45807312456769</v>
      </c>
      <c r="E59">
        <v>75.21985791730819</v>
      </c>
      <c r="F59">
        <v>78.5968960683022</v>
      </c>
      <c r="G59">
        <v>81.927566073002239</v>
      </c>
      <c r="H59">
        <v>58.859085061009466</v>
      </c>
      <c r="I59">
        <v>73.077898402247598</v>
      </c>
      <c r="J59">
        <v>82.484476211574801</v>
      </c>
      <c r="K59">
        <v>0.78824808311316197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0.382773434560503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83.213164858953732</v>
      </c>
      <c r="C60">
        <v>78.585582492576393</v>
      </c>
      <c r="D60">
        <v>96.951612946595276</v>
      </c>
      <c r="E60">
        <v>75.989364893941669</v>
      </c>
      <c r="F60">
        <v>79.533799653358528</v>
      </c>
      <c r="G60">
        <v>81.958760693680162</v>
      </c>
      <c r="H60">
        <v>59.544399043189294</v>
      </c>
      <c r="I60">
        <v>77.885303360017474</v>
      </c>
      <c r="J60">
        <v>83.2576343882412</v>
      </c>
      <c r="K60">
        <v>0.82243835953570399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0.55044331584174799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84.399626571850192</v>
      </c>
      <c r="C61">
        <v>79.538233147574076</v>
      </c>
      <c r="D61">
        <v>96.709639002315313</v>
      </c>
      <c r="E61">
        <v>78.382177740282259</v>
      </c>
      <c r="F61">
        <v>82.317852894957966</v>
      </c>
      <c r="G61">
        <v>84.883190373008901</v>
      </c>
      <c r="H61">
        <v>60.342091001655739</v>
      </c>
      <c r="I61">
        <v>82.676147698810126</v>
      </c>
      <c r="J61">
        <v>84.439257033293103</v>
      </c>
      <c r="K61">
        <v>0.86105717965758599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-0.77293438165204398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85.622632997782489</v>
      </c>
      <c r="C62">
        <v>80.5678969407344</v>
      </c>
      <c r="D62">
        <v>96.458973696769476</v>
      </c>
      <c r="E62">
        <v>80.82128783815331</v>
      </c>
      <c r="F62">
        <v>85.573696083115365</v>
      </c>
      <c r="G62">
        <v>85.076920421493199</v>
      </c>
      <c r="H62">
        <v>60.969183859751972</v>
      </c>
      <c r="I62">
        <v>87.76759844134817</v>
      </c>
      <c r="J62">
        <v>85.625531669436398</v>
      </c>
      <c r="K62">
        <v>0.88070475677455595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-1.12976402259091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85.715848621862406</v>
      </c>
      <c r="C63">
        <v>81.447772744626477</v>
      </c>
      <c r="D63">
        <v>95.356926101985607</v>
      </c>
      <c r="E63">
        <v>81.793219074325535</v>
      </c>
      <c r="F63">
        <v>86.792931090227242</v>
      </c>
      <c r="G63">
        <v>85.181235159364022</v>
      </c>
      <c r="H63">
        <v>61.653526659275762</v>
      </c>
      <c r="I63">
        <v>85.991091601530442</v>
      </c>
      <c r="J63">
        <v>85.6665982070338</v>
      </c>
      <c r="K63">
        <v>0.87276078512302602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-2.29753321399637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85.677462002739276</v>
      </c>
      <c r="C64">
        <v>81.837359941001338</v>
      </c>
      <c r="D64">
        <v>94.827625846704464</v>
      </c>
      <c r="E64">
        <v>83.009558300420565</v>
      </c>
      <c r="F64">
        <v>87.992382081641267</v>
      </c>
      <c r="G64">
        <v>87.197967701956699</v>
      </c>
      <c r="H64">
        <v>62.259354203768304</v>
      </c>
      <c r="I64">
        <v>82.010231806117929</v>
      </c>
      <c r="J64">
        <v>85.741714969926406</v>
      </c>
      <c r="K64">
        <v>0.88166678185677705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-3.8884077256893699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86.159763132243029</v>
      </c>
      <c r="C65">
        <v>82.270934941983299</v>
      </c>
      <c r="D65">
        <v>95.654937613064249</v>
      </c>
      <c r="E65">
        <v>83.221299359278731</v>
      </c>
      <c r="F65">
        <v>88.308925709790671</v>
      </c>
      <c r="G65">
        <v>87.210676711662828</v>
      </c>
      <c r="H65">
        <v>62.310956006356328</v>
      </c>
      <c r="I65">
        <v>82.036381269631235</v>
      </c>
      <c r="J65">
        <v>86.202199004394501</v>
      </c>
      <c r="K65">
        <v>0.86053160345124502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-4.0055228296621603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86.924366553470335</v>
      </c>
      <c r="C66">
        <v>82.818974439028068</v>
      </c>
      <c r="D66">
        <v>96.748856226129263</v>
      </c>
      <c r="E66">
        <v>83.274191636785403</v>
      </c>
      <c r="F66">
        <v>87.773258207523455</v>
      </c>
      <c r="G66">
        <v>88.565637572842959</v>
      </c>
      <c r="H66">
        <v>63.382768881934062</v>
      </c>
      <c r="I66">
        <v>84.438222692490001</v>
      </c>
      <c r="J66">
        <v>86.919185922072899</v>
      </c>
      <c r="K66">
        <v>0.85618535336021695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-4.05284991930706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87.534280622997002</v>
      </c>
      <c r="C67">
        <v>83.410499643250205</v>
      </c>
      <c r="D67">
        <v>97.120888930554884</v>
      </c>
      <c r="E67">
        <v>83.843797388808397</v>
      </c>
      <c r="F67">
        <v>88.325911411631409</v>
      </c>
      <c r="G67">
        <v>89.287845442480958</v>
      </c>
      <c r="H67">
        <v>64.125587803147241</v>
      </c>
      <c r="I67">
        <v>86.397367685577322</v>
      </c>
      <c r="J67">
        <v>87.470495519397403</v>
      </c>
      <c r="K67">
        <v>0.87187069184569699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-4.2009130632790797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88.431021448947646</v>
      </c>
      <c r="C68">
        <v>84.379839594202068</v>
      </c>
      <c r="D68">
        <v>97.462493746495795</v>
      </c>
      <c r="E68">
        <v>85.138740795297707</v>
      </c>
      <c r="F68">
        <v>89.453883799678763</v>
      </c>
      <c r="G68">
        <v>89.559557190341252</v>
      </c>
      <c r="H68">
        <v>66.656237064620697</v>
      </c>
      <c r="I68">
        <v>87.699467771762201</v>
      </c>
      <c r="J68">
        <v>88.507640031786906</v>
      </c>
      <c r="K68">
        <v>0.88494600112391997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-3.9185325980022001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89.149930660674826</v>
      </c>
      <c r="C69">
        <v>85.197652559903062</v>
      </c>
      <c r="D69">
        <v>97.794868076167234</v>
      </c>
      <c r="E69">
        <v>85.884953343074827</v>
      </c>
      <c r="F69">
        <v>90.264513427070639</v>
      </c>
      <c r="G69">
        <v>90.181202384958837</v>
      </c>
      <c r="H69">
        <v>67.322751506685776</v>
      </c>
      <c r="I69">
        <v>88.993351116166608</v>
      </c>
      <c r="J69">
        <v>89.188496223353098</v>
      </c>
      <c r="K69">
        <v>0.89897536368728204</v>
      </c>
      <c r="L69">
        <v>79.899689230769198</v>
      </c>
      <c r="M69" s="15">
        <f>+'[3]VAR expectations'!C93</f>
        <v>2.6505886564059562</v>
      </c>
      <c r="N69">
        <v>0.580318036056505</v>
      </c>
      <c r="O69">
        <v>0.158164675972188</v>
      </c>
      <c r="P69">
        <v>-3.1723100551774799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89.638324722351584</v>
      </c>
      <c r="C70">
        <v>85.933694938446877</v>
      </c>
      <c r="D70">
        <v>97.975057276424138</v>
      </c>
      <c r="E70">
        <v>86.951765539148369</v>
      </c>
      <c r="F70">
        <v>91.446247184533533</v>
      </c>
      <c r="G70">
        <v>90.86331717074826</v>
      </c>
      <c r="H70">
        <v>68.001536430794573</v>
      </c>
      <c r="I70">
        <v>88.087486852034658</v>
      </c>
      <c r="J70">
        <v>89.624103455778197</v>
      </c>
      <c r="K70">
        <v>0.89820363124720703</v>
      </c>
      <c r="L70">
        <v>81.7654454545455</v>
      </c>
      <c r="M70" s="15">
        <f>+'[3]VAR expectations'!C94</f>
        <v>2.8352346264846378</v>
      </c>
      <c r="N70">
        <v>0.26076684740058298</v>
      </c>
      <c r="O70">
        <v>-0.12701395323713599</v>
      </c>
      <c r="P70">
        <v>-2.7290281558330398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90.489807354165904</v>
      </c>
      <c r="C71">
        <v>86.591555372827244</v>
      </c>
      <c r="D71">
        <v>98.369288784714044</v>
      </c>
      <c r="E71">
        <v>88.590871371058199</v>
      </c>
      <c r="F71">
        <v>93.134622817467189</v>
      </c>
      <c r="G71">
        <v>92.782176374275195</v>
      </c>
      <c r="H71">
        <v>69.334140073638537</v>
      </c>
      <c r="I71">
        <v>90.420068150913082</v>
      </c>
      <c r="J71">
        <v>90.418472588778599</v>
      </c>
      <c r="K71">
        <v>0.91877609262684101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-2.6316096693561302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92.028182628344098</v>
      </c>
      <c r="C72">
        <v>87.912911185638634</v>
      </c>
      <c r="D72">
        <v>99.170311671213014</v>
      </c>
      <c r="E72">
        <v>90.011691301425671</v>
      </c>
      <c r="F72">
        <v>94.438445408583746</v>
      </c>
      <c r="G72">
        <v>93.158056751873232</v>
      </c>
      <c r="H72">
        <v>71.80215734866006</v>
      </c>
      <c r="I72">
        <v>95.633554674350492</v>
      </c>
      <c r="J72">
        <v>92.105457455296104</v>
      </c>
      <c r="K72">
        <v>0.93671209798883504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-2.66505358466625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93.071548774989537</v>
      </c>
      <c r="C73">
        <v>89.053922576599859</v>
      </c>
      <c r="D73">
        <v>99.269250689136967</v>
      </c>
      <c r="E73">
        <v>91.680255310772509</v>
      </c>
      <c r="F73">
        <v>95.451430548840406</v>
      </c>
      <c r="G73">
        <v>96.631562487855149</v>
      </c>
      <c r="H73">
        <v>74.990840794853568</v>
      </c>
      <c r="I73">
        <v>98.193846432622578</v>
      </c>
      <c r="J73">
        <v>93.102830243092697</v>
      </c>
      <c r="K73">
        <v>0.96150868911071197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-3.6943200197305601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93.884559729467824</v>
      </c>
      <c r="C74">
        <v>89.713036231694261</v>
      </c>
      <c r="D74">
        <v>99.557411936877244</v>
      </c>
      <c r="E74">
        <v>93.236841965432859</v>
      </c>
      <c r="F74">
        <v>97.154942431952975</v>
      </c>
      <c r="G74">
        <v>97.117508780527899</v>
      </c>
      <c r="H74">
        <v>76.509658978107026</v>
      </c>
      <c r="I74">
        <v>100.16048918430143</v>
      </c>
      <c r="J74">
        <v>93.8641416406996</v>
      </c>
      <c r="K74">
        <v>0.97448576911988405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-3.8120293216766501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94.672681662636137</v>
      </c>
      <c r="C75">
        <v>90.273188080892268</v>
      </c>
      <c r="D75">
        <v>99.989176173735174</v>
      </c>
      <c r="E75">
        <v>93.531035719288298</v>
      </c>
      <c r="F75">
        <v>97.131057300238368</v>
      </c>
      <c r="G75">
        <v>97.517220704084465</v>
      </c>
      <c r="H75">
        <v>77.876730573563464</v>
      </c>
      <c r="I75">
        <v>104.67335331738366</v>
      </c>
      <c r="J75">
        <v>94.606182788279298</v>
      </c>
      <c r="K75">
        <v>0.96683089386078003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-3.725845378881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95.220643283066167</v>
      </c>
      <c r="C76">
        <v>90.99030817242685</v>
      </c>
      <c r="D76">
        <v>100.268577653549</v>
      </c>
      <c r="E76">
        <v>94.338939199492231</v>
      </c>
      <c r="F76">
        <v>98.059592025703296</v>
      </c>
      <c r="G76">
        <v>98.455674688331399</v>
      </c>
      <c r="H76">
        <v>78.297848125747407</v>
      </c>
      <c r="I76">
        <v>104.58868880277866</v>
      </c>
      <c r="J76">
        <v>95.290586738015193</v>
      </c>
      <c r="K76">
        <v>0.963645602445242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-3.4377883060777799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95.661757043528965</v>
      </c>
      <c r="C77">
        <v>91.874699436915122</v>
      </c>
      <c r="D77">
        <v>99.992931238521734</v>
      </c>
      <c r="E77">
        <v>95.206560214662389</v>
      </c>
      <c r="F77">
        <v>98.60009640728731</v>
      </c>
      <c r="G77">
        <v>98.345099743960404</v>
      </c>
      <c r="H77">
        <v>80.928645935876474</v>
      </c>
      <c r="I77">
        <v>104.384442596038</v>
      </c>
      <c r="J77">
        <v>95.686144195056798</v>
      </c>
      <c r="K77">
        <v>0.95028390228295401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-4.3636593431138598E-2</v>
      </c>
      <c r="P77">
        <v>-2.9927688694863401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96.160112293543932</v>
      </c>
      <c r="C78">
        <v>92.663649475213631</v>
      </c>
      <c r="D78">
        <v>100.06940386101995</v>
      </c>
      <c r="E78">
        <v>96.119079249085175</v>
      </c>
      <c r="F78">
        <v>99.2259795185564</v>
      </c>
      <c r="G78">
        <v>98.888496886438574</v>
      </c>
      <c r="H78">
        <v>82.976479769671258</v>
      </c>
      <c r="I78">
        <v>103.68400110595633</v>
      </c>
      <c r="J78">
        <v>96.142203334553102</v>
      </c>
      <c r="K78">
        <v>0.94745447729996202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-2.5414513737815301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23" si="2">+T78+U78+V78</f>
        <v>154</v>
      </c>
    </row>
    <row r="79" spans="1:23" x14ac:dyDescent="0.25">
      <c r="A79" s="14">
        <v>41274</v>
      </c>
      <c r="B79">
        <v>97.162605213270169</v>
      </c>
      <c r="C79">
        <v>93.826293802550779</v>
      </c>
      <c r="D79">
        <v>100.41595570686832</v>
      </c>
      <c r="E79">
        <v>97.575098549229835</v>
      </c>
      <c r="F79">
        <v>100.72070912619365</v>
      </c>
      <c r="G79">
        <v>99.47966950755773</v>
      </c>
      <c r="H79">
        <v>84.635399402986536</v>
      </c>
      <c r="I79">
        <v>105.585337851286</v>
      </c>
      <c r="J79">
        <v>97.117450186697397</v>
      </c>
      <c r="K79">
        <v>0.949355103727476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-2.57651501674182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97.877816612095316</v>
      </c>
      <c r="C80">
        <v>94.497250700378302</v>
      </c>
      <c r="D80">
        <v>100.25492105725634</v>
      </c>
      <c r="E80">
        <v>98.932644123474844</v>
      </c>
      <c r="F80">
        <v>101.830931197281</v>
      </c>
      <c r="G80">
        <v>101.77826152090233</v>
      </c>
      <c r="H80">
        <v>85.719788082678988</v>
      </c>
      <c r="I80">
        <v>108.31151412421302</v>
      </c>
      <c r="J80">
        <v>97.929587878029196</v>
      </c>
      <c r="K80">
        <v>0.972355750068434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-2.84207261000553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98.251244834672036</v>
      </c>
      <c r="C81">
        <v>95.046695001923169</v>
      </c>
      <c r="D81">
        <v>100.279888859175</v>
      </c>
      <c r="E81">
        <v>99.863651441396669</v>
      </c>
      <c r="F81">
        <v>102.75488031501067</v>
      </c>
      <c r="G81">
        <v>101.836692786694</v>
      </c>
      <c r="H81">
        <v>87.210748035644087</v>
      </c>
      <c r="I81">
        <v>107.83193846031565</v>
      </c>
      <c r="J81">
        <v>98.268092282495004</v>
      </c>
      <c r="K81">
        <v>0.96291817096621002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-2.8344589562620102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98.753563480163962</v>
      </c>
      <c r="C82">
        <v>95.573647458333198</v>
      </c>
      <c r="D82">
        <v>100.44626090465634</v>
      </c>
      <c r="E82">
        <v>100.64041528885299</v>
      </c>
      <c r="F82">
        <v>103.29674445271799</v>
      </c>
      <c r="G82">
        <v>102.71272237685032</v>
      </c>
      <c r="H82">
        <v>88.583475247174363</v>
      </c>
      <c r="I82">
        <v>108.30902169046367</v>
      </c>
      <c r="J82">
        <v>98.740262823904402</v>
      </c>
      <c r="K82">
        <v>0.96345510785528199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-1.9742831927250299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99.166343550895704</v>
      </c>
      <c r="C83">
        <v>96.227045984855167</v>
      </c>
      <c r="D83">
        <v>100.78361360051532</v>
      </c>
      <c r="E83">
        <v>101.17189237869968</v>
      </c>
      <c r="F83">
        <v>103.58182447791133</v>
      </c>
      <c r="G83">
        <v>102.56847691382332</v>
      </c>
      <c r="H83">
        <v>90.446663550317723</v>
      </c>
      <c r="I83">
        <v>107.92701964837067</v>
      </c>
      <c r="J83">
        <v>99.144542634478995</v>
      </c>
      <c r="K83">
        <v>0.94423896776587102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-2.1932674853204901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99.615362686244396</v>
      </c>
      <c r="C84">
        <v>96.761307769917607</v>
      </c>
      <c r="D84">
        <v>100.74134930696501</v>
      </c>
      <c r="E84">
        <v>101.51294787849501</v>
      </c>
      <c r="F84">
        <v>103.69828077752233</v>
      </c>
      <c r="G84">
        <v>102.60559019442466</v>
      </c>
      <c r="H84">
        <v>91.970910832054741</v>
      </c>
      <c r="I84">
        <v>109.70602493194433</v>
      </c>
      <c r="J84">
        <v>99.647133629422001</v>
      </c>
      <c r="K84">
        <v>0.93147449279808303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-1.8826407460311401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99.965622912858677</v>
      </c>
      <c r="C85">
        <v>97.447925777308186</v>
      </c>
      <c r="D85">
        <v>101.19576335006833</v>
      </c>
      <c r="E85">
        <v>101.10631979177134</v>
      </c>
      <c r="F85">
        <v>102.71189449071368</v>
      </c>
      <c r="G85">
        <v>102.60702573096565</v>
      </c>
      <c r="H85">
        <v>93.61486664294911</v>
      </c>
      <c r="I85">
        <v>108.99815162703067</v>
      </c>
      <c r="J85">
        <v>99.974644709060897</v>
      </c>
      <c r="K85">
        <v>0.92996689136503896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-1.3812830357882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100.157914124698</v>
      </c>
      <c r="C86">
        <v>97.960938559214426</v>
      </c>
      <c r="D86">
        <v>101.00930291212335</v>
      </c>
      <c r="E86">
        <v>101.19853533492135</v>
      </c>
      <c r="F86">
        <v>102.33014629818565</v>
      </c>
      <c r="G86">
        <v>102.078644204464</v>
      </c>
      <c r="H86">
        <v>95.729378464203705</v>
      </c>
      <c r="I86">
        <v>108.44648934300135</v>
      </c>
      <c r="J86">
        <v>100.151020010165</v>
      </c>
      <c r="K86">
        <v>0.92086069099077605</v>
      </c>
      <c r="L86">
        <v>88.037404545454606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-1.3362078412582501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100.07163893466678</v>
      </c>
      <c r="C87">
        <v>98.541387084543587</v>
      </c>
      <c r="D87">
        <v>100.498271990399</v>
      </c>
      <c r="E87">
        <v>101.34691736690434</v>
      </c>
      <c r="F87">
        <v>101.90452663819833</v>
      </c>
      <c r="G87">
        <v>102.87796444416635</v>
      </c>
      <c r="H87">
        <v>97.580820491301552</v>
      </c>
      <c r="I87">
        <v>105.70626222666634</v>
      </c>
      <c r="J87">
        <v>100.06495394557</v>
      </c>
      <c r="K87">
        <v>0.90837971880997304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-1.2500252626889301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99.754594110606305</v>
      </c>
      <c r="C88">
        <v>99.110070397287458</v>
      </c>
      <c r="D88">
        <v>100.21587414443997</v>
      </c>
      <c r="E88">
        <v>100.36939972058001</v>
      </c>
      <c r="F88">
        <v>100.68297778251032</v>
      </c>
      <c r="G88">
        <v>100.869414009259</v>
      </c>
      <c r="H88">
        <v>98.715641884104301</v>
      </c>
      <c r="I88">
        <v>100.83024840271666</v>
      </c>
      <c r="J88">
        <v>99.772300008676297</v>
      </c>
      <c r="K88">
        <v>0.88501612621417702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-1.3073327597022499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99.962913759220541</v>
      </c>
      <c r="C89">
        <v>99.577301915063401</v>
      </c>
      <c r="D89">
        <v>100.00587909175793</v>
      </c>
      <c r="E89">
        <v>100.174546543166</v>
      </c>
      <c r="F89">
        <v>100.35772323211199</v>
      </c>
      <c r="G89">
        <v>100.54327272572067</v>
      </c>
      <c r="H89">
        <v>99.290751768748066</v>
      </c>
      <c r="I89">
        <v>101.88475059766733</v>
      </c>
      <c r="J89">
        <v>99.967694261047299</v>
      </c>
      <c r="K89">
        <v>0.87863865587599199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-1.46470023983966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100.13155818964033</v>
      </c>
      <c r="C90">
        <v>100.26568107552134</v>
      </c>
      <c r="D90">
        <v>100.0033583185521</v>
      </c>
      <c r="E90">
        <v>99.894524324643569</v>
      </c>
      <c r="F90">
        <v>99.795709345440002</v>
      </c>
      <c r="G90">
        <v>99.801518418399056</v>
      </c>
      <c r="H90">
        <v>100.33000684616768</v>
      </c>
      <c r="I90">
        <v>99.958739893985637</v>
      </c>
      <c r="J90">
        <v>100.130088275278</v>
      </c>
      <c r="K90">
        <v>0.86531484886283705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-1.2747421779619901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100.13072579803766</v>
      </c>
      <c r="C91">
        <v>101.03451232699267</v>
      </c>
      <c r="D91">
        <v>99.773707546798462</v>
      </c>
      <c r="E91">
        <v>99.557423105541503</v>
      </c>
      <c r="F91">
        <v>99.153475544079996</v>
      </c>
      <c r="G91">
        <v>98.664350368893039</v>
      </c>
      <c r="H91">
        <v>101.74154933290134</v>
      </c>
      <c r="I91">
        <v>97.16257340673701</v>
      </c>
      <c r="J91">
        <v>100.129917454999</v>
      </c>
      <c r="K91">
        <v>0.85526092569934098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-0.81574917746284004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100.13186896887935</v>
      </c>
      <c r="C92">
        <v>101.628549628557</v>
      </c>
      <c r="D92">
        <v>99.60686551019387</v>
      </c>
      <c r="E92">
        <v>98.872424981077003</v>
      </c>
      <c r="F92">
        <v>98.158808076933269</v>
      </c>
      <c r="G92">
        <v>97.548756297032597</v>
      </c>
      <c r="H92">
        <v>102.87246040242765</v>
      </c>
      <c r="I92">
        <v>95.366324947059653</v>
      </c>
      <c r="J92">
        <v>100.143562833028</v>
      </c>
      <c r="K92">
        <v>0.868638273105657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-0.670885059976979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100.32131009647999</v>
      </c>
      <c r="C93">
        <v>102.17389274329066</v>
      </c>
      <c r="D93">
        <v>99.218611128936402</v>
      </c>
      <c r="E93">
        <v>98.486797150742063</v>
      </c>
      <c r="F93">
        <v>97.584256060050237</v>
      </c>
      <c r="G93">
        <v>96.320206892202819</v>
      </c>
      <c r="H93">
        <v>104.024686959363</v>
      </c>
      <c r="I93">
        <v>96.855230294135097</v>
      </c>
      <c r="J93">
        <v>100.3249179968</v>
      </c>
      <c r="K93">
        <v>0.89268401707218803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-0.95230901048582905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100.82653172120433</v>
      </c>
      <c r="C94">
        <v>102.98607193915966</v>
      </c>
      <c r="D94">
        <v>99.174415989049251</v>
      </c>
      <c r="E94">
        <v>98.706459780922103</v>
      </c>
      <c r="F94">
        <v>97.439931484061233</v>
      </c>
      <c r="G94">
        <v>96.295363879374932</v>
      </c>
      <c r="H94">
        <v>105.939802031783</v>
      </c>
      <c r="I94">
        <v>97.780258458969925</v>
      </c>
      <c r="J94">
        <v>100.82709543793401</v>
      </c>
      <c r="K94">
        <v>0.93081391328015095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-0.74176939552118804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101.34957984794134</v>
      </c>
      <c r="C95">
        <v>103.42489088272266</v>
      </c>
      <c r="D95">
        <v>99.728784546227999</v>
      </c>
      <c r="E95">
        <v>98.872134713022163</v>
      </c>
      <c r="F95">
        <v>97.343020513246771</v>
      </c>
      <c r="G95">
        <v>97.005331173351294</v>
      </c>
      <c r="H95">
        <v>106.73745793106066</v>
      </c>
      <c r="I95">
        <v>100.00116651562074</v>
      </c>
      <c r="J95">
        <v>101.350110425914</v>
      </c>
      <c r="K95">
        <v>0.95141918031597195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-0.67478306722583303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102.286943056239</v>
      </c>
      <c r="C96">
        <v>104.16084536589267</v>
      </c>
      <c r="D96">
        <v>100.31938788644761</v>
      </c>
      <c r="E96">
        <v>100.01486252757242</v>
      </c>
      <c r="F96">
        <v>98.460380652263311</v>
      </c>
      <c r="G96">
        <v>97.899052970261323</v>
      </c>
      <c r="H96">
        <v>108.40470308931201</v>
      </c>
      <c r="I96">
        <v>103.554000993616</v>
      </c>
      <c r="J96">
        <v>102.296800431381</v>
      </c>
      <c r="K96">
        <v>0.96237835892332202</v>
      </c>
      <c r="L96">
        <v>77.057224615384598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-0.56431528803061204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103.08375796158667</v>
      </c>
      <c r="C97">
        <v>105.06515033161099</v>
      </c>
      <c r="D97">
        <v>101.173137317181</v>
      </c>
      <c r="E97">
        <v>101.23502778888034</v>
      </c>
      <c r="F97">
        <v>99.499150051952441</v>
      </c>
      <c r="G97">
        <v>99.079098156807149</v>
      </c>
      <c r="H97">
        <v>110.424596319684</v>
      </c>
      <c r="I97">
        <v>102.425300051505</v>
      </c>
      <c r="J97">
        <v>103.08892729411799</v>
      </c>
      <c r="K97">
        <v>0.96203229687709402</v>
      </c>
      <c r="L97">
        <v>77.969992307692294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-0.63519953449580302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103.64571846355767</v>
      </c>
      <c r="C98">
        <v>105.72546074122999</v>
      </c>
      <c r="D98">
        <v>101.62155000451867</v>
      </c>
      <c r="E98">
        <v>101.818566014117</v>
      </c>
      <c r="F98">
        <v>99.910048204990929</v>
      </c>
      <c r="G98">
        <v>99.584413559454489</v>
      </c>
      <c r="H98">
        <v>111.82159398089966</v>
      </c>
      <c r="I98">
        <v>102.42640285256699</v>
      </c>
      <c r="J98">
        <v>103.645591836715</v>
      </c>
      <c r="K98">
        <v>0.96511973639988902</v>
      </c>
      <c r="L98">
        <v>76.548206153846195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-0.80360708479073395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104.41965827129268</v>
      </c>
      <c r="C99">
        <v>106.22455740696533</v>
      </c>
      <c r="D99">
        <v>102.237318600493</v>
      </c>
      <c r="E99">
        <v>103.07933574261567</v>
      </c>
      <c r="F99">
        <v>101.26011578625234</v>
      </c>
      <c r="G99">
        <v>99.758292567155607</v>
      </c>
      <c r="H99">
        <v>113.47041730463734</v>
      </c>
      <c r="I99">
        <v>105.15823613773834</v>
      </c>
      <c r="J99">
        <v>104.41987742584701</v>
      </c>
      <c r="K99">
        <v>0.97142089480623395</v>
      </c>
      <c r="L99">
        <v>77.705763076923105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-0.83009864733065897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105.07022544733066</v>
      </c>
      <c r="C100">
        <v>106.832700862284</v>
      </c>
      <c r="D100">
        <v>102.59017962525267</v>
      </c>
      <c r="E100">
        <v>103.73119832615733</v>
      </c>
      <c r="F100">
        <v>101.66107092738332</v>
      </c>
      <c r="G100">
        <v>99.932532680371011</v>
      </c>
      <c r="H100">
        <v>116.05637197466501</v>
      </c>
      <c r="I100">
        <v>107.58359330974633</v>
      </c>
      <c r="J100">
        <v>105.079509754548</v>
      </c>
      <c r="K100">
        <v>0.97239250214329997</v>
      </c>
      <c r="L100">
        <v>79.029952307692298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-0.90531947100805399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105.578141993968</v>
      </c>
      <c r="C101">
        <v>107.42046324343134</v>
      </c>
      <c r="D101">
        <v>102.934080151293</v>
      </c>
      <c r="E101">
        <v>104.071935467573</v>
      </c>
      <c r="F101">
        <v>101.78491217859766</v>
      </c>
      <c r="G101">
        <v>99.718845052373766</v>
      </c>
      <c r="H101">
        <v>118.06799775900167</v>
      </c>
      <c r="I101">
        <v>108.72146265898134</v>
      </c>
      <c r="J101">
        <v>105.586072285813</v>
      </c>
      <c r="K101">
        <v>0.98285866599527105</v>
      </c>
      <c r="L101">
        <v>79.095200000000006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-0.74790025723690201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106.244243142534</v>
      </c>
      <c r="C102">
        <v>108.28094499883332</v>
      </c>
      <c r="D102">
        <v>102.85893259804732</v>
      </c>
      <c r="E102">
        <v>104.47859456782699</v>
      </c>
      <c r="F102">
        <v>101.97178286291766</v>
      </c>
      <c r="G102">
        <v>99.948514492263541</v>
      </c>
      <c r="H102">
        <v>119.75248286492233</v>
      </c>
      <c r="I102">
        <v>111.697108525864</v>
      </c>
      <c r="J102">
        <v>106.243381898778</v>
      </c>
      <c r="K102">
        <v>0.99442913161891899</v>
      </c>
      <c r="L102">
        <v>77.810726153846105</v>
      </c>
      <c r="M102" s="15">
        <f>+'[3]VAR expectations'!C126</f>
        <v>2.6759360893479318</v>
      </c>
      <c r="N102">
        <v>0.59026787322204299</v>
      </c>
      <c r="O102">
        <v>0.21968415645398701</v>
      </c>
      <c r="P102">
        <v>-0.56254020880290001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106.78874639582466</v>
      </c>
      <c r="C103">
        <v>108.84483412033568</v>
      </c>
      <c r="D103">
        <v>103.17327826985934</v>
      </c>
      <c r="E103">
        <v>104.960203454373</v>
      </c>
      <c r="F103">
        <v>101.961385103523</v>
      </c>
      <c r="G103">
        <v>100.28854674603001</v>
      </c>
      <c r="H103">
        <v>122.65691584684566</v>
      </c>
      <c r="I103">
        <v>114.00333316206201</v>
      </c>
      <c r="J103">
        <v>106.78784352247899</v>
      </c>
      <c r="K103">
        <v>0.992627827137195</v>
      </c>
      <c r="L103">
        <v>77.839012121212093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-0.54888891775288096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107.049629471782</v>
      </c>
      <c r="C104">
        <v>109.47862305122366</v>
      </c>
      <c r="D104">
        <v>103.51934503220768</v>
      </c>
      <c r="E104">
        <v>105.86337645723331</v>
      </c>
      <c r="F104">
        <v>102.63461273096499</v>
      </c>
      <c r="G104">
        <v>100.91299457331733</v>
      </c>
      <c r="H104">
        <v>125.27526628546032</v>
      </c>
      <c r="I104">
        <v>109.35112676819033</v>
      </c>
      <c r="J104">
        <v>107.05794330345201</v>
      </c>
      <c r="K104">
        <v>0.99096935430098199</v>
      </c>
      <c r="L104">
        <v>78.725142187499998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-0.12737372541283701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107.73365739796066</v>
      </c>
      <c r="C105">
        <v>110.26546665469833</v>
      </c>
      <c r="D105">
        <v>103.366289535165</v>
      </c>
      <c r="E105">
        <v>105.98325827186034</v>
      </c>
      <c r="F105">
        <v>102.93347881801401</v>
      </c>
      <c r="G105">
        <v>100.37509621941565</v>
      </c>
      <c r="H105">
        <v>125.30775631783801</v>
      </c>
      <c r="I105">
        <v>115.34732206036132</v>
      </c>
      <c r="J105">
        <v>107.744621579634</v>
      </c>
      <c r="K105">
        <v>1.0010002143604899</v>
      </c>
      <c r="L105">
        <v>78.454716923076901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-0.56532865943801702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108.194245972283</v>
      </c>
      <c r="C106">
        <v>110.92556606702601</v>
      </c>
      <c r="D106">
        <v>103.50444884393967</v>
      </c>
      <c r="E106">
        <v>106.70622789237267</v>
      </c>
      <c r="F106">
        <v>103.63125595335767</v>
      </c>
      <c r="G106">
        <v>100.88401422238</v>
      </c>
      <c r="H106">
        <v>126.24706225433766</v>
      </c>
      <c r="I106">
        <v>114.76943850893734</v>
      </c>
      <c r="J106">
        <v>108.193155550935</v>
      </c>
      <c r="K106">
        <v>1.01630498304328</v>
      </c>
      <c r="L106">
        <v>75.791030303030297</v>
      </c>
      <c r="M106" s="15">
        <f>+'[3]VAR expectations'!C130</f>
        <v>2.9781745842670815</v>
      </c>
      <c r="N106">
        <v>0.17462163035891701</v>
      </c>
      <c r="O106">
        <v>-8.21163442679727E-3</v>
      </c>
      <c r="P106">
        <v>-0.44907607470031002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108.28444078043732</v>
      </c>
      <c r="C107">
        <v>111.40365959477931</v>
      </c>
      <c r="D107">
        <v>103.61017159045133</v>
      </c>
      <c r="E107">
        <v>106.90484832258767</v>
      </c>
      <c r="F107">
        <v>103.69319455638266</v>
      </c>
      <c r="G107">
        <v>101.62109366970465</v>
      </c>
      <c r="H107">
        <v>126.21921410726499</v>
      </c>
      <c r="I107">
        <v>112.14242019765702</v>
      </c>
      <c r="J107">
        <v>108.282288964975</v>
      </c>
      <c r="K107">
        <v>0.99229522646605794</v>
      </c>
      <c r="L107">
        <v>79.399309090909099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-0.54951317045913195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108.86651312086833</v>
      </c>
      <c r="C108">
        <v>112.15127871463368</v>
      </c>
      <c r="D108">
        <v>103.93145574816066</v>
      </c>
      <c r="E108">
        <v>107.24199636423033</v>
      </c>
      <c r="F108">
        <v>103.99712608121332</v>
      </c>
      <c r="G108">
        <v>101.89238531375533</v>
      </c>
      <c r="H108">
        <v>126.731795238131</v>
      </c>
      <c r="I108">
        <v>112.94124606710666</v>
      </c>
      <c r="J108">
        <v>108.873637235746</v>
      </c>
      <c r="K108">
        <v>0.98899334245689396</v>
      </c>
      <c r="L108">
        <v>79.225938461538504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-0.62816482275602004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108.36999600221502</v>
      </c>
      <c r="C109">
        <v>112.35900991163699</v>
      </c>
      <c r="D109">
        <v>103.91099179131299</v>
      </c>
      <c r="E109">
        <v>107.79392941107466</v>
      </c>
      <c r="F109">
        <v>104.40927835978266</v>
      </c>
      <c r="G109">
        <v>102.38875982581634</v>
      </c>
      <c r="H109">
        <v>128.68898243319933</v>
      </c>
      <c r="I109">
        <v>102.58939994763733</v>
      </c>
      <c r="J109">
        <v>108.383109144698</v>
      </c>
      <c r="K109">
        <v>0.97852219441341504</v>
      </c>
      <c r="L109">
        <v>77.411789230769202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-2.7953173424120599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108.85148453593565</v>
      </c>
      <c r="C110">
        <v>112.52109331429831</v>
      </c>
      <c r="D110">
        <v>104.64731136836268</v>
      </c>
      <c r="E110">
        <v>107.65635339424067</v>
      </c>
      <c r="F110">
        <v>103.974291981343</v>
      </c>
      <c r="G110">
        <v>101.732477708172</v>
      </c>
      <c r="H110">
        <v>130.61540013793635</v>
      </c>
      <c r="I110">
        <v>104.82665886131265</v>
      </c>
      <c r="J110">
        <v>108.851080024105</v>
      </c>
      <c r="K110">
        <v>0.98131634253016897</v>
      </c>
      <c r="L110">
        <v>77.442254545454603</v>
      </c>
      <c r="M110" s="15">
        <f>+'[3]VAR expectations'!C134</f>
        <v>3.1319434989789481</v>
      </c>
      <c r="N110">
        <v>-0.57563884899936602</v>
      </c>
      <c r="O110">
        <v>0.118900887754049</v>
      </c>
      <c r="P110">
        <v>-1.9686756956890199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108.84668069678467</v>
      </c>
      <c r="C111">
        <v>112.97971237855768</v>
      </c>
      <c r="D111">
        <v>104.80535453542933</v>
      </c>
      <c r="E111">
        <v>107.275281097469</v>
      </c>
      <c r="F111">
        <v>103.18050631058566</v>
      </c>
      <c r="G111">
        <v>102.05123956550834</v>
      </c>
      <c r="H111">
        <v>131.75135031320133</v>
      </c>
      <c r="I111">
        <v>102.085225807296</v>
      </c>
      <c r="J111">
        <v>108.842630753065</v>
      </c>
      <c r="K111">
        <v>0.99367632090301194</v>
      </c>
      <c r="L111">
        <v>77.953772727272707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-1.6890834060590401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109.56070028150134</v>
      </c>
      <c r="C112">
        <v>113.91035879217766</v>
      </c>
      <c r="D112">
        <v>104.663589747948</v>
      </c>
      <c r="E112">
        <v>107.42893648756301</v>
      </c>
      <c r="F112">
        <v>103.07449779784633</v>
      </c>
      <c r="G112">
        <v>102.23485052020999</v>
      </c>
      <c r="H112">
        <v>133.18606025655035</v>
      </c>
      <c r="I112">
        <v>106.50481472279368</v>
      </c>
      <c r="J112">
        <v>109.566519343427</v>
      </c>
      <c r="K112">
        <v>1.01035497239337</v>
      </c>
      <c r="L112">
        <v>80.470739062500002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-0.91134538553109701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110.56514651054734</v>
      </c>
      <c r="C113">
        <v>114.445892549389</v>
      </c>
      <c r="D113">
        <v>106.034195558044</v>
      </c>
      <c r="E113">
        <v>107.84520604688601</v>
      </c>
      <c r="F113">
        <v>103.63931666510933</v>
      </c>
      <c r="G113">
        <v>103.19847580820101</v>
      </c>
      <c r="H113">
        <v>132.67070120200901</v>
      </c>
      <c r="I113">
        <v>111.581152044107</v>
      </c>
      <c r="J113">
        <v>110.579052356871</v>
      </c>
      <c r="K113">
        <v>1.01525370044581</v>
      </c>
      <c r="L113">
        <v>81.776303076923099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0.12639862996819101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111.88032158711268</v>
      </c>
      <c r="C114">
        <v>115.26438452204802</v>
      </c>
      <c r="D114">
        <v>107.77817267480533</v>
      </c>
      <c r="E114">
        <v>108.44559992727233</v>
      </c>
      <c r="F114">
        <v>104.11597473166567</v>
      </c>
      <c r="G114">
        <v>103.32077968206134</v>
      </c>
      <c r="H114">
        <v>134.12234035442032</v>
      </c>
      <c r="I114">
        <v>114.99343084081333</v>
      </c>
      <c r="J114">
        <v>111.88045748402099</v>
      </c>
      <c r="K114">
        <v>1.03997360502412</v>
      </c>
      <c r="L114">
        <v>81.762672727272701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0.25699063180405501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114.17487871654767</v>
      </c>
      <c r="C115">
        <v>116.70044595639867</v>
      </c>
      <c r="D115">
        <v>109.53360860973767</v>
      </c>
      <c r="E115">
        <v>110.34784481057299</v>
      </c>
      <c r="F115">
        <v>105.89632383550934</v>
      </c>
      <c r="G115">
        <v>104.30887046110701</v>
      </c>
      <c r="H115">
        <v>137.95625605476499</v>
      </c>
      <c r="I115">
        <v>126.85822030803133</v>
      </c>
      <c r="J115">
        <v>114.170099607602</v>
      </c>
      <c r="K115">
        <v>1.08993629530979</v>
      </c>
      <c r="L115">
        <v>81.6023757575758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0.77406084237628303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116.405270657402</v>
      </c>
      <c r="C116">
        <v>117.99940998791432</v>
      </c>
      <c r="D116">
        <v>112.00329644137567</v>
      </c>
      <c r="E116">
        <v>112.55990669045032</v>
      </c>
      <c r="F116">
        <v>108.327915393938</v>
      </c>
      <c r="G116">
        <v>104.10352693737532</v>
      </c>
      <c r="H116">
        <v>141.22827557671766</v>
      </c>
      <c r="I116">
        <v>132.33826397717434</v>
      </c>
      <c r="J116">
        <v>116.41085795017899</v>
      </c>
      <c r="K116">
        <v>1.13769892118654</v>
      </c>
      <c r="L116">
        <v>82.314385937500006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1.35170655606124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120.66734059208466</v>
      </c>
      <c r="C117">
        <v>120.08707715098667</v>
      </c>
      <c r="D117">
        <v>113.70786388276366</v>
      </c>
      <c r="E117">
        <v>115.66306877815434</v>
      </c>
      <c r="F117">
        <v>112.30605326245768</v>
      </c>
      <c r="G117">
        <v>104.59045564953367</v>
      </c>
      <c r="H117">
        <v>143.42382312702264</v>
      </c>
      <c r="I117">
        <v>171.62942007386633</v>
      </c>
      <c r="J117">
        <v>120.682674091309</v>
      </c>
      <c r="K117">
        <v>1.1985115600057099</v>
      </c>
      <c r="L117">
        <v>80.147603076923104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1.5514890038746301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123.10985021159968</v>
      </c>
      <c r="C118">
        <v>122.11536121927134</v>
      </c>
      <c r="D118">
        <v>115.00900183703668</v>
      </c>
      <c r="E118">
        <v>120.39557917403266</v>
      </c>
      <c r="F118">
        <v>118.06356865535668</v>
      </c>
      <c r="G118">
        <v>106.27761755697999</v>
      </c>
      <c r="H118">
        <v>145.05310860332932</v>
      </c>
      <c r="I118">
        <v>176.71912426834203</v>
      </c>
      <c r="J118">
        <v>123.111790792669</v>
      </c>
      <c r="K118">
        <v>1.2705070608593101</v>
      </c>
      <c r="L118">
        <v>78.114139393939396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1.1263772723822001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126.441651096125</v>
      </c>
      <c r="C119">
        <v>124.23951557167</v>
      </c>
      <c r="D119">
        <v>116.38215169352566</v>
      </c>
      <c r="E119">
        <v>124.576910086623</v>
      </c>
      <c r="F119">
        <v>123.33754007140466</v>
      </c>
      <c r="G119">
        <v>108.27508288416199</v>
      </c>
      <c r="H119">
        <v>145.410057736933</v>
      </c>
      <c r="I119">
        <v>197.6339316948557</v>
      </c>
      <c r="J119">
        <v>126.436132575809</v>
      </c>
      <c r="K119">
        <v>1.24995487586761</v>
      </c>
      <c r="L119">
        <v>78.044989230769204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0.76649064726468796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128.26555210005733</v>
      </c>
      <c r="C120">
        <v>125.55497515825401</v>
      </c>
      <c r="D120">
        <v>118.38028089138466</v>
      </c>
      <c r="E120">
        <v>128.52653452787467</v>
      </c>
      <c r="F120">
        <v>127.78844131470601</v>
      </c>
      <c r="G120">
        <v>110.18585728626033</v>
      </c>
      <c r="H120">
        <v>148.27817105025665</v>
      </c>
      <c r="I120">
        <v>193.53967912424534</v>
      </c>
      <c r="J120">
        <v>128.27133674220201</v>
      </c>
      <c r="K120">
        <v>1.2103342758655</v>
      </c>
      <c r="L120">
        <v>78.11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0.53884785461409801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130.58335419444597</v>
      </c>
      <c r="C121">
        <v>128.18693222038866</v>
      </c>
      <c r="D121">
        <v>120.39004051787167</v>
      </c>
      <c r="E121">
        <v>133.59533365200133</v>
      </c>
      <c r="F121">
        <v>132.53645049130702</v>
      </c>
      <c r="G121">
        <v>111.771298752652</v>
      </c>
      <c r="H121">
        <v>159.64179952030167</v>
      </c>
      <c r="I121">
        <v>187.900635657744</v>
      </c>
      <c r="J121">
        <v>130.58061135073399</v>
      </c>
      <c r="K121">
        <v>1.18463781935945</v>
      </c>
      <c r="L121">
        <v>79.248999999999995</v>
      </c>
      <c r="M121" s="15">
        <f>+'[3]VAR expectations'!C145</f>
        <v>4.9659010810981856</v>
      </c>
      <c r="N121">
        <v>0.84996457557134297</v>
      </c>
      <c r="O121">
        <v>-0.231251350162267</v>
      </c>
      <c r="P121">
        <v>0.22413649244832701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131.72326358668334</v>
      </c>
      <c r="C122">
        <v>130.07007980495433</v>
      </c>
      <c r="D122">
        <v>121.59017661439134</v>
      </c>
      <c r="E122">
        <v>135.49240024111165</v>
      </c>
      <c r="F122">
        <v>135.50068062544634</v>
      </c>
      <c r="G122">
        <v>115.68153559203832</v>
      </c>
      <c r="H122">
        <v>162.23901659977099</v>
      </c>
      <c r="I122">
        <v>174.76821272798801</v>
      </c>
      <c r="J122">
        <v>131.70701566493599</v>
      </c>
      <c r="K122">
        <v>1.14359392537562</v>
      </c>
      <c r="L122">
        <v>79.174000000000007</v>
      </c>
      <c r="M122" s="15">
        <f>+'[3]VAR expectations'!C146</f>
        <v>4.3007323969777262</v>
      </c>
      <c r="N122">
        <v>1.6412952943836E-2</v>
      </c>
      <c r="O122">
        <v>-0.673433352934243</v>
      </c>
      <c r="P122">
        <v>-3.0000000000000401E-2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I123">
        <v>174.64744481168267</v>
      </c>
      <c r="J123">
        <v>132.90826090190001</v>
      </c>
      <c r="K123">
        <v>1.11393455513414</v>
      </c>
      <c r="L123">
        <v>79.070999999999998</v>
      </c>
      <c r="M123" s="15"/>
      <c r="N123">
        <v>-0.95385946224346096</v>
      </c>
      <c r="P123">
        <v>-0.16499999999998199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I124">
        <v>180.50603289274201</v>
      </c>
      <c r="J124">
        <v>133.922538403385</v>
      </c>
      <c r="K124">
        <v>1.0926305323461101</v>
      </c>
      <c r="L124">
        <v>78.953999999999994</v>
      </c>
      <c r="M124" s="15"/>
      <c r="N124">
        <v>-0.47178749693868899</v>
      </c>
      <c r="P124">
        <v>-0.357645506455607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ref="W124" si="3">W120</f>
        <v>160.33333333333331</v>
      </c>
    </row>
    <row r="125" spans="1:23" x14ac:dyDescent="0.25">
      <c r="A125" s="14">
        <v>45473</v>
      </c>
      <c r="I125">
        <v>178.74330164456399</v>
      </c>
      <c r="J125">
        <v>134.99246134645199</v>
      </c>
      <c r="K125">
        <v>1.07954996005611</v>
      </c>
      <c r="L125">
        <v>78.837000000000003</v>
      </c>
      <c r="M125" s="15"/>
      <c r="N125">
        <v>-0.34759565023433198</v>
      </c>
      <c r="P125">
        <v>-0.53064241059412698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ref="W125" si="4">W121</f>
        <v>161</v>
      </c>
    </row>
    <row r="126" spans="1:23" x14ac:dyDescent="0.25">
      <c r="A126" s="14">
        <v>45565</v>
      </c>
      <c r="I126">
        <v>179.46813553961999</v>
      </c>
      <c r="J126">
        <v>135.53818179649099</v>
      </c>
      <c r="K126">
        <v>1.07149928565427</v>
      </c>
      <c r="L126">
        <v>78.725999999999999</v>
      </c>
      <c r="M126" s="15"/>
      <c r="N126">
        <v>0.20412504955924901</v>
      </c>
      <c r="P126">
        <v>-0.64586442233591401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ref="W126" si="5">W122</f>
        <v>161</v>
      </c>
    </row>
    <row r="127" spans="1:23" x14ac:dyDescent="0.25">
      <c r="A127" s="14">
        <v>45657</v>
      </c>
      <c r="I127">
        <v>177.11086115689966</v>
      </c>
      <c r="J127">
        <v>135.93245710809799</v>
      </c>
      <c r="K127">
        <v>1.06516354812039</v>
      </c>
      <c r="L127">
        <v>78.622</v>
      </c>
      <c r="M127" s="15"/>
      <c r="N127">
        <v>0.120670896180128</v>
      </c>
      <c r="P127">
        <v>-0.74163070483674998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ref="W127" si="6">W123</f>
        <v>161</v>
      </c>
    </row>
    <row r="128" spans="1:23" x14ac:dyDescent="0.25">
      <c r="A128" s="14">
        <v>45747</v>
      </c>
      <c r="I128">
        <v>173.65074501459264</v>
      </c>
      <c r="J128">
        <v>135.952920342211</v>
      </c>
      <c r="K128">
        <v>1.0614217135585899</v>
      </c>
      <c r="L128">
        <v>78.522999999999996</v>
      </c>
      <c r="M128" s="15"/>
      <c r="N128">
        <v>-0.28376155831699301</v>
      </c>
      <c r="P128">
        <v>-0.81829047504699204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ref="W128" si="7">W124</f>
        <v>160.33333333333331</v>
      </c>
    </row>
    <row r="129" spans="1:23" x14ac:dyDescent="0.25">
      <c r="A129" s="14">
        <v>45838</v>
      </c>
      <c r="I129">
        <v>168.65334056096398</v>
      </c>
      <c r="J129">
        <v>136.46688232741499</v>
      </c>
      <c r="K129">
        <v>1.0594525356694799</v>
      </c>
      <c r="L129">
        <v>78.424000000000007</v>
      </c>
      <c r="M129" s="15"/>
      <c r="N129">
        <v>-0.48892291464545301</v>
      </c>
      <c r="P129">
        <v>-0.87543110149629699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ref="W129" si="8">W125</f>
        <v>161</v>
      </c>
    </row>
    <row r="130" spans="1:23" x14ac:dyDescent="0.25">
      <c r="A130" s="14">
        <v>45930</v>
      </c>
      <c r="I130">
        <v>169.07557157358335</v>
      </c>
      <c r="J130">
        <v>136.910466618394</v>
      </c>
      <c r="K130">
        <v>1.05874826281446</v>
      </c>
      <c r="L130">
        <v>78.325999999999993</v>
      </c>
      <c r="M130" s="15"/>
      <c r="N130">
        <v>-0.47080858733049702</v>
      </c>
      <c r="P130">
        <v>-0.95186900454048895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ref="W130" si="9">W126</f>
        <v>161</v>
      </c>
    </row>
    <row r="131" spans="1:23" x14ac:dyDescent="0.25">
      <c r="A131" s="14">
        <v>46022</v>
      </c>
      <c r="I131">
        <v>166.99194695962868</v>
      </c>
      <c r="J131">
        <v>137.32013541976599</v>
      </c>
      <c r="K131">
        <v>1.0573729375559999</v>
      </c>
      <c r="L131">
        <v>78.227999999999994</v>
      </c>
      <c r="M131" s="15"/>
      <c r="N131">
        <v>-0.462909245292069</v>
      </c>
      <c r="P131">
        <v>-0.98971265047311097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ref="W131" si="10">W127</f>
        <v>161</v>
      </c>
    </row>
    <row r="132" spans="1:23" s="21" customFormat="1" x14ac:dyDescent="0.25">
      <c r="A132" s="20">
        <v>46112</v>
      </c>
      <c r="I132" s="21">
        <v>164.23588527322534</v>
      </c>
      <c r="J132" s="21">
        <v>137.402334715222</v>
      </c>
      <c r="K132" s="21">
        <v>1.0564638006201099</v>
      </c>
      <c r="L132" s="21">
        <v>78.132000000000005</v>
      </c>
      <c r="M132" s="22"/>
      <c r="N132" s="21">
        <v>-0.42689472299394998</v>
      </c>
      <c r="P132" s="21">
        <v>-0.98907750924618698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ref="W132" si="11">W128</f>
        <v>160.33333333333331</v>
      </c>
    </row>
    <row r="133" spans="1:23" s="21" customFormat="1" x14ac:dyDescent="0.25">
      <c r="A133" s="20">
        <v>46203</v>
      </c>
      <c r="I133" s="21">
        <v>161.642988929707</v>
      </c>
      <c r="J133" s="21">
        <v>138.04542762822601</v>
      </c>
      <c r="K133" s="21">
        <v>1.0544041788267799</v>
      </c>
      <c r="L133" s="21">
        <v>78.040000000000006</v>
      </c>
      <c r="M133" s="22"/>
      <c r="N133" s="21">
        <v>-0.35225357060344997</v>
      </c>
      <c r="P133" s="21">
        <v>-0.96885877908061502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ref="W133" si="12">W129</f>
        <v>161</v>
      </c>
    </row>
    <row r="134" spans="1:23" x14ac:dyDescent="0.25">
      <c r="A134" s="14">
        <v>46295</v>
      </c>
      <c r="I134">
        <v>162.32517448033067</v>
      </c>
      <c r="M134" s="15"/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ref="W134" si="13">W130</f>
        <v>161</v>
      </c>
    </row>
    <row r="135" spans="1:23" x14ac:dyDescent="0.25">
      <c r="A135" s="14">
        <v>46387</v>
      </c>
      <c r="I135">
        <v>161.24958330934098</v>
      </c>
      <c r="M135" s="15"/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</row>
    <row r="136" spans="1:23" x14ac:dyDescent="0.25">
      <c r="A136" s="14">
        <v>46477</v>
      </c>
      <c r="M136" s="15"/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</row>
    <row r="137" spans="1:23" x14ac:dyDescent="0.25">
      <c r="A137" s="14">
        <v>46568</v>
      </c>
      <c r="M137" s="15"/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</row>
    <row r="138" spans="1:23" x14ac:dyDescent="0.25">
      <c r="A138" s="14">
        <v>46660</v>
      </c>
      <c r="M138" s="15"/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</row>
    <row r="139" spans="1:23" x14ac:dyDescent="0.25">
      <c r="A139" s="14">
        <v>46752</v>
      </c>
      <c r="M139" s="15"/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</row>
    <row r="140" spans="1:23" x14ac:dyDescent="0.25">
      <c r="A140" s="14">
        <v>46843</v>
      </c>
      <c r="M140" s="15"/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</row>
    <row r="141" spans="1:23" x14ac:dyDescent="0.25">
      <c r="A141" s="14">
        <v>46934</v>
      </c>
      <c r="M141" s="15"/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</row>
    <row r="142" spans="1:23" x14ac:dyDescent="0.25">
      <c r="A142" s="14">
        <v>47026</v>
      </c>
      <c r="M142" s="15"/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</row>
    <row r="143" spans="1:23" x14ac:dyDescent="0.25">
      <c r="A143" s="14">
        <v>47118</v>
      </c>
      <c r="M143" s="15"/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</row>
    <row r="144" spans="1:23" x14ac:dyDescent="0.25">
      <c r="A144" s="14">
        <v>47208</v>
      </c>
      <c r="M144" s="15"/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</row>
    <row r="145" spans="1:22" x14ac:dyDescent="0.25">
      <c r="A145" s="14">
        <v>47299</v>
      </c>
      <c r="I145" s="3"/>
      <c r="M145" s="15"/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</row>
    <row r="146" spans="1:22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2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2" x14ac:dyDescent="0.25">
      <c r="A148" s="14"/>
      <c r="M148" s="15"/>
    </row>
    <row r="149" spans="1:22" x14ac:dyDescent="0.25">
      <c r="A149" s="14"/>
      <c r="M149" s="15"/>
    </row>
    <row r="150" spans="1:22" x14ac:dyDescent="0.25">
      <c r="A150" s="14"/>
      <c r="M150" s="15"/>
    </row>
    <row r="151" spans="1:22" x14ac:dyDescent="0.25">
      <c r="A151" s="14"/>
      <c r="M151" s="15"/>
    </row>
    <row r="152" spans="1:22" x14ac:dyDescent="0.25">
      <c r="A152" s="14"/>
      <c r="M152" s="15"/>
    </row>
    <row r="153" spans="1:22" x14ac:dyDescent="0.25">
      <c r="A153" s="14"/>
      <c r="M153" s="15"/>
    </row>
    <row r="154" spans="1:22" x14ac:dyDescent="0.25">
      <c r="A154" s="14"/>
      <c r="M154" s="15"/>
    </row>
    <row r="155" spans="1:22" x14ac:dyDescent="0.25">
      <c r="A155" s="14"/>
      <c r="M155" s="15"/>
    </row>
    <row r="156" spans="1:22" x14ac:dyDescent="0.25">
      <c r="A156" s="14"/>
      <c r="M156" s="15"/>
    </row>
    <row r="157" spans="1:22" x14ac:dyDescent="0.25">
      <c r="A157" s="14"/>
      <c r="M157" s="15"/>
    </row>
    <row r="158" spans="1:22" x14ac:dyDescent="0.25">
      <c r="A158" s="14"/>
      <c r="M158" s="15"/>
    </row>
    <row r="159" spans="1:22" x14ac:dyDescent="0.25">
      <c r="A159" s="14"/>
      <c r="M159" s="15"/>
    </row>
    <row r="160" spans="1:22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90C6-EB45-4C7C-B302-C5DBF6A148E2}">
  <dimension ref="A1:W172"/>
  <sheetViews>
    <sheetView topLeftCell="A10" zoomScaleNormal="100" workbookViewId="0">
      <selection activeCell="Q12" sqref="Q12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I3" s="1" t="s">
        <v>7</v>
      </c>
      <c r="J3" s="2" t="s">
        <v>5</v>
      </c>
      <c r="K3" s="2"/>
      <c r="L3" t="s">
        <v>110</v>
      </c>
    </row>
    <row r="4" spans="1:23" x14ac:dyDescent="0.25">
      <c r="A4" t="s">
        <v>200</v>
      </c>
      <c r="B4" s="2" t="s">
        <v>8</v>
      </c>
      <c r="C4" s="2"/>
      <c r="D4" s="3" t="s">
        <v>198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187</v>
      </c>
      <c r="J5" s="2" t="s">
        <v>9</v>
      </c>
      <c r="K5" s="2"/>
    </row>
    <row r="6" spans="1:23" x14ac:dyDescent="0.25">
      <c r="A6" t="s">
        <v>199</v>
      </c>
      <c r="I6" t="s">
        <v>186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conv2qa(X12(stifidx_jul2023.m,MULT,1996m1,2023m12))</v>
      </c>
      <c r="C10" s="11" t="str">
        <f t="shared" ref="C10:D10" si="0">"conv2qa(X12("&amp;$D$5&amp;$D$3&amp;C9&amp;$D$4&amp;",MULT," &amp; TEXT($A$3,"yyyy""m""m") &amp; "," &amp; TEXT($A$4,"yyyy""m""m") &amp; "))"</f>
        <v>conv2qa(X12(stif_srv_jul2023.m,MULT,1996m1,2023m12))</v>
      </c>
      <c r="D10" s="11" t="str">
        <f t="shared" si="0"/>
        <v>conv2qa(X12(stif_gds_xeatfnab_jul2023.m,MULT,1996m1,2023m12))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booze.m,fags.m,#,#,#,#,#,#,#,#,#,#,#,#,#,#,#,#,#),MULT,1996m1,2023m12))</v>
      </c>
      <c r="F10" s="11" t="str">
        <f>"conv2qa(X12("&amp;$D$5&amp;$D$3&amp;F9&amp;$D$4&amp;",MULT," &amp; TEXT($A$3,"yyyy""m""m") &amp; "," &amp; TEXT($A$4,"yyyy""m""m") &amp; "))"</f>
        <v>conv2qa(X12(stif_fnab_jul2023.m,MULT,1996m1,2023m12))</v>
      </c>
      <c r="G10" s="11" t="str">
        <f>"conv2qa(X12("&amp;G9&amp;",MULT," &amp; TEXT($A$3,"yyyy""m""m") &amp; "," &amp; TEXT($A$4,"yyyy""m""m") &amp; "))"</f>
        <v>conv2qa(X12(booze.m,MULT,1996m1,2023m12))</v>
      </c>
      <c r="H10" s="11" t="str">
        <f>"conv2qa(X12("&amp;H9&amp;",MULT," &amp; TEXT($A$3,"yyyy""m""m") &amp; "," &amp; TEXT($A$4,"yyyy""m""m") &amp; "))"</f>
        <v>conv2qa(X12(fags.m,MULT,1996m1,2023m12))</v>
      </c>
      <c r="I10" s="11" t="str">
        <f>"conv2qa(X12("&amp;$D$5&amp;$D$3&amp;I9&amp;$D$4&amp;",MULT," &amp; TEXT($A$3,"yyyy""m""m") &amp; "," &amp; TEXT($I$5,"yyyy""m""m") &amp; "))"</f>
        <v>conv2qa(X12(stif_pu_jul2023.m,MULT,1996m1,2026m12))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68.336249781639495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58.553707089085492</v>
      </c>
      <c r="F12">
        <f>[2]!FAMEData(F10, $A$5, $A$6, 0,"Quarterly", "Down", "No Heading", "Normal")</f>
        <v>65.579758001123068</v>
      </c>
      <c r="G12">
        <f>[2]!FAMEData(G10, $A$5, $A$6, 0,"Quarterly", "Down", "No Heading", "Normal")</f>
        <v>77.833862631328643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>
        <f>[2]!FAMEData($L$5&amp;$L$3&amp;J9&amp;$L$4, $I$3, $I$4, 0,"Quarterly", "Down", "No Heading", "Normal")</f>
        <v>68.347630828648306</v>
      </c>
      <c r="K12">
        <f>[2]!FAMEData($L$5&amp;$L$3&amp;K9&amp;$L$4, $I$3, $I$4, 0,"Quarterly", "Down", "No Heading", "Normal")</f>
        <v>0.87462265142754203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[2]!FAMEData($L$5&amp;$L$3&amp;P9&amp;$L$4, $I$3, $I$4, 0,"Quarterly", "Down", "No Heading", "Normal")</f>
        <v>-0.67176493919937696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68.723480942931459</v>
      </c>
      <c r="C13">
        <v>51.436217115422501</v>
      </c>
      <c r="D13">
        <v>120.55767761245134</v>
      </c>
      <c r="E13">
        <v>59.150835037210364</v>
      </c>
      <c r="F13">
        <v>66.150622751811724</v>
      </c>
      <c r="G13">
        <v>78.703574190496866</v>
      </c>
      <c r="H13">
        <v>30.476125774121101</v>
      </c>
      <c r="I13">
        <v>43.120581147797139</v>
      </c>
      <c r="J13">
        <v>68.734876947550404</v>
      </c>
      <c r="K13">
        <v>0.87520591247050405</v>
      </c>
      <c r="L13">
        <v>81.882196923076904</v>
      </c>
      <c r="M13" s="15">
        <f>+'[3]VAR expectations'!C37</f>
        <v>2.6154884948264598</v>
      </c>
      <c r="N13">
        <v>0.3</v>
      </c>
      <c r="O13">
        <v>-0.16120155703172701</v>
      </c>
      <c r="P13">
        <v>-0.90949895832332694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68.9494565461398</v>
      </c>
      <c r="C14">
        <v>51.916931408985363</v>
      </c>
      <c r="D14">
        <v>120.616001958364</v>
      </c>
      <c r="E14">
        <v>59.122311970521871</v>
      </c>
      <c r="F14">
        <v>65.892031840330802</v>
      </c>
      <c r="G14">
        <v>78.989247520026964</v>
      </c>
      <c r="H14">
        <v>30.929830737469164</v>
      </c>
      <c r="I14">
        <v>43.346266616041795</v>
      </c>
      <c r="J14">
        <v>68.960836421831999</v>
      </c>
      <c r="K14">
        <v>0.85681424432570896</v>
      </c>
      <c r="L14">
        <v>82.869486363636398</v>
      </c>
      <c r="M14" s="15">
        <f>+'[3]VAR expectations'!C38</f>
        <v>2.6428562485995646</v>
      </c>
      <c r="N14">
        <v>0.3</v>
      </c>
      <c r="O14">
        <v>0.32912444162450999</v>
      </c>
      <c r="P14">
        <v>-0.98494571975045697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69.259947297382638</v>
      </c>
      <c r="C15">
        <v>52.311071312771965</v>
      </c>
      <c r="D15">
        <v>120.63002394083701</v>
      </c>
      <c r="E15">
        <v>58.834792121222698</v>
      </c>
      <c r="F15">
        <v>65.084105610473742</v>
      </c>
      <c r="G15">
        <v>79.125642753287835</v>
      </c>
      <c r="H15">
        <v>31.483583173415866</v>
      </c>
      <c r="I15">
        <v>44.7267749910337</v>
      </c>
      <c r="J15">
        <v>69.271481849258606</v>
      </c>
      <c r="K15">
        <v>0.84667207907818098</v>
      </c>
      <c r="L15">
        <v>88.333556060606099</v>
      </c>
      <c r="M15" s="15">
        <f>+'[3]VAR expectations'!C39</f>
        <v>2.8292929206876933</v>
      </c>
      <c r="N15">
        <v>0.3</v>
      </c>
      <c r="O15">
        <v>-2.2510150918334201E-3</v>
      </c>
      <c r="P15">
        <v>-0.945418596796475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69.656172144574228</v>
      </c>
      <c r="C16">
        <v>52.833527081934562</v>
      </c>
      <c r="D16">
        <v>120.51831953602668</v>
      </c>
      <c r="E16">
        <v>59.07625034449071</v>
      </c>
      <c r="F16">
        <v>65.240899062162498</v>
      </c>
      <c r="G16">
        <v>78.957703138354503</v>
      </c>
      <c r="H16">
        <v>32.032941374691468</v>
      </c>
      <c r="I16">
        <v>45.328295668908964</v>
      </c>
      <c r="J16">
        <v>69.667768648090998</v>
      </c>
      <c r="K16">
        <v>0.81420810351262796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-0.262290558696672</v>
      </c>
      <c r="P16">
        <v>-8.1219059248215705E-3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69.818827320613835</v>
      </c>
      <c r="C17">
        <v>53.331404584016006</v>
      </c>
      <c r="D17">
        <v>120.310188362095</v>
      </c>
      <c r="E17">
        <v>59.375031266633435</v>
      </c>
      <c r="F17">
        <v>65.408499895120528</v>
      </c>
      <c r="G17">
        <v>79.267965073230172</v>
      </c>
      <c r="H17">
        <v>32.549626728659469</v>
      </c>
      <c r="I17">
        <v>44.445946493019335</v>
      </c>
      <c r="J17">
        <v>69.830382367105798</v>
      </c>
      <c r="K17">
        <v>0.802254666420255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-0.18076935065413899</v>
      </c>
      <c r="P17">
        <v>7.84111432679543E-2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70.281779806178875</v>
      </c>
      <c r="C18">
        <v>53.831610222106065</v>
      </c>
      <c r="D18">
        <v>120.33884823031001</v>
      </c>
      <c r="E18">
        <v>59.894854455189005</v>
      </c>
      <c r="F18">
        <v>65.91284178230616</v>
      </c>
      <c r="G18">
        <v>79.394793740404737</v>
      </c>
      <c r="H18">
        <v>33.304621200313029</v>
      </c>
      <c r="I18">
        <v>45.375545582596139</v>
      </c>
      <c r="J18">
        <v>70.2933979172211</v>
      </c>
      <c r="K18">
        <v>0.79090136957214097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0.135072712526874</v>
      </c>
      <c r="P18">
        <v>5.2461276338646697E-3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70.534190606470673</v>
      </c>
      <c r="C19">
        <v>54.3557598582004</v>
      </c>
      <c r="D19">
        <v>120.137475565896</v>
      </c>
      <c r="E19">
        <v>60.113280542367129</v>
      </c>
      <c r="F19">
        <v>65.8557702922663</v>
      </c>
      <c r="G19">
        <v>79.32951851468134</v>
      </c>
      <c r="H19">
        <v>34.107615541725302</v>
      </c>
      <c r="I19">
        <v>45.1659435918369</v>
      </c>
      <c r="J19">
        <v>70.5459456048345</v>
      </c>
      <c r="K19">
        <v>0.78751421482477002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-0.18038836269067801</v>
      </c>
      <c r="P19">
        <v>-0.113315778004121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70.760831716669827</v>
      </c>
      <c r="C20">
        <v>54.867317852625661</v>
      </c>
      <c r="D20">
        <v>119.84603007593834</v>
      </c>
      <c r="E20">
        <v>60.324796116077898</v>
      </c>
      <c r="F20">
        <v>65.556439010962137</v>
      </c>
      <c r="G20">
        <v>80.314829273758775</v>
      </c>
      <c r="H20">
        <v>35.043737560232465</v>
      </c>
      <c r="I20">
        <v>45.066788167535769</v>
      </c>
      <c r="J20">
        <v>70.772597904617797</v>
      </c>
      <c r="K20">
        <v>0.77292833602746802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-0.40106993870267899</v>
      </c>
      <c r="P20">
        <v>0.35232580082478598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71.100692128724233</v>
      </c>
      <c r="C21">
        <v>55.37684063402736</v>
      </c>
      <c r="D21">
        <v>119.471764844226</v>
      </c>
      <c r="E21">
        <v>60.759837540210533</v>
      </c>
      <c r="F21">
        <v>65.968165559058193</v>
      </c>
      <c r="G21">
        <v>80.697417805789598</v>
      </c>
      <c r="H21">
        <v>35.534825019559939</v>
      </c>
      <c r="I21">
        <v>45.512400795737932</v>
      </c>
      <c r="J21">
        <v>71.112432084865901</v>
      </c>
      <c r="K21">
        <v>0.76079803051723305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-0.121959828355084</v>
      </c>
      <c r="P21">
        <v>0.18544471888963501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71.255609424544105</v>
      </c>
      <c r="C22">
        <v>55.834494062716864</v>
      </c>
      <c r="D22">
        <v>118.95366575846867</v>
      </c>
      <c r="E22">
        <v>61.326564518169931</v>
      </c>
      <c r="F22">
        <v>66.599884378909493</v>
      </c>
      <c r="G22">
        <v>81.111237273058876</v>
      </c>
      <c r="H22">
        <v>36.0093777244617</v>
      </c>
      <c r="I22">
        <v>45.240117527978271</v>
      </c>
      <c r="J22">
        <v>71.267420531568703</v>
      </c>
      <c r="K22">
        <v>0.74745017761454602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0.148148898493562</v>
      </c>
      <c r="P22">
        <v>0.157845722834311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71.539883561893944</v>
      </c>
      <c r="C23">
        <v>56.342645165224134</v>
      </c>
      <c r="D23">
        <v>118.50979090512133</v>
      </c>
      <c r="E23">
        <v>61.798219499313198</v>
      </c>
      <c r="F23">
        <v>66.931585635713972</v>
      </c>
      <c r="G23">
        <v>81.345598400687834</v>
      </c>
      <c r="H23">
        <v>36.768433546815935</v>
      </c>
      <c r="I23">
        <v>45.182611283648633</v>
      </c>
      <c r="J23">
        <v>71.551801459965205</v>
      </c>
      <c r="K23">
        <v>0.75022227562177102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-0.44461325206669999</v>
      </c>
      <c r="P23">
        <v>-0.51317086500777798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71.8694483578888</v>
      </c>
      <c r="C24">
        <v>56.820337302049928</v>
      </c>
      <c r="D24">
        <v>117.91126120930566</v>
      </c>
      <c r="E24">
        <v>62.464147948597464</v>
      </c>
      <c r="F24">
        <v>67.238659277963265</v>
      </c>
      <c r="G24">
        <v>81.576404148252053</v>
      </c>
      <c r="H24">
        <v>38.383741142254301</v>
      </c>
      <c r="I24">
        <v>45.605839036944133</v>
      </c>
      <c r="J24">
        <v>71.881405305992601</v>
      </c>
      <c r="K24">
        <v>0.74694612518401604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0.52782221066476598</v>
      </c>
      <c r="P24">
        <v>-0.37218782460312799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72.089045435031466</v>
      </c>
      <c r="C25">
        <v>57.315645524914736</v>
      </c>
      <c r="D25">
        <v>117.102020370133</v>
      </c>
      <c r="E25">
        <v>62.327610240967829</v>
      </c>
      <c r="F25">
        <v>66.571844762680243</v>
      </c>
      <c r="G25">
        <v>81.622908379722105</v>
      </c>
      <c r="H25">
        <v>39.5665592690682</v>
      </c>
      <c r="I25">
        <v>46.924886016750897</v>
      </c>
      <c r="J25">
        <v>72.100953460006394</v>
      </c>
      <c r="K25">
        <v>0.74406803608028105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0.48725261916995399</v>
      </c>
      <c r="P25">
        <v>4.5365294861338799E-2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72.125395090308089</v>
      </c>
      <c r="C26">
        <v>57.725891052137968</v>
      </c>
      <c r="D26">
        <v>116.21646773960333</v>
      </c>
      <c r="E26">
        <v>62.266005901016598</v>
      </c>
      <c r="F26">
        <v>65.966078638823433</v>
      </c>
      <c r="G26">
        <v>81.700276436652175</v>
      </c>
      <c r="H26">
        <v>40.694457856552965</v>
      </c>
      <c r="I26">
        <v>47.676146770893233</v>
      </c>
      <c r="J26">
        <v>72.137410200064195</v>
      </c>
      <c r="K26">
        <v>0.74559961225579796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0.67076862974608797</v>
      </c>
      <c r="P26">
        <v>0.16262397978819501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72.359803406715031</v>
      </c>
      <c r="C27">
        <v>58.260597172429208</v>
      </c>
      <c r="D27">
        <v>115.11724534960335</v>
      </c>
      <c r="E27">
        <v>62.425190149050032</v>
      </c>
      <c r="F27">
        <v>66.000462650335564</v>
      </c>
      <c r="G27">
        <v>81.899917498467403</v>
      </c>
      <c r="H27">
        <v>41.070297940001097</v>
      </c>
      <c r="I27">
        <v>48.744128850985732</v>
      </c>
      <c r="J27">
        <v>72.371826940183198</v>
      </c>
      <c r="K27">
        <v>0.747071483249101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0.25537877518103203</v>
      </c>
      <c r="P27">
        <v>0.81451014866165805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72.440743266592193</v>
      </c>
      <c r="C28">
        <v>58.772737337575073</v>
      </c>
      <c r="D28">
        <v>113.71050289670067</v>
      </c>
      <c r="E28">
        <v>62.29422573250806</v>
      </c>
      <c r="F28">
        <v>65.738951218717133</v>
      </c>
      <c r="G28">
        <v>81.953847149628203</v>
      </c>
      <c r="H28">
        <v>41.192698366574234</v>
      </c>
      <c r="I28">
        <v>50.01434502208604</v>
      </c>
      <c r="J28">
        <v>72.452722454370502</v>
      </c>
      <c r="K28">
        <v>0.75402720379418797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9.2271063782413995E-2</v>
      </c>
      <c r="P28">
        <v>-0.807077862700738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72.539182292658168</v>
      </c>
      <c r="C29">
        <v>59.022039679802241</v>
      </c>
      <c r="D29">
        <v>113.06246638512499</v>
      </c>
      <c r="E29">
        <v>62.695488488952662</v>
      </c>
      <c r="F29">
        <v>65.547576525315989</v>
      </c>
      <c r="G29">
        <v>81.549251879672497</v>
      </c>
      <c r="H29">
        <v>43.499742188405371</v>
      </c>
      <c r="I29">
        <v>50.294131092579505</v>
      </c>
      <c r="J29">
        <v>72.551276460838096</v>
      </c>
      <c r="K29">
        <v>0.76474612317547297</v>
      </c>
      <c r="L29">
        <v>101.013821538462</v>
      </c>
      <c r="M29" s="15">
        <f>+'[3]VAR expectations'!C53</f>
        <v>2.480790509902373</v>
      </c>
      <c r="N29">
        <v>0.578228356186961</v>
      </c>
      <c r="O29">
        <v>6.4185673634936505E-2</v>
      </c>
      <c r="P29">
        <v>0.53264032273610096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72.707840592078909</v>
      </c>
      <c r="C30">
        <v>59.618307460284903</v>
      </c>
      <c r="D30">
        <v>111.704857720519</v>
      </c>
      <c r="E30">
        <v>63.480786414570169</v>
      </c>
      <c r="F30">
        <v>66.470733130135798</v>
      </c>
      <c r="G30">
        <v>81.400383542581665</v>
      </c>
      <c r="H30">
        <v>44.129516914222826</v>
      </c>
      <c r="I30">
        <v>50.848549060354038</v>
      </c>
      <c r="J30">
        <v>72.719959314389598</v>
      </c>
      <c r="K30">
        <v>0.77681371843032099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0.321076211975517</v>
      </c>
      <c r="P30">
        <v>0.271806601737618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73.058297139599858</v>
      </c>
      <c r="C31">
        <v>60.261873317667465</v>
      </c>
      <c r="D31">
        <v>111.146406877551</v>
      </c>
      <c r="E31">
        <v>63.852768971311527</v>
      </c>
      <c r="F31">
        <v>66.715067260716395</v>
      </c>
      <c r="G31">
        <v>81.76564392884552</v>
      </c>
      <c r="H31">
        <v>44.729361748188403</v>
      </c>
      <c r="I31">
        <v>51.114811152121696</v>
      </c>
      <c r="J31">
        <v>73.070277096188704</v>
      </c>
      <c r="K31">
        <v>0.777213119265588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-1.6390389462865099E-2</v>
      </c>
      <c r="P31">
        <v>0.70674457035057403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73.057199821121216</v>
      </c>
      <c r="C32">
        <v>60.743618510499402</v>
      </c>
      <c r="D32">
        <v>110.17048885713666</v>
      </c>
      <c r="E32">
        <v>64.304947564476535</v>
      </c>
      <c r="F32">
        <v>67.219576569642541</v>
      </c>
      <c r="G32">
        <v>81.956356249441228</v>
      </c>
      <c r="H32">
        <v>45.213764851048296</v>
      </c>
      <c r="I32">
        <v>49.776772698674669</v>
      </c>
      <c r="J32">
        <v>73.069207077545599</v>
      </c>
      <c r="K32">
        <v>0.77644318296946702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-0.227577979531076</v>
      </c>
      <c r="P32">
        <v>0.41762760247680097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73.640782755190912</v>
      </c>
      <c r="C33">
        <v>61.544420219874034</v>
      </c>
      <c r="D33">
        <v>109.895044567811</v>
      </c>
      <c r="E33">
        <v>65.671562289574467</v>
      </c>
      <c r="F33">
        <v>69.291698510753605</v>
      </c>
      <c r="G33">
        <v>81.894722914275064</v>
      </c>
      <c r="H33">
        <v>45.475672672643562</v>
      </c>
      <c r="I33">
        <v>49.55468524025963</v>
      </c>
      <c r="J33">
        <v>73.653334145669206</v>
      </c>
      <c r="K33">
        <v>0.77334520535402695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0.14427868690463599</v>
      </c>
      <c r="P33">
        <v>0.27171772306839898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73.825368253461363</v>
      </c>
      <c r="C34">
        <v>62.223963784242791</v>
      </c>
      <c r="D34">
        <v>109.34835279541601</v>
      </c>
      <c r="E34">
        <v>65.641448713925399</v>
      </c>
      <c r="F34">
        <v>68.979536133785231</v>
      </c>
      <c r="G34">
        <v>82.0632974490142</v>
      </c>
      <c r="H34">
        <v>45.842531037678405</v>
      </c>
      <c r="I34">
        <v>49.541042554972272</v>
      </c>
      <c r="J34">
        <v>73.837757383568899</v>
      </c>
      <c r="K34">
        <v>0.75704085870795701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-0.145405425617782</v>
      </c>
      <c r="P34">
        <v>2.9738324737060302E-2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73.809977444352469</v>
      </c>
      <c r="C35">
        <v>62.586922212680236</v>
      </c>
      <c r="D35">
        <v>108.73663622536766</v>
      </c>
      <c r="E35">
        <v>65.828698669960161</v>
      </c>
      <c r="F35">
        <v>68.970945389804527</v>
      </c>
      <c r="G35">
        <v>82.057820789861907</v>
      </c>
      <c r="H35">
        <v>46.482425595688795</v>
      </c>
      <c r="I35">
        <v>48.008808713813067</v>
      </c>
      <c r="J35">
        <v>73.821839294671804</v>
      </c>
      <c r="K35">
        <v>0.74342967281334904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-0.40207821981541297</v>
      </c>
      <c r="P35">
        <v>-0.63993486982955505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74.172708858494104</v>
      </c>
      <c r="C36">
        <v>63.253448974828395</v>
      </c>
      <c r="D36">
        <v>108.25388781242499</v>
      </c>
      <c r="E36">
        <v>66.271856797374582</v>
      </c>
      <c r="F36">
        <v>69.566869099704263</v>
      </c>
      <c r="G36">
        <v>82.184032829749967</v>
      </c>
      <c r="H36">
        <v>46.712875199659635</v>
      </c>
      <c r="I36">
        <v>48.300000596881432</v>
      </c>
      <c r="J36">
        <v>74.184628108763206</v>
      </c>
      <c r="K36">
        <v>0.74338462171581399</v>
      </c>
      <c r="L36">
        <v>100.22180625</v>
      </c>
      <c r="M36" s="15">
        <f>+'[3]VAR expectations'!C60</f>
        <v>2.2636382290406152</v>
      </c>
      <c r="N36">
        <v>-0.19866515250366801</v>
      </c>
      <c r="O36">
        <v>0.181561700258596</v>
      </c>
      <c r="P36">
        <v>-0.63539245314266801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74.341061354261328</v>
      </c>
      <c r="C37">
        <v>64.098357828427467</v>
      </c>
      <c r="D37">
        <v>107.15975382368867</v>
      </c>
      <c r="E37">
        <v>65.841453783079942</v>
      </c>
      <c r="F37">
        <v>69.07276780401871</v>
      </c>
      <c r="G37">
        <v>82.07045538307726</v>
      </c>
      <c r="H37">
        <v>46.699129957146631</v>
      </c>
      <c r="I37">
        <v>48.834968279109297</v>
      </c>
      <c r="J37">
        <v>74.354700901346106</v>
      </c>
      <c r="K37">
        <v>0.74495620612992597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0.26583891266085302</v>
      </c>
      <c r="P37">
        <v>-0.84417258489077596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74.586827294712421</v>
      </c>
      <c r="C38">
        <v>64.806065669902424</v>
      </c>
      <c r="D38">
        <v>106.44583489626034</v>
      </c>
      <c r="E38">
        <v>66.101100808057097</v>
      </c>
      <c r="F38">
        <v>69.016510777233123</v>
      </c>
      <c r="G38">
        <v>82.393205067203894</v>
      </c>
      <c r="H38">
        <v>47.312363038976372</v>
      </c>
      <c r="I38">
        <v>48.810172757912277</v>
      </c>
      <c r="J38">
        <v>74.599048286211797</v>
      </c>
      <c r="K38">
        <v>0.73574192314670395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2.2118145407947602E-2</v>
      </c>
      <c r="P38">
        <v>-0.47303919311603998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74.941531965330739</v>
      </c>
      <c r="C39">
        <v>65.527580796815229</v>
      </c>
      <c r="D39">
        <v>105.924489215854</v>
      </c>
      <c r="E39">
        <v>66.196126734156735</v>
      </c>
      <c r="F39">
        <v>69.02071279222713</v>
      </c>
      <c r="G39">
        <v>81.795408941691491</v>
      </c>
      <c r="H39">
        <v>47.82192796731524</v>
      </c>
      <c r="I39">
        <v>49.301431799885165</v>
      </c>
      <c r="J39">
        <v>74.953131388827103</v>
      </c>
      <c r="K39">
        <v>0.73317950449139901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-3.5729490300290101E-2</v>
      </c>
      <c r="P39">
        <v>-0.23491543059932599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75.254178376849666</v>
      </c>
      <c r="C40">
        <v>66.024472037789238</v>
      </c>
      <c r="D40">
        <v>105.57840811722599</v>
      </c>
      <c r="E40">
        <v>66.295937197077237</v>
      </c>
      <c r="F40">
        <v>69.109899365876444</v>
      </c>
      <c r="G40">
        <v>81.579240068193769</v>
      </c>
      <c r="H40">
        <v>48.150793172482963</v>
      </c>
      <c r="I40">
        <v>50.696241264077628</v>
      </c>
      <c r="J40">
        <v>75.265649356729995</v>
      </c>
      <c r="K40">
        <v>0.74201000013698204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-0.412486941757993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75.297740898192373</v>
      </c>
      <c r="C41">
        <v>66.477450028662233</v>
      </c>
      <c r="D41">
        <v>104.82493353974833</v>
      </c>
      <c r="E41">
        <v>66.743553910090483</v>
      </c>
      <c r="F41">
        <v>69.746466956514993</v>
      </c>
      <c r="G41">
        <v>81.929888128346576</v>
      </c>
      <c r="H41">
        <v>48.454084822534533</v>
      </c>
      <c r="I41">
        <v>49.519114793009543</v>
      </c>
      <c r="J41">
        <v>75.312814331888404</v>
      </c>
      <c r="K41">
        <v>0.74030816616130002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-0.53365875606219304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75.612761664662429</v>
      </c>
      <c r="C42">
        <v>66.969781979482192</v>
      </c>
      <c r="D42">
        <v>104.57345498282133</v>
      </c>
      <c r="E42">
        <v>67.312969332783226</v>
      </c>
      <c r="F42">
        <v>70.264155678306039</v>
      </c>
      <c r="G42">
        <v>81.29251557987817</v>
      </c>
      <c r="H42">
        <v>49.190874961375528</v>
      </c>
      <c r="I42">
        <v>49.812423087903824</v>
      </c>
      <c r="J42">
        <v>75.625220885648801</v>
      </c>
      <c r="K42">
        <v>0.74541430208966497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-0.27587813004151002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75.930394795171665</v>
      </c>
      <c r="C43">
        <v>67.546972720723076</v>
      </c>
      <c r="D43">
        <v>104.00485126905865</v>
      </c>
      <c r="E43">
        <v>67.719275639731592</v>
      </c>
      <c r="F43">
        <v>70.752523648153527</v>
      </c>
      <c r="G43">
        <v>81.390202733863489</v>
      </c>
      <c r="H43">
        <v>49.438759821058831</v>
      </c>
      <c r="I43">
        <v>50.456696039868469</v>
      </c>
      <c r="J43">
        <v>75.941564431617607</v>
      </c>
      <c r="K43">
        <v>0.74064021650197998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-0.53389832173649399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76.2002731562863</v>
      </c>
      <c r="C44">
        <v>68.106265290056385</v>
      </c>
      <c r="D44">
        <v>103.62955172587367</v>
      </c>
      <c r="E44">
        <v>67.701733005344678</v>
      </c>
      <c r="F44">
        <v>70.680623235593998</v>
      </c>
      <c r="G44">
        <v>81.372891183177941</v>
      </c>
      <c r="H44">
        <v>49.677802180925596</v>
      </c>
      <c r="I44">
        <v>51.504084269133365</v>
      </c>
      <c r="J44">
        <v>76.2107534004043</v>
      </c>
      <c r="K44">
        <v>0.72878996225319004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0.26647992525057201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76.359150237112772</v>
      </c>
      <c r="C45">
        <v>68.631855809423413</v>
      </c>
      <c r="D45">
        <v>102.87732125949235</v>
      </c>
      <c r="E45">
        <v>67.638280877157896</v>
      </c>
      <c r="F45">
        <v>70.476850083324095</v>
      </c>
      <c r="G45">
        <v>81.287191158886927</v>
      </c>
      <c r="H45">
        <v>50.250960573034092</v>
      </c>
      <c r="I45">
        <v>52.490029582058206</v>
      </c>
      <c r="J45">
        <v>76.376712569289893</v>
      </c>
      <c r="K45">
        <v>0.73557435891839096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0.178629395119865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76.562215362670699</v>
      </c>
      <c r="C46">
        <v>69.203743094896808</v>
      </c>
      <c r="D46">
        <v>102.21000368499733</v>
      </c>
      <c r="E46">
        <v>67.646192044974001</v>
      </c>
      <c r="F46">
        <v>70.117000345991599</v>
      </c>
      <c r="G46">
        <v>81.074507639581171</v>
      </c>
      <c r="H46">
        <v>50.981515767623335</v>
      </c>
      <c r="I46">
        <v>53.359156406326896</v>
      </c>
      <c r="J46">
        <v>76.574720017785097</v>
      </c>
      <c r="K46">
        <v>0.73655679873152402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-2.6019163562299601E-2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77.024673210067704</v>
      </c>
      <c r="C47">
        <v>69.904808950811173</v>
      </c>
      <c r="D47">
        <v>101.65395874654799</v>
      </c>
      <c r="E47">
        <v>67.92316933926854</v>
      </c>
      <c r="F47">
        <v>70.398557809354173</v>
      </c>
      <c r="G47">
        <v>81.15147117549138</v>
      </c>
      <c r="H47">
        <v>51.389293376423431</v>
      </c>
      <c r="I47">
        <v>55.645647705984764</v>
      </c>
      <c r="J47">
        <v>77.034504814188494</v>
      </c>
      <c r="K47">
        <v>0.74398262682972705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0.92820849252594795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77.519251833306797</v>
      </c>
      <c r="C48">
        <v>70.711753850682527</v>
      </c>
      <c r="D48">
        <v>101.22455082426633</v>
      </c>
      <c r="E48">
        <v>68.690840582772111</v>
      </c>
      <c r="F48">
        <v>71.390648840521422</v>
      </c>
      <c r="G48">
        <v>80.604662124323497</v>
      </c>
      <c r="H48">
        <v>52.151755193483531</v>
      </c>
      <c r="I48">
        <v>56.449023551664965</v>
      </c>
      <c r="J48">
        <v>77.529215644814201</v>
      </c>
      <c r="K48">
        <v>0.74479807542295395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0.47825978391603902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77.860337204439034</v>
      </c>
      <c r="C49">
        <v>71.482542495219136</v>
      </c>
      <c r="D49">
        <v>100.61472787018432</v>
      </c>
      <c r="E49">
        <v>68.823685124283898</v>
      </c>
      <c r="F49">
        <v>71.584679057721033</v>
      </c>
      <c r="G49">
        <v>80.15589698412704</v>
      </c>
      <c r="H49">
        <v>52.541889995945468</v>
      </c>
      <c r="I49">
        <v>57.440858348241704</v>
      </c>
      <c r="J49">
        <v>77.881711466728703</v>
      </c>
      <c r="K49">
        <v>0.74475958919987395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-0.146554301954858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78.392596131758836</v>
      </c>
      <c r="C50">
        <v>72.329300984314969</v>
      </c>
      <c r="D50">
        <v>100.0711784936406</v>
      </c>
      <c r="E50">
        <v>68.937238063280503</v>
      </c>
      <c r="F50">
        <v>71.487850265478428</v>
      </c>
      <c r="G50">
        <v>80.839757461818024</v>
      </c>
      <c r="H50">
        <v>52.691778573014709</v>
      </c>
      <c r="I50">
        <v>60.297134310388572</v>
      </c>
      <c r="J50">
        <v>78.404430801100204</v>
      </c>
      <c r="K50">
        <v>0.762827333591103</v>
      </c>
      <c r="L50">
        <v>99.734880303030295</v>
      </c>
      <c r="M50" s="15">
        <f>+'[3]VAR expectations'!C74</f>
        <v>2.2761535969954032</v>
      </c>
      <c r="N50">
        <v>0.70017615103754205</v>
      </c>
      <c r="O50">
        <v>0.242344274322987</v>
      </c>
      <c r="P50">
        <v>9.7562498028776104E-2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78.664975367727166</v>
      </c>
      <c r="C51">
        <v>72.762317028160155</v>
      </c>
      <c r="D51">
        <v>99.588196011377022</v>
      </c>
      <c r="E51">
        <v>69.148767029959302</v>
      </c>
      <c r="F51">
        <v>71.487766546591772</v>
      </c>
      <c r="G51">
        <v>80.757559314008105</v>
      </c>
      <c r="H51">
        <v>53.781965266178467</v>
      </c>
      <c r="I51">
        <v>62.2130789369807</v>
      </c>
      <c r="J51">
        <v>78.6708362128402</v>
      </c>
      <c r="K51">
        <v>0.76591528398876796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-2.1319812395411301E-2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79.028134395618693</v>
      </c>
      <c r="C52">
        <v>73.385241846205872</v>
      </c>
      <c r="D52">
        <v>99.218511699629232</v>
      </c>
      <c r="E52">
        <v>69.456235754806144</v>
      </c>
      <c r="F52">
        <v>71.88712391320793</v>
      </c>
      <c r="G52">
        <v>80.784701329539345</v>
      </c>
      <c r="H52">
        <v>54.031494147859711</v>
      </c>
      <c r="I52">
        <v>63.507502815752673</v>
      </c>
      <c r="J52">
        <v>79.041188133919903</v>
      </c>
      <c r="K52">
        <v>0.77514648915210405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-2.3841078711659799E-2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79.616137426825162</v>
      </c>
      <c r="C53">
        <v>74.005587359567699</v>
      </c>
      <c r="D53">
        <v>98.64845072658899</v>
      </c>
      <c r="E53">
        <v>69.890091395826559</v>
      </c>
      <c r="F53">
        <v>72.381509248721599</v>
      </c>
      <c r="G53">
        <v>80.348360661883063</v>
      </c>
      <c r="H53">
        <v>54.731568889218003</v>
      </c>
      <c r="I53">
        <v>67.671668116074713</v>
      </c>
      <c r="J53">
        <v>79.642608096660396</v>
      </c>
      <c r="K53">
        <v>0.77220631761806502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2.6008595690552701E-2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80.274418953686805</v>
      </c>
      <c r="C54">
        <v>74.554497708862002</v>
      </c>
      <c r="D54">
        <v>98.578686630511868</v>
      </c>
      <c r="E54">
        <v>71.285664196170089</v>
      </c>
      <c r="F54">
        <v>73.986476882809498</v>
      </c>
      <c r="G54">
        <v>80.810977052987099</v>
      </c>
      <c r="H54">
        <v>55.632163347123104</v>
      </c>
      <c r="I54">
        <v>70.050693849055207</v>
      </c>
      <c r="J54">
        <v>80.2847300929635</v>
      </c>
      <c r="K54">
        <v>0.77054362766500795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4.9735153865615299E-2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80.800369674653567</v>
      </c>
      <c r="C55">
        <v>75.456551545391903</v>
      </c>
      <c r="D55">
        <v>98.558511764992474</v>
      </c>
      <c r="E55">
        <v>72.05791190619216</v>
      </c>
      <c r="F55">
        <v>74.869558571223067</v>
      </c>
      <c r="G55">
        <v>81.596468905426605</v>
      </c>
      <c r="H55">
        <v>56.187332701115196</v>
      </c>
      <c r="I55">
        <v>69.842554658088204</v>
      </c>
      <c r="J55">
        <v>80.793477158156506</v>
      </c>
      <c r="K55">
        <v>0.76575128736725095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-8.0932616320032902E-2</v>
      </c>
      <c r="P55">
        <v>0.18561819173264299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81.294334334548225</v>
      </c>
      <c r="C56">
        <v>76.094739706174735</v>
      </c>
      <c r="D56">
        <v>98.471297885710499</v>
      </c>
      <c r="E56">
        <v>72.551116081310099</v>
      </c>
      <c r="F56">
        <v>75.238860987270868</v>
      </c>
      <c r="G56">
        <v>81.666506970720832</v>
      </c>
      <c r="H56">
        <v>57.265355738140698</v>
      </c>
      <c r="I56">
        <v>71.130011957507762</v>
      </c>
      <c r="J56">
        <v>81.318800068269198</v>
      </c>
      <c r="K56">
        <v>0.75665808047538896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0.40347744111882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81.649079399713159</v>
      </c>
      <c r="C57">
        <v>76.642438790819867</v>
      </c>
      <c r="D57">
        <v>98.272229701229477</v>
      </c>
      <c r="E57">
        <v>73.298449147260968</v>
      </c>
      <c r="F57">
        <v>76.216291747801264</v>
      </c>
      <c r="G57">
        <v>81.349848373824798</v>
      </c>
      <c r="H57">
        <v>57.844587118608935</v>
      </c>
      <c r="I57">
        <v>71.155158835493808</v>
      </c>
      <c r="J57">
        <v>81.682061367314404</v>
      </c>
      <c r="K57">
        <v>0.76529920999329804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0.53144537622745902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81.704334959162892</v>
      </c>
      <c r="C58">
        <v>77.22312140360539</v>
      </c>
      <c r="D58">
        <v>97.540757610709178</v>
      </c>
      <c r="E58">
        <v>73.551211801634665</v>
      </c>
      <c r="F58">
        <v>76.301462792255464</v>
      </c>
      <c r="G58">
        <v>81.728891574016885</v>
      </c>
      <c r="H58">
        <v>58.326847564895637</v>
      </c>
      <c r="I58">
        <v>70.4820159843011</v>
      </c>
      <c r="J58">
        <v>81.712060161141494</v>
      </c>
      <c r="K58">
        <v>0.76903887929152803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0.48010253220800297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82.511134606351732</v>
      </c>
      <c r="C59">
        <v>77.97624199606021</v>
      </c>
      <c r="D59">
        <v>97.458073073249068</v>
      </c>
      <c r="E59">
        <v>75.219910212577204</v>
      </c>
      <c r="F59">
        <v>78.596895879794701</v>
      </c>
      <c r="G59">
        <v>81.927566090295542</v>
      </c>
      <c r="H59">
        <v>58.859087410661296</v>
      </c>
      <c r="I59">
        <v>73.077898134548306</v>
      </c>
      <c r="J59">
        <v>82.484428058833799</v>
      </c>
      <c r="K59">
        <v>0.78837317268923501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0.38277343429249699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83.213655419712879</v>
      </c>
      <c r="C60">
        <v>78.585582627497928</v>
      </c>
      <c r="D60">
        <v>96.951613087254373</v>
      </c>
      <c r="E60">
        <v>75.989538731842927</v>
      </c>
      <c r="F60">
        <v>79.533799580070806</v>
      </c>
      <c r="G60">
        <v>81.958760781012401</v>
      </c>
      <c r="H60">
        <v>59.544390634031366</v>
      </c>
      <c r="I60">
        <v>77.885302722978565</v>
      </c>
      <c r="J60">
        <v>83.257586843294902</v>
      </c>
      <c r="K60">
        <v>0.82241452657954295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0.55044331624851395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84.399680735777508</v>
      </c>
      <c r="C61">
        <v>79.538232954079504</v>
      </c>
      <c r="D61">
        <v>96.709639471428019</v>
      </c>
      <c r="E61">
        <v>78.381975848613024</v>
      </c>
      <c r="F61">
        <v>82.317853306156096</v>
      </c>
      <c r="G61">
        <v>84.883189640154299</v>
      </c>
      <c r="H61">
        <v>60.342090053362</v>
      </c>
      <c r="I61">
        <v>82.676149089736739</v>
      </c>
      <c r="J61">
        <v>84.439208015238606</v>
      </c>
      <c r="K61">
        <v>0.861069749361833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-0.77293438178607299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85.622108531457798</v>
      </c>
      <c r="C62">
        <v>80.567896429524168</v>
      </c>
      <c r="D62">
        <v>96.458972873923003</v>
      </c>
      <c r="E62">
        <v>80.821169019058303</v>
      </c>
      <c r="F62">
        <v>85.573696317455529</v>
      </c>
      <c r="G62">
        <v>85.076921536968428</v>
      </c>
      <c r="H62">
        <v>60.969194419977804</v>
      </c>
      <c r="I62">
        <v>87.767598532154253</v>
      </c>
      <c r="J62">
        <v>85.6254825819763</v>
      </c>
      <c r="K62">
        <v>0.88071782017346401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-1.12976402245677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85.715615841730809</v>
      </c>
      <c r="C63">
        <v>81.447773684681295</v>
      </c>
      <c r="D63">
        <v>95.356926068367599</v>
      </c>
      <c r="E63">
        <v>81.793419302650321</v>
      </c>
      <c r="F63">
        <v>86.792930257268395</v>
      </c>
      <c r="G63">
        <v>85.181236097388236</v>
      </c>
      <c r="H63">
        <v>61.653541861030931</v>
      </c>
      <c r="I63">
        <v>85.991092768399582</v>
      </c>
      <c r="J63">
        <v>85.6665473951645</v>
      </c>
      <c r="K63">
        <v>0.87276078512302602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-2.2975332135961799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85.678291142528153</v>
      </c>
      <c r="C64">
        <v>81.837360169657401</v>
      </c>
      <c r="D64">
        <v>94.827626388546378</v>
      </c>
      <c r="E64">
        <v>83.009859069216461</v>
      </c>
      <c r="F64">
        <v>87.992381972742862</v>
      </c>
      <c r="G64">
        <v>87.197963534182591</v>
      </c>
      <c r="H64">
        <v>62.259323052312503</v>
      </c>
      <c r="I64">
        <v>82.010219782226798</v>
      </c>
      <c r="J64">
        <v>85.741666665634995</v>
      </c>
      <c r="K64">
        <v>0.88191126562670097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-3.88840772529529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86.159776514108827</v>
      </c>
      <c r="C65">
        <v>82.270934439021758</v>
      </c>
      <c r="D65">
        <v>95.654938638445444</v>
      </c>
      <c r="E65">
        <v>83.220860764903776</v>
      </c>
      <c r="F65">
        <v>88.308927303696933</v>
      </c>
      <c r="G65">
        <v>87.210676846828775</v>
      </c>
      <c r="H65">
        <v>62.310960356894462</v>
      </c>
      <c r="I65">
        <v>82.036389926199831</v>
      </c>
      <c r="J65">
        <v>86.202148848518405</v>
      </c>
      <c r="K65">
        <v>0.86063005748389898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-4.0055228293998999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86.923593986211969</v>
      </c>
      <c r="C66">
        <v>82.818972049127538</v>
      </c>
      <c r="D66">
        <v>96.748853896198526</v>
      </c>
      <c r="E66">
        <v>83.273956965583523</v>
      </c>
      <c r="F66">
        <v>87.773258548066337</v>
      </c>
      <c r="G66">
        <v>88.565644055359101</v>
      </c>
      <c r="H66">
        <v>63.382785681906199</v>
      </c>
      <c r="I66">
        <v>84.438223235025234</v>
      </c>
      <c r="J66">
        <v>86.919136233715093</v>
      </c>
      <c r="K66">
        <v>0.85606254260872505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-4.0528499195683798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87.534040348991539</v>
      </c>
      <c r="C67">
        <v>83.410503053651766</v>
      </c>
      <c r="D67">
        <v>97.120889188028457</v>
      </c>
      <c r="E67">
        <v>83.844235833410195</v>
      </c>
      <c r="F67">
        <v>88.325907774202108</v>
      </c>
      <c r="G67">
        <v>89.287849618620712</v>
      </c>
      <c r="H67">
        <v>64.125614186635602</v>
      </c>
      <c r="I67">
        <v>86.397376612521057</v>
      </c>
      <c r="J67">
        <v>87.470442296931495</v>
      </c>
      <c r="K67">
        <v>0.87166533454361905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-4.2009130634097103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88.432168946676981</v>
      </c>
      <c r="C68">
        <v>84.379841268818566</v>
      </c>
      <c r="D68">
        <v>97.462495638136602</v>
      </c>
      <c r="E68">
        <v>85.139204853930536</v>
      </c>
      <c r="F68">
        <v>89.453884287836061</v>
      </c>
      <c r="G68">
        <v>89.55953770078797</v>
      </c>
      <c r="H68">
        <v>66.6561753774143</v>
      </c>
      <c r="I68">
        <v>87.699432401629863</v>
      </c>
      <c r="J68">
        <v>88.507592923876501</v>
      </c>
      <c r="K68">
        <v>0.884823151863672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-3.9185325981327699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89.149837927974204</v>
      </c>
      <c r="C69">
        <v>85.197650343731723</v>
      </c>
      <c r="D69">
        <v>97.794869456190895</v>
      </c>
      <c r="E69">
        <v>85.883703709160059</v>
      </c>
      <c r="F69">
        <v>90.26451728168297</v>
      </c>
      <c r="G69">
        <v>90.181207307514867</v>
      </c>
      <c r="H69">
        <v>67.322773654063369</v>
      </c>
      <c r="I69">
        <v>88.99337509310503</v>
      </c>
      <c r="J69">
        <v>89.188445197360906</v>
      </c>
      <c r="K69">
        <v>0.89898209574019905</v>
      </c>
      <c r="L69">
        <v>79.899689230769198</v>
      </c>
      <c r="M69" s="15">
        <f>+'[3]VAR expectations'!C93</f>
        <v>2.6505886564059562</v>
      </c>
      <c r="N69">
        <v>0.580318036056505</v>
      </c>
      <c r="O69">
        <v>0.158164675972188</v>
      </c>
      <c r="P69">
        <v>-3.1723100549145902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89.637371147296463</v>
      </c>
      <c r="C70">
        <v>85.933687311434369</v>
      </c>
      <c r="D70">
        <v>97.975052014482628</v>
      </c>
      <c r="E70">
        <v>86.95184799074444</v>
      </c>
      <c r="F70">
        <v>91.446249140662943</v>
      </c>
      <c r="G70">
        <v>90.863338152197272</v>
      </c>
      <c r="H70">
        <v>68.00155563265001</v>
      </c>
      <c r="I70">
        <v>88.087483519948364</v>
      </c>
      <c r="J70">
        <v>89.624049996533202</v>
      </c>
      <c r="K70">
        <v>0.89827553986933995</v>
      </c>
      <c r="L70">
        <v>81.7654454545455</v>
      </c>
      <c r="M70" s="15">
        <f>+'[3]VAR expectations'!C94</f>
        <v>2.8352346264846378</v>
      </c>
      <c r="N70">
        <v>0.26076684740058298</v>
      </c>
      <c r="O70">
        <v>-0.12701395323713599</v>
      </c>
      <c r="P70">
        <v>-2.7290281558330398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90.489732849570032</v>
      </c>
      <c r="C71">
        <v>86.591564201742997</v>
      </c>
      <c r="D71">
        <v>98.36928706348327</v>
      </c>
      <c r="E71">
        <v>88.591672971960804</v>
      </c>
      <c r="F71">
        <v>93.134611756731431</v>
      </c>
      <c r="G71">
        <v>92.782181348644102</v>
      </c>
      <c r="H71">
        <v>69.334164717006658</v>
      </c>
      <c r="I71">
        <v>90.420092565455434</v>
      </c>
      <c r="J71">
        <v>90.418405330399693</v>
      </c>
      <c r="K71">
        <v>0.91881598360417105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-2.6316096694881299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92.029495352548295</v>
      </c>
      <c r="C72">
        <v>87.91292238294352</v>
      </c>
      <c r="D72">
        <v>99.170320395272071</v>
      </c>
      <c r="E72">
        <v>90.012390532893235</v>
      </c>
      <c r="F72">
        <v>94.43844698946333</v>
      </c>
      <c r="G72">
        <v>93.15800705700444</v>
      </c>
      <c r="H72">
        <v>71.802074933588628</v>
      </c>
      <c r="I72">
        <v>95.633494055368089</v>
      </c>
      <c r="J72">
        <v>92.105430284610307</v>
      </c>
      <c r="K72">
        <v>0.93663596725662102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-2.66505358479795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93.071215406743178</v>
      </c>
      <c r="C73">
        <v>89.053911712443053</v>
      </c>
      <c r="D73">
        <v>99.269251173313705</v>
      </c>
      <c r="E73">
        <v>91.677960315018808</v>
      </c>
      <c r="F73">
        <v>95.451440215916975</v>
      </c>
      <c r="G73">
        <v>96.631557155612242</v>
      </c>
      <c r="H73">
        <v>74.990899432617539</v>
      </c>
      <c r="I73">
        <v>98.193886970295239</v>
      </c>
      <c r="J73">
        <v>93.102779119581896</v>
      </c>
      <c r="K73">
        <v>0.96144656189099298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-3.6943200198603998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93.883484284956026</v>
      </c>
      <c r="C74">
        <v>89.713011407420325</v>
      </c>
      <c r="D74">
        <v>99.557399759907199</v>
      </c>
      <c r="E74">
        <v>93.237256664601389</v>
      </c>
      <c r="F74">
        <v>97.154966134791266</v>
      </c>
      <c r="G74">
        <v>97.117586371670413</v>
      </c>
      <c r="H74">
        <v>76.50967089801243</v>
      </c>
      <c r="I74">
        <v>100.16045607386951</v>
      </c>
      <c r="J74">
        <v>93.8640680357788</v>
      </c>
      <c r="K74">
        <v>0.97452090671498603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-3.8120293220679602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94.672828788663537</v>
      </c>
      <c r="C75">
        <v>90.273232957054049</v>
      </c>
      <c r="D75">
        <v>99.989173878731265</v>
      </c>
      <c r="E75">
        <v>93.53243230645819</v>
      </c>
      <c r="F75">
        <v>97.131016392080326</v>
      </c>
      <c r="G75">
        <v>97.517218443770773</v>
      </c>
      <c r="H75">
        <v>77.876700244465624</v>
      </c>
      <c r="I75">
        <v>104.67341542773501</v>
      </c>
      <c r="J75">
        <v>94.6060834471932</v>
      </c>
      <c r="K75">
        <v>0.96693473130669605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-3.7258453786213002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95.222052995111241</v>
      </c>
      <c r="C76">
        <v>90.990320171225449</v>
      </c>
      <c r="D76">
        <v>100.26860174236134</v>
      </c>
      <c r="E76">
        <v>94.339796538109169</v>
      </c>
      <c r="F76">
        <v>98.059590941389629</v>
      </c>
      <c r="G76">
        <v>98.455564794539839</v>
      </c>
      <c r="H76">
        <v>78.297791454721605</v>
      </c>
      <c r="I76">
        <v>104.5886364631</v>
      </c>
      <c r="J76">
        <v>95.290619393321705</v>
      </c>
      <c r="K76">
        <v>0.96367993646377703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-3.43778830594704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95.661173270102722</v>
      </c>
      <c r="C77">
        <v>91.874662736791791</v>
      </c>
      <c r="D77">
        <v>99.992922879612891</v>
      </c>
      <c r="E77">
        <v>95.203023512379431</v>
      </c>
      <c r="F77">
        <v>98.600133396627641</v>
      </c>
      <c r="G77">
        <v>98.345042437766494</v>
      </c>
      <c r="H77">
        <v>80.92874388522371</v>
      </c>
      <c r="I77">
        <v>104.38447642694332</v>
      </c>
      <c r="J77">
        <v>95.6860973457689</v>
      </c>
      <c r="K77">
        <v>0.95032379908477804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-4.3636593431138598E-2</v>
      </c>
      <c r="P77">
        <v>-2.9927688696174499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96.159033425408879</v>
      </c>
      <c r="C78">
        <v>92.663590120141748</v>
      </c>
      <c r="D78">
        <v>100.06937291790051</v>
      </c>
      <c r="E78">
        <v>96.120004723422099</v>
      </c>
      <c r="F78">
        <v>99.226018068951007</v>
      </c>
      <c r="G78">
        <v>98.888721228697491</v>
      </c>
      <c r="H78">
        <v>82.976554923475632</v>
      </c>
      <c r="I78">
        <v>103.68389528575699</v>
      </c>
      <c r="J78">
        <v>96.142081686676093</v>
      </c>
      <c r="K78">
        <v>0.94746113686668298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-2.54145137364966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97.163035407694295</v>
      </c>
      <c r="C79">
        <v>93.826415649132585</v>
      </c>
      <c r="D79">
        <v>100.415985175282</v>
      </c>
      <c r="E79">
        <v>97.577208322720836</v>
      </c>
      <c r="F79">
        <v>100.72054393245901</v>
      </c>
      <c r="G79">
        <v>99.479656718441944</v>
      </c>
      <c r="H79">
        <v>84.635244497568536</v>
      </c>
      <c r="I79">
        <v>105.585474075655</v>
      </c>
      <c r="J79">
        <v>97.117291537027896</v>
      </c>
      <c r="K79">
        <v>0.94927304927495604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-2.57651501674182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97.879230392678039</v>
      </c>
      <c r="C80">
        <v>94.497267835216405</v>
      </c>
      <c r="D80">
        <v>100.254935592672</v>
      </c>
      <c r="E80">
        <v>98.933194995416841</v>
      </c>
      <c r="F80">
        <v>101.83109055286532</v>
      </c>
      <c r="G80">
        <v>101.77802589760101</v>
      </c>
      <c r="H80">
        <v>85.719792363964487</v>
      </c>
      <c r="I80">
        <v>108.31150355070734</v>
      </c>
      <c r="J80">
        <v>97.929797554814698</v>
      </c>
      <c r="K80">
        <v>0.97227245415706098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-2.84207261026839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98.250407507464004</v>
      </c>
      <c r="C81">
        <v>95.046610462496403</v>
      </c>
      <c r="D81">
        <v>100.27984064088268</v>
      </c>
      <c r="E81">
        <v>99.859666993541097</v>
      </c>
      <c r="F81">
        <v>102.75490763701866</v>
      </c>
      <c r="G81">
        <v>101.83656727441367</v>
      </c>
      <c r="H81">
        <v>87.210915470221707</v>
      </c>
      <c r="I81">
        <v>107.83194961087766</v>
      </c>
      <c r="J81">
        <v>98.268000994014102</v>
      </c>
      <c r="K81">
        <v>0.96289198056079905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-2.8344589558679498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98.752512124857034</v>
      </c>
      <c r="C82">
        <v>95.573515391199635</v>
      </c>
      <c r="D82">
        <v>100.44624305141934</v>
      </c>
      <c r="E82">
        <v>100.64151409239633</v>
      </c>
      <c r="F82">
        <v>103.29671347419468</v>
      </c>
      <c r="G82">
        <v>102.71316712306198</v>
      </c>
      <c r="H82">
        <v>88.583283902705702</v>
      </c>
      <c r="I82">
        <v>108.30881087047601</v>
      </c>
      <c r="J82">
        <v>98.740046493931402</v>
      </c>
      <c r="K82">
        <v>0.96350754101159797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-1.9742831924606901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99.166963292976064</v>
      </c>
      <c r="C83">
        <v>96.227392767658145</v>
      </c>
      <c r="D83">
        <v>100.78374951414168</v>
      </c>
      <c r="E83">
        <v>101.17456360106867</v>
      </c>
      <c r="F83">
        <v>103.58143089247399</v>
      </c>
      <c r="G83">
        <v>102.56863549108034</v>
      </c>
      <c r="H83">
        <v>90.446716386222604</v>
      </c>
      <c r="I83">
        <v>107.927333946399</v>
      </c>
      <c r="J83">
        <v>99.144331250989893</v>
      </c>
      <c r="K83">
        <v>0.944289178426725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-2.1932674851888301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99.616719382685986</v>
      </c>
      <c r="C84">
        <v>96.761181160621632</v>
      </c>
      <c r="D84">
        <v>100.74126371746166</v>
      </c>
      <c r="E84">
        <v>101.51253880098466</v>
      </c>
      <c r="F84">
        <v>103.698902482557</v>
      </c>
      <c r="G84">
        <v>102.60485369872934</v>
      </c>
      <c r="H84">
        <v>91.971345197664391</v>
      </c>
      <c r="I84">
        <v>109.70604126141933</v>
      </c>
      <c r="J84">
        <v>99.647548317327207</v>
      </c>
      <c r="K84">
        <v>0.93130478682445195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-1.8826407457668499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99.964672892269803</v>
      </c>
      <c r="C85">
        <v>97.447828135412962</v>
      </c>
      <c r="D85">
        <v>101.19563591880335</v>
      </c>
      <c r="E85">
        <v>101.10264005082298</v>
      </c>
      <c r="F85">
        <v>102.71181543305732</v>
      </c>
      <c r="G85">
        <v>102.607009014995</v>
      </c>
      <c r="H85">
        <v>93.61448381507887</v>
      </c>
      <c r="I85">
        <v>108.99812735117068</v>
      </c>
      <c r="J85">
        <v>99.9744952319638</v>
      </c>
      <c r="K85">
        <v>0.92986706647533302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-1.3812830361864601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100.156899982431</v>
      </c>
      <c r="C86">
        <v>97.960682226755125</v>
      </c>
      <c r="D86">
        <v>101.00932882046236</v>
      </c>
      <c r="E86">
        <v>101.19999787300134</v>
      </c>
      <c r="F86">
        <v>102.32990834605134</v>
      </c>
      <c r="G86">
        <v>102.07935316498465</v>
      </c>
      <c r="H86">
        <v>95.728303009923479</v>
      </c>
      <c r="I86">
        <v>108.44601122523632</v>
      </c>
      <c r="J86">
        <v>100.15064890232</v>
      </c>
      <c r="K86">
        <v>0.92093843339459303</v>
      </c>
      <c r="L86">
        <v>88.037404545454606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-1.3362078413907901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100.07239502386399</v>
      </c>
      <c r="C87">
        <v>98.542012048816233</v>
      </c>
      <c r="D87">
        <v>100.49859505079034</v>
      </c>
      <c r="E87">
        <v>101.34967757543666</v>
      </c>
      <c r="F87">
        <v>101.90385352266634</v>
      </c>
      <c r="G87">
        <v>102.87836768324034</v>
      </c>
      <c r="H87">
        <v>97.582588230237889</v>
      </c>
      <c r="I87">
        <v>105.706766557682</v>
      </c>
      <c r="J87">
        <v>100.06477222242</v>
      </c>
      <c r="K87">
        <v>0.90854662136640096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-1.25002526229075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99.756041432213806</v>
      </c>
      <c r="C88">
        <v>99.109859681188823</v>
      </c>
      <c r="D88">
        <v>100.2161783063933</v>
      </c>
      <c r="E88">
        <v>100.36807684490934</v>
      </c>
      <c r="F88">
        <v>100.68540806138166</v>
      </c>
      <c r="G88">
        <v>100.86799517038634</v>
      </c>
      <c r="H88">
        <v>98.716032382504167</v>
      </c>
      <c r="I88">
        <v>100.830455990001</v>
      </c>
      <c r="J88">
        <v>99.773052940604501</v>
      </c>
      <c r="K88">
        <v>0.88505960801473804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-1.3073327594369699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99.961556224296331</v>
      </c>
      <c r="C89">
        <v>99.577158667123058</v>
      </c>
      <c r="D89">
        <v>100.00547132425977</v>
      </c>
      <c r="E89">
        <v>100.17213412516033</v>
      </c>
      <c r="F89">
        <v>100.35599274243833</v>
      </c>
      <c r="G89">
        <v>100.54326847275</v>
      </c>
      <c r="H89">
        <v>99.288935403633118</v>
      </c>
      <c r="I89">
        <v>101.88468885938698</v>
      </c>
      <c r="J89">
        <v>99.967172926646995</v>
      </c>
      <c r="K89">
        <v>0.87860543161858995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-1.46470023983966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100.13048511407202</v>
      </c>
      <c r="C90">
        <v>100.26518733745166</v>
      </c>
      <c r="D90">
        <v>100.00293838270233</v>
      </c>
      <c r="E90">
        <v>99.895726043205798</v>
      </c>
      <c r="F90">
        <v>99.795428013305909</v>
      </c>
      <c r="G90">
        <v>99.802732462154452</v>
      </c>
      <c r="H90">
        <v>100.32761643875267</v>
      </c>
      <c r="I90">
        <v>99.957778693070068</v>
      </c>
      <c r="J90">
        <v>100.129485715866</v>
      </c>
      <c r="K90">
        <v>0.865298488341256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-1.2747421779619901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100.131988039399</v>
      </c>
      <c r="C91">
        <v>101.03547827069599</v>
      </c>
      <c r="D91">
        <v>99.774340539168506</v>
      </c>
      <c r="E91">
        <v>99.559668626299754</v>
      </c>
      <c r="F91">
        <v>99.152587659760783</v>
      </c>
      <c r="G91">
        <v>98.665268949421502</v>
      </c>
      <c r="H91">
        <v>101.74698448713566</v>
      </c>
      <c r="I91">
        <v>97.163307753273671</v>
      </c>
      <c r="J91">
        <v>100.130288416882</v>
      </c>
      <c r="K91">
        <v>0.85526611413253495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-0.81574917746284004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100.13346280331433</v>
      </c>
      <c r="C92">
        <v>101.62849295052733</v>
      </c>
      <c r="D92">
        <v>99.607973724051135</v>
      </c>
      <c r="E92">
        <v>98.871276250080072</v>
      </c>
      <c r="F92">
        <v>98.163161569528484</v>
      </c>
      <c r="G92">
        <v>97.546012515903769</v>
      </c>
      <c r="H92">
        <v>102.87221528030666</v>
      </c>
      <c r="I92">
        <v>95.367717781640593</v>
      </c>
      <c r="J92">
        <v>100.144543108157</v>
      </c>
      <c r="K92">
        <v>0.86854321365689902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-0.670885059976979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100.31907532428868</v>
      </c>
      <c r="C93">
        <v>102.17351975120266</v>
      </c>
      <c r="D93">
        <v>99.217440991995772</v>
      </c>
      <c r="E93">
        <v>98.485065673034001</v>
      </c>
      <c r="F93">
        <v>97.580953900753755</v>
      </c>
      <c r="G93">
        <v>96.320340544707889</v>
      </c>
      <c r="H93">
        <v>104.01910782694598</v>
      </c>
      <c r="I93">
        <v>96.854713392256727</v>
      </c>
      <c r="J93">
        <v>100.32359715648199</v>
      </c>
      <c r="K93">
        <v>0.89263562098643501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-0.95230901048582905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100.82547975487699</v>
      </c>
      <c r="C94">
        <v>102.98532754301634</v>
      </c>
      <c r="D94">
        <v>99.173246779043325</v>
      </c>
      <c r="E94">
        <v>98.706969792277206</v>
      </c>
      <c r="F94">
        <v>97.439887114130485</v>
      </c>
      <c r="G94">
        <v>96.297486794640676</v>
      </c>
      <c r="H94">
        <v>105.937637938026</v>
      </c>
      <c r="I94">
        <v>97.777493080829075</v>
      </c>
      <c r="J94">
        <v>100.82624737671701</v>
      </c>
      <c r="K94">
        <v>0.93087340983211597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-0.74176939552118804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101.35150950735665</v>
      </c>
      <c r="C95">
        <v>103.42628529360667</v>
      </c>
      <c r="D95">
        <v>99.730054356665434</v>
      </c>
      <c r="E95">
        <v>98.874051778601668</v>
      </c>
      <c r="F95">
        <v>97.341263694053808</v>
      </c>
      <c r="G95">
        <v>97.006602825061194</v>
      </c>
      <c r="H95">
        <v>106.74960703587567</v>
      </c>
      <c r="I95">
        <v>100.00221846820484</v>
      </c>
      <c r="J95">
        <v>101.35125951997</v>
      </c>
      <c r="K95">
        <v>0.95150983343458895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-0.67478306722583303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102.29007247482167</v>
      </c>
      <c r="C96">
        <v>104.16115684135133</v>
      </c>
      <c r="D96">
        <v>100.32228889842936</v>
      </c>
      <c r="E96">
        <v>100.01449788999163</v>
      </c>
      <c r="F96">
        <v>98.467163309832699</v>
      </c>
      <c r="G96">
        <v>97.895036945335903</v>
      </c>
      <c r="H96">
        <v>108.39581581397867</v>
      </c>
      <c r="I96">
        <v>103.56139610788966</v>
      </c>
      <c r="J96">
        <v>102.299089437323</v>
      </c>
      <c r="K96">
        <v>0.96237835892332202</v>
      </c>
      <c r="L96">
        <v>77.053801538461499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-0.56431528803061204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103.07871316494668</v>
      </c>
      <c r="C97">
        <v>105.06434460864132</v>
      </c>
      <c r="D97">
        <v>101.17004821657433</v>
      </c>
      <c r="E97">
        <v>101.23347768300466</v>
      </c>
      <c r="F97">
        <v>99.49436915436479</v>
      </c>
      <c r="G97">
        <v>99.078229190677106</v>
      </c>
      <c r="H97">
        <v>110.41841809753667</v>
      </c>
      <c r="I97">
        <v>102.42058997427132</v>
      </c>
      <c r="J97">
        <v>103.085526434136</v>
      </c>
      <c r="K97">
        <v>0.96202127579299002</v>
      </c>
      <c r="L97">
        <v>77.968176923076896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-0.63519953449580302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103.64420387825167</v>
      </c>
      <c r="C98">
        <v>105.72417028800868</v>
      </c>
      <c r="D98">
        <v>101.61848115075033</v>
      </c>
      <c r="E98">
        <v>101.81699789591865</v>
      </c>
      <c r="F98">
        <v>99.9096208990386</v>
      </c>
      <c r="G98">
        <v>99.590350007661698</v>
      </c>
      <c r="H98">
        <v>111.82292503096733</v>
      </c>
      <c r="I98">
        <v>102.41759273360266</v>
      </c>
      <c r="J98">
        <v>103.643628459474</v>
      </c>
      <c r="K98">
        <v>0.96512520358883402</v>
      </c>
      <c r="L98">
        <v>76.548027692307699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-0.80360708479073395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104.42410709255201</v>
      </c>
      <c r="C99">
        <v>106.22611249622901</v>
      </c>
      <c r="D99">
        <v>102.240349719059</v>
      </c>
      <c r="E99">
        <v>103.082796131642</v>
      </c>
      <c r="F99">
        <v>101.25812248522199</v>
      </c>
      <c r="G99">
        <v>99.75746850067776</v>
      </c>
      <c r="H99">
        <v>113.489696159975</v>
      </c>
      <c r="I99">
        <v>105.16490523780567</v>
      </c>
      <c r="J99">
        <v>104.423773602295</v>
      </c>
      <c r="K99">
        <v>0.97142651821376402</v>
      </c>
      <c r="L99">
        <v>77.708216923076904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-0.83009864733065897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105.07578436405402</v>
      </c>
      <c r="C100">
        <v>106.83474833320766</v>
      </c>
      <c r="D100">
        <v>102.59794527508467</v>
      </c>
      <c r="E100">
        <v>103.73473580758467</v>
      </c>
      <c r="F100">
        <v>101.67186771347001</v>
      </c>
      <c r="G100">
        <v>99.926882509872939</v>
      </c>
      <c r="H100">
        <v>116.03082712332834</v>
      </c>
      <c r="I100">
        <v>107.60008717458766</v>
      </c>
      <c r="J100">
        <v>105.083856496153</v>
      </c>
      <c r="K100">
        <v>0.97240356104171</v>
      </c>
      <c r="L100">
        <v>79.035181538461501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-0.90531947100805399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105.56786030542234</v>
      </c>
      <c r="C101">
        <v>107.41805360248468</v>
      </c>
      <c r="D101">
        <v>102.92399552756234</v>
      </c>
      <c r="E101">
        <v>104.06381005969801</v>
      </c>
      <c r="F101">
        <v>101.774954513689</v>
      </c>
      <c r="G101">
        <v>99.719008763832946</v>
      </c>
      <c r="H101">
        <v>118.06728454460433</v>
      </c>
      <c r="I101">
        <v>108.70508380393368</v>
      </c>
      <c r="J101">
        <v>105.57824957011699</v>
      </c>
      <c r="K101">
        <v>0.98286973705632197</v>
      </c>
      <c r="L101">
        <v>79.101630769230795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-0.74790025723690201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106.24248679338866</v>
      </c>
      <c r="C102">
        <v>108.27865588284733</v>
      </c>
      <c r="D102">
        <v>102.85371296369233</v>
      </c>
      <c r="E102">
        <v>104.47533744214434</v>
      </c>
      <c r="F102">
        <v>101.97160437421768</v>
      </c>
      <c r="G102">
        <v>99.95837370229367</v>
      </c>
      <c r="H102">
        <v>119.76013020222335</v>
      </c>
      <c r="I102">
        <v>111.672953324273</v>
      </c>
      <c r="J102">
        <v>106.240291105794</v>
      </c>
      <c r="K102">
        <v>0.99442913161891899</v>
      </c>
      <c r="L102">
        <v>77.806373846153804</v>
      </c>
      <c r="M102" s="15">
        <f>+'[3]VAR expectations'!C126</f>
        <v>2.6759360893479318</v>
      </c>
      <c r="N102">
        <v>0.59026787322204299</v>
      </c>
      <c r="O102">
        <v>0.21968415645398701</v>
      </c>
      <c r="P102">
        <v>-0.56254020880290001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106.79575386800001</v>
      </c>
      <c r="C103">
        <v>108.84680963901667</v>
      </c>
      <c r="D103">
        <v>103.181635778025</v>
      </c>
      <c r="E103">
        <v>104.97049462465434</v>
      </c>
      <c r="F103">
        <v>101.961795244266</v>
      </c>
      <c r="G103">
        <v>100.28111414793166</v>
      </c>
      <c r="H103">
        <v>122.68347618470101</v>
      </c>
      <c r="I103">
        <v>114.03241719771167</v>
      </c>
      <c r="J103">
        <v>106.79491935423501</v>
      </c>
      <c r="K103">
        <v>0.99260626626798298</v>
      </c>
      <c r="L103">
        <v>77.834784848484802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-0.54888891775288096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107.064725373011</v>
      </c>
      <c r="C104">
        <v>109.485057500286</v>
      </c>
      <c r="D104">
        <v>103.53597878294102</v>
      </c>
      <c r="E104">
        <v>105.87395342575734</v>
      </c>
      <c r="F104">
        <v>102.65425428070101</v>
      </c>
      <c r="G104">
        <v>100.90710259458832</v>
      </c>
      <c r="H104">
        <v>125.23279518343766</v>
      </c>
      <c r="I104">
        <v>109.385200076562</v>
      </c>
      <c r="J104">
        <v>107.071054911893</v>
      </c>
      <c r="K104">
        <v>0.99088386934238903</v>
      </c>
      <c r="L104">
        <v>78.723593750000006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-0.12737372541283701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107.70881822566999</v>
      </c>
      <c r="C105">
        <v>110.258392463634</v>
      </c>
      <c r="D105">
        <v>103.340109243182</v>
      </c>
      <c r="E105">
        <v>105.95599272069767</v>
      </c>
      <c r="F105">
        <v>102.90561174747501</v>
      </c>
      <c r="G105">
        <v>100.38127885323468</v>
      </c>
      <c r="H105">
        <v>125.30662829197666</v>
      </c>
      <c r="I105">
        <v>115.29520515442967</v>
      </c>
      <c r="J105">
        <v>107.723236808065</v>
      </c>
      <c r="K105">
        <v>1.00095007640953</v>
      </c>
      <c r="L105">
        <v>78.452740000000006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-0.56532865943801702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108.19208756483467</v>
      </c>
      <c r="C106">
        <v>110.92181440670032</v>
      </c>
      <c r="D106">
        <v>103.49738899707467</v>
      </c>
      <c r="E106">
        <v>106.70681755927565</v>
      </c>
      <c r="F106">
        <v>103.63867302433999</v>
      </c>
      <c r="G106">
        <v>100.89731244274533</v>
      </c>
      <c r="H106">
        <v>126.26028983251501</v>
      </c>
      <c r="I106">
        <v>114.71302577740266</v>
      </c>
      <c r="J106">
        <v>108.18876100915401</v>
      </c>
      <c r="K106">
        <v>1.01637218752721</v>
      </c>
      <c r="L106">
        <v>75.792527272727298</v>
      </c>
      <c r="M106" s="15">
        <f>+'[3]VAR expectations'!C130</f>
        <v>2.9781745842670815</v>
      </c>
      <c r="N106">
        <v>0.17462163035891701</v>
      </c>
      <c r="O106">
        <v>-8.21163442679727E-3</v>
      </c>
      <c r="P106">
        <v>-0.44907607470031002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108.29863027439866</v>
      </c>
      <c r="C107">
        <v>111.40592632953799</v>
      </c>
      <c r="D107">
        <v>103.62974709205101</v>
      </c>
      <c r="E107">
        <v>106.92837031161433</v>
      </c>
      <c r="F107">
        <v>103.69811276159668</v>
      </c>
      <c r="G107">
        <v>101.59937716334498</v>
      </c>
      <c r="H107">
        <v>126.25517861163569</v>
      </c>
      <c r="I107">
        <v>112.23250085978468</v>
      </c>
      <c r="J107">
        <v>108.297293482697</v>
      </c>
      <c r="K107">
        <v>0.992373954764877</v>
      </c>
      <c r="L107">
        <v>79.401087878787905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-0.54951317045913195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108.896313321862</v>
      </c>
      <c r="C108">
        <v>112.16836796105467</v>
      </c>
      <c r="D108">
        <v>103.964788294355</v>
      </c>
      <c r="E108">
        <v>107.26200025077732</v>
      </c>
      <c r="F108">
        <v>104.03164346520566</v>
      </c>
      <c r="G108">
        <v>101.884637148935</v>
      </c>
      <c r="H108">
        <v>126.701911328772</v>
      </c>
      <c r="I108">
        <v>112.98940973178968</v>
      </c>
      <c r="J108">
        <v>108.900920433853</v>
      </c>
      <c r="K108">
        <v>0.98899334245689396</v>
      </c>
      <c r="L108">
        <v>79.228903076923103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-0.62816482275602004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108.32138407699635</v>
      </c>
      <c r="C109">
        <v>112.34227625583867</v>
      </c>
      <c r="D109">
        <v>103.85013428921333</v>
      </c>
      <c r="E109">
        <v>107.732802181963</v>
      </c>
      <c r="F109">
        <v>104.34569817578667</v>
      </c>
      <c r="G109">
        <v>102.40850294439001</v>
      </c>
      <c r="H109">
        <v>128.649096313076</v>
      </c>
      <c r="I109">
        <v>102.486959694275</v>
      </c>
      <c r="J109">
        <v>108.33798136145801</v>
      </c>
      <c r="K109">
        <v>0.97852219441341504</v>
      </c>
      <c r="L109">
        <v>77.412344615384598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-2.7953173424120599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108.84932587096067</v>
      </c>
      <c r="C110">
        <v>112.51628607628368</v>
      </c>
      <c r="D110">
        <v>104.64153646220666</v>
      </c>
      <c r="E110">
        <v>107.66655419252534</v>
      </c>
      <c r="F110">
        <v>104.00132612513801</v>
      </c>
      <c r="G110">
        <v>101.75953788178533</v>
      </c>
      <c r="H110">
        <v>130.63456868218833</v>
      </c>
      <c r="I110">
        <v>104.71478091145234</v>
      </c>
      <c r="J110">
        <v>108.846130024597</v>
      </c>
      <c r="K110">
        <v>0.98131634253016897</v>
      </c>
      <c r="L110">
        <v>77.453536363636402</v>
      </c>
      <c r="M110" s="15">
        <f>+'[3]VAR expectations'!C134</f>
        <v>3.1319434989789481</v>
      </c>
      <c r="N110">
        <v>-0.57563884899936602</v>
      </c>
      <c r="O110">
        <v>0.118900887754049</v>
      </c>
      <c r="P110">
        <v>-1.9686756956890199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108.86810010393566</v>
      </c>
      <c r="C111">
        <v>112.97941397972299</v>
      </c>
      <c r="D111">
        <v>104.84713635637966</v>
      </c>
      <c r="E111">
        <v>107.31421735743267</v>
      </c>
      <c r="F111">
        <v>103.18731311589234</v>
      </c>
      <c r="G111">
        <v>101.99933440499467</v>
      </c>
      <c r="H111">
        <v>131.817018412419</v>
      </c>
      <c r="I111">
        <v>102.29224743363632</v>
      </c>
      <c r="J111">
        <v>108.86608467312701</v>
      </c>
      <c r="K111">
        <v>0.99367632090301194</v>
      </c>
      <c r="L111">
        <v>77.966816666666702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-1.6890834060590401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109.60904710729466</v>
      </c>
      <c r="C112">
        <v>113.94095151191999</v>
      </c>
      <c r="D112">
        <v>104.71167193392334</v>
      </c>
      <c r="E112">
        <v>107.45695110951134</v>
      </c>
      <c r="F112">
        <v>103.12382223771367</v>
      </c>
      <c r="G112">
        <v>102.22650258640165</v>
      </c>
      <c r="H112">
        <v>133.20046063900699</v>
      </c>
      <c r="I112">
        <v>106.56446848544665</v>
      </c>
      <c r="J112">
        <v>109.61170015741</v>
      </c>
      <c r="K112">
        <v>1.01035497239337</v>
      </c>
      <c r="L112">
        <v>80.482731250000001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-0.91134538553109801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110.48937071017367</v>
      </c>
      <c r="C113">
        <v>114.41950381243635</v>
      </c>
      <c r="D113">
        <v>105.93178418745833</v>
      </c>
      <c r="E113">
        <v>107.75010864359267</v>
      </c>
      <c r="F113">
        <v>103.53725227628065</v>
      </c>
      <c r="G113">
        <v>103.23433497585067</v>
      </c>
      <c r="H113">
        <v>132.53155991931803</v>
      </c>
      <c r="I113">
        <v>111.37424194244166</v>
      </c>
      <c r="J113">
        <v>110.506740406744</v>
      </c>
      <c r="K113">
        <v>1.01525370044581</v>
      </c>
      <c r="L113">
        <v>81.786427692307697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0.12639862996818901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111.87815724730068</v>
      </c>
      <c r="C114">
        <v>115.25924877354635</v>
      </c>
      <c r="D114">
        <v>107.77460383731334</v>
      </c>
      <c r="E114">
        <v>108.46876153509101</v>
      </c>
      <c r="F114">
        <v>104.16666121041833</v>
      </c>
      <c r="G114">
        <v>103.36604136911565</v>
      </c>
      <c r="H114">
        <v>134.14229155133665</v>
      </c>
      <c r="I114">
        <v>114.80469497568167</v>
      </c>
      <c r="J114">
        <v>111.874998176874</v>
      </c>
      <c r="K114">
        <v>1.03997360502412</v>
      </c>
      <c r="L114">
        <v>81.769348484848507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0.25699063180405901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114.20547604130333</v>
      </c>
      <c r="C115">
        <v>116.69505344783902</v>
      </c>
      <c r="D115">
        <v>109.60286796186666</v>
      </c>
      <c r="E115">
        <v>110.400995944858</v>
      </c>
      <c r="F115">
        <v>105.90470904324467</v>
      </c>
      <c r="G115">
        <v>104.22001652500366</v>
      </c>
      <c r="H115">
        <v>138.09096612271867</v>
      </c>
      <c r="I115">
        <v>127.29373005311601</v>
      </c>
      <c r="J115">
        <v>114.20397982766499</v>
      </c>
      <c r="K115">
        <v>1.08993629530979</v>
      </c>
      <c r="L115">
        <v>81.601331818181805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0.77406084237628303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116.47213610693866</v>
      </c>
      <c r="C116">
        <v>118.045308879294</v>
      </c>
      <c r="D116">
        <v>112.06822168437401</v>
      </c>
      <c r="E116">
        <v>112.59580411427601</v>
      </c>
      <c r="F116">
        <v>108.39395702549733</v>
      </c>
      <c r="G116">
        <v>104.09438915494967</v>
      </c>
      <c r="H116">
        <v>141.28653165647498</v>
      </c>
      <c r="I116">
        <v>132.41305375347733</v>
      </c>
      <c r="J116">
        <v>116.47404966433901</v>
      </c>
      <c r="K116">
        <v>1.13769892118654</v>
      </c>
      <c r="L116">
        <v>82.320465624997198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1.35170655647102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120.56281579850834</v>
      </c>
      <c r="C117">
        <v>120.052384749117</v>
      </c>
      <c r="D117">
        <v>113.55523335876167</v>
      </c>
      <c r="E117">
        <v>115.53020561241266</v>
      </c>
      <c r="F117">
        <v>112.15710203776</v>
      </c>
      <c r="G117">
        <v>104.64321433020234</v>
      </c>
      <c r="H117">
        <v>143.155432424455</v>
      </c>
      <c r="I117">
        <v>171.17005057505568</v>
      </c>
      <c r="J117">
        <v>120.581217898191</v>
      </c>
      <c r="K117">
        <v>1.1985115600057099</v>
      </c>
      <c r="L117">
        <v>80.190636866096895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1.55095222106743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123.10966172432633</v>
      </c>
      <c r="C118">
        <v>122.11220329124335</v>
      </c>
      <c r="D118">
        <v>115.00685965240132</v>
      </c>
      <c r="E118">
        <v>120.43498902615367</v>
      </c>
      <c r="F118">
        <v>118.146556085504</v>
      </c>
      <c r="G118">
        <v>106.34404537805466</v>
      </c>
      <c r="H118">
        <v>145.07065869327633</v>
      </c>
      <c r="I118">
        <v>176.34903972339967</v>
      </c>
      <c r="J118">
        <v>123.108197236262</v>
      </c>
      <c r="K118">
        <v>1.2705070608593101</v>
      </c>
      <c r="L118">
        <v>78.205745454544996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1.12801327529486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126.47545934474131</v>
      </c>
      <c r="C119">
        <v>124.22226600077767</v>
      </c>
      <c r="D119">
        <v>116.48734298243568</v>
      </c>
      <c r="E119">
        <v>124.64230200891366</v>
      </c>
      <c r="F119">
        <v>123.34479397898467</v>
      </c>
      <c r="G119">
        <v>108.14773796198899</v>
      </c>
      <c r="H119">
        <v>145.64614974669735</v>
      </c>
      <c r="I119">
        <v>198.56595350219865</v>
      </c>
      <c r="J119">
        <v>126.474703194965</v>
      </c>
      <c r="K119">
        <v>1.24995487586761</v>
      </c>
      <c r="L119">
        <v>78.044989230769204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0.76852171121067003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128.35007782366799</v>
      </c>
      <c r="C120">
        <v>125.61435119659332</v>
      </c>
      <c r="D120">
        <v>118.44929874580934</v>
      </c>
      <c r="E120">
        <v>128.572312421519</v>
      </c>
      <c r="F120">
        <v>127.87508427163067</v>
      </c>
      <c r="G120">
        <v>110.17892376765866</v>
      </c>
      <c r="H120">
        <v>148.35338638491234</v>
      </c>
      <c r="I120">
        <v>193.65246193820599</v>
      </c>
      <c r="J120">
        <v>128.35173189544599</v>
      </c>
      <c r="K120">
        <v>1.24989057837147</v>
      </c>
      <c r="L120">
        <v>78.106201538461505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0.65628773860817202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130.69289059370433</v>
      </c>
      <c r="C121">
        <v>128.64177894350968</v>
      </c>
      <c r="D121">
        <v>121.02481994822301</v>
      </c>
      <c r="E121">
        <v>133.42603348968467</v>
      </c>
      <c r="F121">
        <v>132.55841826742565</v>
      </c>
      <c r="G121">
        <v>111.841476681931</v>
      </c>
      <c r="H121">
        <v>159.25266873044168</v>
      </c>
      <c r="I121">
        <v>183.91178052700434</v>
      </c>
      <c r="J121">
        <v>130.711957845538</v>
      </c>
      <c r="K121">
        <v>1.2144301709112</v>
      </c>
      <c r="L121">
        <v>80.380332307692299</v>
      </c>
      <c r="M121" s="15">
        <f>+'[3]VAR expectations'!C145</f>
        <v>4.9659010810981856</v>
      </c>
      <c r="N121">
        <v>0.70170699999999997</v>
      </c>
      <c r="O121">
        <v>-0.231251350162267</v>
      </c>
      <c r="P121">
        <v>0.48418766860706097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131.66280820089165</v>
      </c>
      <c r="C122">
        <v>130.84392109266932</v>
      </c>
      <c r="D122">
        <v>122.00152478222201</v>
      </c>
      <c r="E122">
        <v>135.54886008797834</v>
      </c>
      <c r="F122">
        <v>134.65594141778033</v>
      </c>
      <c r="G122">
        <v>115.762495837507</v>
      </c>
      <c r="H122">
        <v>162.25805709813798</v>
      </c>
      <c r="I122">
        <v>167.89783453487698</v>
      </c>
      <c r="J122">
        <v>131.66258119175799</v>
      </c>
      <c r="K122">
        <v>1.19193476927082</v>
      </c>
      <c r="L122">
        <v>82.542831533522602</v>
      </c>
      <c r="M122" s="15">
        <f>+'[3]VAR expectations'!C146</f>
        <v>4.3007323969777262</v>
      </c>
      <c r="N122">
        <v>-0.25913399999999998</v>
      </c>
      <c r="O122">
        <v>-0.673433352934243</v>
      </c>
      <c r="P122">
        <v>0.386600000097438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132.70609224721866</v>
      </c>
      <c r="C123">
        <v>132.70803188218233</v>
      </c>
      <c r="D123">
        <v>122.72407627636234</v>
      </c>
      <c r="E123">
        <v>136.68307482058768</v>
      </c>
      <c r="F123">
        <v>136.67561586643501</v>
      </c>
      <c r="G123">
        <v>118.30553414006766</v>
      </c>
      <c r="H123">
        <v>165.14511128575035</v>
      </c>
      <c r="I123">
        <v>162.38369082427968</v>
      </c>
      <c r="J123">
        <v>132.70524564361</v>
      </c>
      <c r="K123">
        <v>1.1786231273111301</v>
      </c>
      <c r="L123">
        <v>82.349976762147506</v>
      </c>
      <c r="M123" s="15">
        <f>+'[3]VAR expectations'!C147</f>
        <v>3.8582721147576735</v>
      </c>
      <c r="N123">
        <v>-1.496866</v>
      </c>
      <c r="O123">
        <v>-0.21694556148073699</v>
      </c>
      <c r="P123">
        <v>0.29380000025830399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I124">
        <v>168.42124984566499</v>
      </c>
      <c r="J124">
        <v>133.87379107915399</v>
      </c>
      <c r="K124">
        <v>1.15629960942133</v>
      </c>
      <c r="L124">
        <v>82.142832550121597</v>
      </c>
      <c r="M124" s="15">
        <f>+'[3]VAR expectations'!C148</f>
        <v>3.6255376960251078</v>
      </c>
      <c r="N124">
        <v>-0.94270100000000001</v>
      </c>
      <c r="O124">
        <v>4.3541846025459997E-2</v>
      </c>
      <c r="P124">
        <v>0.12129999990333799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I125">
        <v>168.98288985902533</v>
      </c>
      <c r="J125">
        <v>134.981465514766</v>
      </c>
      <c r="K125">
        <v>1.1454313543346399</v>
      </c>
      <c r="L125">
        <v>81.925962915654395</v>
      </c>
      <c r="M125" s="15">
        <f>+'[3]VAR expectations'!C149</f>
        <v>2.979353541970323</v>
      </c>
      <c r="N125">
        <v>-0.52574799999999999</v>
      </c>
      <c r="O125">
        <v>-0.40443614577732501</v>
      </c>
      <c r="P125">
        <v>-9.1000000370597495E-2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I126">
        <v>170.55822110187066</v>
      </c>
      <c r="J126">
        <v>135.32621452978401</v>
      </c>
      <c r="K126">
        <v>1.14045405577777</v>
      </c>
      <c r="L126">
        <v>81.705989194323806</v>
      </c>
      <c r="M126" s="15">
        <f>+'[3]VAR expectations'!C150</f>
        <v>2.9717312535901965</v>
      </c>
      <c r="N126">
        <v>0.178786</v>
      </c>
      <c r="O126">
        <v>-0.3982860759479</v>
      </c>
      <c r="P126">
        <v>-0.43590000000143703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I127">
        <v>170.13882219666235</v>
      </c>
      <c r="J127">
        <v>135.996126612567</v>
      </c>
      <c r="K127">
        <v>1.1368900225437399</v>
      </c>
      <c r="L127">
        <v>81.490085960634005</v>
      </c>
      <c r="M127" s="15">
        <f>+'[3]VAR expectations'!C151</f>
        <v>3.468785277541127</v>
      </c>
      <c r="N127">
        <v>0.37879099999999999</v>
      </c>
      <c r="O127">
        <v>0.16500605812999999</v>
      </c>
      <c r="P127">
        <v>-0.72779999993567002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I128">
        <v>166.57090265262232</v>
      </c>
      <c r="J128">
        <v>136.770185818187</v>
      </c>
      <c r="K128">
        <v>1.1352038927062</v>
      </c>
      <c r="L128">
        <v>81.281356659997897</v>
      </c>
      <c r="M128" s="15">
        <f>+'[3]VAR expectations'!C152</f>
        <v>3.8021957884789486</v>
      </c>
      <c r="N128">
        <v>-6.6652000000000003E-2</v>
      </c>
      <c r="O128">
        <v>0.107917584062745</v>
      </c>
      <c r="P128">
        <v>-1.03289999969907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I129">
        <v>161.43052583942998</v>
      </c>
      <c r="J129">
        <v>137.33683164983199</v>
      </c>
      <c r="K129">
        <v>1.1356596617819401</v>
      </c>
      <c r="L129">
        <v>81.081264400802297</v>
      </c>
      <c r="M129" s="15">
        <f>+'[3]VAR expectations'!C153</f>
        <v>4.011042611251681</v>
      </c>
      <c r="N129">
        <v>-0.39593499999999998</v>
      </c>
      <c r="O129">
        <v>3.5632547105975999E-2</v>
      </c>
      <c r="P129">
        <v>-1.2186999996628201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I130">
        <v>162.684954262774</v>
      </c>
      <c r="J130">
        <v>137.561421364544</v>
      </c>
      <c r="K130">
        <v>1.13702332657618</v>
      </c>
      <c r="L130">
        <v>80.891039169926202</v>
      </c>
      <c r="M130" s="15">
        <f>+'[3]VAR expectations'!C154</f>
        <v>3.9691108090385026</v>
      </c>
      <c r="N130">
        <v>-0.379104</v>
      </c>
      <c r="O130">
        <v>-0.17429903529735599</v>
      </c>
      <c r="P130">
        <v>-1.3380999997188401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I131">
        <v>162.336170514185</v>
      </c>
      <c r="J131">
        <v>138.13922167044399</v>
      </c>
      <c r="K131">
        <v>1.1373116097104301</v>
      </c>
      <c r="L131">
        <v>80.709579321852402</v>
      </c>
      <c r="M131" s="15">
        <f>+'[3]VAR expectations'!C155</f>
        <v>3.8470567349792795</v>
      </c>
      <c r="N131">
        <v>-0.37074499999999999</v>
      </c>
      <c r="O131">
        <v>-7.0369201187523399E-3</v>
      </c>
      <c r="P131">
        <v>-1.4442000004934701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I132">
        <v>159.586133194936</v>
      </c>
      <c r="J132">
        <v>138.85285159671699</v>
      </c>
      <c r="K132">
        <v>1.1371967207870399</v>
      </c>
      <c r="L132">
        <v>80.536282260349694</v>
      </c>
      <c r="M132" s="15">
        <f>+'[3]VAR expectations'!C156</f>
        <v>4.1639091291217634</v>
      </c>
      <c r="N132">
        <v>-0.32738099999999998</v>
      </c>
      <c r="O132">
        <v>-1.6535476013773E-2</v>
      </c>
      <c r="P132">
        <v>-1.49730000030374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I133">
        <v>156.70982577109365</v>
      </c>
      <c r="J133">
        <v>139.36537773284601</v>
      </c>
      <c r="K133">
        <v>1.13628515049801</v>
      </c>
      <c r="L133">
        <v>80.370916089981606</v>
      </c>
      <c r="M133" s="15">
        <f>+'[3]VAR expectations'!C157</f>
        <v>5.4104651194166893</v>
      </c>
      <c r="N133">
        <v>-0.25485099999999999</v>
      </c>
      <c r="O133">
        <v>0.19389058082222399</v>
      </c>
      <c r="P133">
        <v>-1.5104999995578099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I134">
        <v>157.55060020881766</v>
      </c>
      <c r="J134">
        <v>139.56559293254099</v>
      </c>
      <c r="K134">
        <v>1.13565743031612</v>
      </c>
      <c r="L134">
        <v>80.212901158704994</v>
      </c>
      <c r="M134" s="15">
        <f>+'[3]VAR expectations'!C158</f>
        <v>4.9139696600199789</v>
      </c>
      <c r="N134">
        <v>-0.25423800000000002</v>
      </c>
      <c r="O134">
        <v>-5.4901279743138999E-2</v>
      </c>
      <c r="P134">
        <v>-1.5104999995258399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I135">
        <v>157.47914899235934</v>
      </c>
      <c r="M135" s="15">
        <f>+'[3]VAR expectations'!C159</f>
        <v>4.0011512098701685</v>
      </c>
      <c r="O135">
        <v>-4.4310271174268602E-4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M136" s="15">
        <f>+'[3]VAR expectations'!C160</f>
        <v>3.3715300668176842</v>
      </c>
      <c r="O136">
        <v>-1.27151534663672E-2</v>
      </c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M137" s="15">
        <f>+'[3]VAR expectations'!C161</f>
        <v>2.9319715449134089</v>
      </c>
      <c r="O137">
        <v>1.60999570243111E-2</v>
      </c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M138" s="15">
        <f>+'[3]VAR expectations'!C162</f>
        <v>2.624058833894372</v>
      </c>
      <c r="O138">
        <v>-6.7701651851022695E-4</v>
      </c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M139" s="15">
        <f>+'[3]VAR expectations'!C163</f>
        <v>2.4687156565697737</v>
      </c>
      <c r="O139">
        <v>-4.15752015621643E-3</v>
      </c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M140" s="15">
        <f>+'[3]VAR expectations'!C164</f>
        <v>2.4272584547421974</v>
      </c>
      <c r="O140">
        <v>-6.4730736789887404E-3</v>
      </c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M141" s="15">
        <f>+'[3]VAR expectations'!C165</f>
        <v>2.4505337246023733</v>
      </c>
      <c r="O141">
        <v>1.1817117236994201E-2</v>
      </c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M142" s="15">
        <f>+'[3]VAR expectations'!C166</f>
        <v>2.4399426350808717</v>
      </c>
      <c r="O142">
        <v>3.8775680770001202E-2</v>
      </c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M143" s="15">
        <f>+'[3]VAR expectations'!C167</f>
        <v>2.4724757454078841</v>
      </c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M144" s="15">
        <f>+'[3]VAR expectations'!C168</f>
        <v>2.5381252562448622</v>
      </c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/>
      <c r="M145" s="15">
        <f>+'[3]VAR expectations'!C169</f>
        <v>2.6576871518365146</v>
      </c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D38E-30D6-45FD-BF88-690ED252275D}">
  <dimension ref="A1:W172"/>
  <sheetViews>
    <sheetView topLeftCell="A3" zoomScaleNormal="100" workbookViewId="0">
      <selection activeCell="Q12" sqref="Q12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I3" s="1" t="s">
        <v>7</v>
      </c>
      <c r="J3" s="2" t="s">
        <v>5</v>
      </c>
      <c r="K3" s="2"/>
      <c r="L3" t="s">
        <v>109</v>
      </c>
    </row>
    <row r="4" spans="1:23" x14ac:dyDescent="0.25">
      <c r="A4" t="s">
        <v>214</v>
      </c>
      <c r="B4" s="2" t="s">
        <v>8</v>
      </c>
      <c r="C4" s="2"/>
      <c r="D4" s="3" t="s">
        <v>212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187</v>
      </c>
      <c r="J5" s="2" t="s">
        <v>9</v>
      </c>
      <c r="K5" s="2"/>
    </row>
    <row r="6" spans="1:23" x14ac:dyDescent="0.25">
      <c r="A6" t="s">
        <v>213</v>
      </c>
      <c r="I6" t="s">
        <v>186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conv2qa(X12(stifidx_oct2023.m,MULT,1996m1,2024m3))</v>
      </c>
      <c r="C10" s="11" t="str">
        <f t="shared" ref="C10:D10" si="0">"conv2qa(X12("&amp;$D$5&amp;$D$3&amp;C9&amp;$D$4&amp;",MULT," &amp; TEXT($A$3,"yyyy""m""m") &amp; "," &amp; TEXT($A$4,"yyyy""m""m") &amp; "))"</f>
        <v>conv2qa(X12(stif_srv_oct2023.m,MULT,1996m1,2024m3))</v>
      </c>
      <c r="D10" s="11" t="str">
        <f t="shared" si="0"/>
        <v>conv2qa(X12(stif_gds_xeatfnab_oct2023.m,MULT,1996m1,2024m3))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booze.m,fags.m,#,#,#,#,#,#,#,#,#,#,#,#,#,#,#,#,#),MULT,1996m1,2024m3))</v>
      </c>
      <c r="F10" s="11" t="str">
        <f>"conv2qa(X12("&amp;$D$5&amp;$D$3&amp;F9&amp;$D$4&amp;",MULT," &amp; TEXT($A$3,"yyyy""m""m") &amp; "," &amp; TEXT($A$4,"yyyy""m""m") &amp; "))"</f>
        <v>conv2qa(X12(stif_fnab_oct2023.m,MULT,1996m1,2024m3))</v>
      </c>
      <c r="G10" s="11" t="str">
        <f>"conv2qa(X12("&amp;G9&amp;",MULT," &amp; TEXT($A$3,"yyyy""m""m") &amp; "," &amp; TEXT($A$4,"yyyy""m""m") &amp; "))"</f>
        <v>conv2qa(X12(booze.m,MULT,1996m1,2024m3))</v>
      </c>
      <c r="H10" s="11" t="str">
        <f>"conv2qa(X12("&amp;H9&amp;",MULT," &amp; TEXT($A$3,"yyyy""m""m") &amp; "," &amp; TEXT($A$4,"yyyy""m""m") &amp; "))"</f>
        <v>conv2qa(X12(fags.m,MULT,1996m1,2024m3))</v>
      </c>
      <c r="I10" s="11" t="str">
        <f>"conv2qa(X12("&amp;$D$5&amp;$D$3&amp;I9&amp;$D$4&amp;",MULT," &amp; TEXT($A$3,"yyyy""m""m") &amp; "," &amp; TEXT($I$5,"yyyy""m""m") &amp; "))"</f>
        <v>conv2qa(X12(stif_pu_oct2023.m,MULT,1996m1,2026m12))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68.336249781639495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58.553707089075935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77.833862631328444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>
        <f>[2]!FAMEData($L$5&amp;$L$3&amp;J9&amp;$L$4, $I$3, $I$4, 0,"Quarterly", "Down", "No Heading", "Normal")</f>
        <v>68.347640555445295</v>
      </c>
      <c r="K12">
        <f>[2]!FAMEData($L$5&amp;$L$3&amp;K9&amp;$L$4, $I$3, $I$4, 0,"Quarterly", "Down", "No Heading", "Normal")</f>
        <v>0.86450741438940804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[2]!FAMEData($L$5&amp;$L$3&amp;P9&amp;$L$4, $I$3, $I$4, 0,"Quarterly", "Down", "No Heading", "Normal")</f>
        <v>-0.67176493919937696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68.723480942931459</v>
      </c>
      <c r="C13">
        <v>51.436217115422501</v>
      </c>
      <c r="D13">
        <v>120.55767761245134</v>
      </c>
      <c r="E13">
        <v>59.1508350372427</v>
      </c>
      <c r="F13">
        <v>66.150622751811724</v>
      </c>
      <c r="G13">
        <v>78.703574190497008</v>
      </c>
      <c r="H13">
        <v>30.476125774121101</v>
      </c>
      <c r="I13">
        <v>43.120581147797139</v>
      </c>
      <c r="J13">
        <v>68.734886729457699</v>
      </c>
      <c r="K13">
        <v>0.86509042373751399</v>
      </c>
      <c r="L13">
        <v>81.882196923076904</v>
      </c>
      <c r="M13" s="15">
        <f>+'[3]VAR expectations'!C37</f>
        <v>2.6154884948264598</v>
      </c>
      <c r="N13">
        <v>0.3</v>
      </c>
      <c r="O13">
        <v>-0.16120155703172701</v>
      </c>
      <c r="P13">
        <v>-0.90949895832332694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68.949456546139729</v>
      </c>
      <c r="C14">
        <v>51.916931408985363</v>
      </c>
      <c r="D14">
        <v>120.616001958364</v>
      </c>
      <c r="E14">
        <v>59.122311970343027</v>
      </c>
      <c r="F14">
        <v>65.892031840330773</v>
      </c>
      <c r="G14">
        <v>78.989247520027121</v>
      </c>
      <c r="H14">
        <v>30.929830737469164</v>
      </c>
      <c r="I14">
        <v>43.346266616041838</v>
      </c>
      <c r="J14">
        <v>68.960846235896398</v>
      </c>
      <c r="K14">
        <v>0.84647798199442004</v>
      </c>
      <c r="L14">
        <v>82.869486363636398</v>
      </c>
      <c r="M14" s="15">
        <f>+'[3]VAR expectations'!C38</f>
        <v>2.6428562485995646</v>
      </c>
      <c r="N14">
        <v>0.3</v>
      </c>
      <c r="O14">
        <v>0.32912444162450999</v>
      </c>
      <c r="P14">
        <v>-0.98494571975045697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69.259947297382638</v>
      </c>
      <c r="C15">
        <v>52.311071312771993</v>
      </c>
      <c r="D15">
        <v>120.63002394083701</v>
      </c>
      <c r="E15">
        <v>58.834792121229668</v>
      </c>
      <c r="F15">
        <v>65.084105610473628</v>
      </c>
      <c r="G15">
        <v>79.125642753287721</v>
      </c>
      <c r="H15">
        <v>31.483583173415866</v>
      </c>
      <c r="I15">
        <v>44.7267749910337</v>
      </c>
      <c r="J15">
        <v>69.271491707532107</v>
      </c>
      <c r="K15">
        <v>0.83585006467577705</v>
      </c>
      <c r="L15">
        <v>88.333556060606099</v>
      </c>
      <c r="M15" s="15">
        <f>+'[3]VAR expectations'!C39</f>
        <v>2.8292929206876933</v>
      </c>
      <c r="N15">
        <v>0.3</v>
      </c>
      <c r="O15">
        <v>-2.2510150918334201E-3</v>
      </c>
      <c r="P15">
        <v>-0.945418596796475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69.656172144574271</v>
      </c>
      <c r="C16">
        <v>52.833527081934562</v>
      </c>
      <c r="D16">
        <v>120.51831953602668</v>
      </c>
      <c r="E16">
        <v>59.076250345073369</v>
      </c>
      <c r="F16">
        <v>65.240899062162541</v>
      </c>
      <c r="G16">
        <v>78.957703138354134</v>
      </c>
      <c r="H16">
        <v>32.032941374691468</v>
      </c>
      <c r="I16">
        <v>45.328295668908964</v>
      </c>
      <c r="J16">
        <v>69.667778562761498</v>
      </c>
      <c r="K16">
        <v>0.80632216180680205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-0.262290558696672</v>
      </c>
      <c r="P16">
        <v>-8.1219059248215705E-3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69.818827320613835</v>
      </c>
      <c r="C17">
        <v>53.331404584016006</v>
      </c>
      <c r="D17">
        <v>120.310188362095</v>
      </c>
      <c r="E17">
        <v>59.375031266219338</v>
      </c>
      <c r="F17">
        <v>65.408499895120499</v>
      </c>
      <c r="G17">
        <v>79.267965073229945</v>
      </c>
      <c r="H17">
        <v>32.549626728659469</v>
      </c>
      <c r="I17">
        <v>44.445946493019335</v>
      </c>
      <c r="J17">
        <v>69.830392304918405</v>
      </c>
      <c r="K17">
        <v>0.79144008450373604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-0.18076935065413899</v>
      </c>
      <c r="P17">
        <v>7.84111432679543E-2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70.281779806178875</v>
      </c>
      <c r="C18">
        <v>53.831610222106065</v>
      </c>
      <c r="D18">
        <v>120.33884823031001</v>
      </c>
      <c r="E18">
        <v>59.894854454244928</v>
      </c>
      <c r="F18">
        <v>65.91284178230616</v>
      </c>
      <c r="G18">
        <v>79.394793740405547</v>
      </c>
      <c r="H18">
        <v>33.304621200313029</v>
      </c>
      <c r="I18">
        <v>45.375545582596033</v>
      </c>
      <c r="J18">
        <v>70.293407920927095</v>
      </c>
      <c r="K18">
        <v>0.78762848509638905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0.135072712526874</v>
      </c>
      <c r="P18">
        <v>5.2461276338646697E-3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70.534190606470673</v>
      </c>
      <c r="C19">
        <v>54.3557598582004</v>
      </c>
      <c r="D19">
        <v>120.137475565896</v>
      </c>
      <c r="E19">
        <v>60.113280542567402</v>
      </c>
      <c r="F19">
        <v>65.8557702922663</v>
      </c>
      <c r="G19">
        <v>79.329518514681908</v>
      </c>
      <c r="H19">
        <v>34.107615541725302</v>
      </c>
      <c r="I19">
        <v>45.165943591836964</v>
      </c>
      <c r="J19">
        <v>70.545955644481495</v>
      </c>
      <c r="K19">
        <v>0.78373624680643506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-0.18038836269067801</v>
      </c>
      <c r="P19">
        <v>-0.113315778004121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70.760831716669827</v>
      </c>
      <c r="C20">
        <v>54.867317852625661</v>
      </c>
      <c r="D20">
        <v>119.84603007593834</v>
      </c>
      <c r="E20">
        <v>60.324796120000002</v>
      </c>
      <c r="F20">
        <v>65.556439010962194</v>
      </c>
      <c r="G20">
        <v>80.314829273756899</v>
      </c>
      <c r="H20">
        <v>35.043737560232337</v>
      </c>
      <c r="I20">
        <v>45.066788167536068</v>
      </c>
      <c r="J20">
        <v>70.772607976520504</v>
      </c>
      <c r="K20">
        <v>0.77300052601257396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-0.40106993870267899</v>
      </c>
      <c r="P20">
        <v>0.35232580082478598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71.100692128724191</v>
      </c>
      <c r="C21">
        <v>55.376840634027332</v>
      </c>
      <c r="D21">
        <v>119.471764844226</v>
      </c>
      <c r="E21">
        <v>60.759837536161399</v>
      </c>
      <c r="F21">
        <v>65.968165559058164</v>
      </c>
      <c r="G21">
        <v>80.697417805789129</v>
      </c>
      <c r="H21">
        <v>35.534825019559499</v>
      </c>
      <c r="I21">
        <v>45.512400795737371</v>
      </c>
      <c r="J21">
        <v>71.1124422051316</v>
      </c>
      <c r="K21">
        <v>0.76206216868059895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-0.121959828355084</v>
      </c>
      <c r="P21">
        <v>0.18544471888963501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71.255609424544133</v>
      </c>
      <c r="C22">
        <v>55.834494062716907</v>
      </c>
      <c r="D22">
        <v>118.95366575846867</v>
      </c>
      <c r="E22">
        <v>61.326564516040726</v>
      </c>
      <c r="F22">
        <v>66.599884378909437</v>
      </c>
      <c r="G22">
        <v>81.111237273061647</v>
      </c>
      <c r="H22">
        <v>36.009377724464265</v>
      </c>
      <c r="I22">
        <v>45.2401175279781</v>
      </c>
      <c r="J22">
        <v>71.267430673891397</v>
      </c>
      <c r="K22">
        <v>0.75687671765936204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0.148148898493562</v>
      </c>
      <c r="P22">
        <v>0.157845722834311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71.539883561893916</v>
      </c>
      <c r="C23">
        <v>56.342645165224134</v>
      </c>
      <c r="D23">
        <v>118.50979090512101</v>
      </c>
      <c r="E23">
        <v>61.798219502367864</v>
      </c>
      <c r="F23">
        <v>66.931585635713873</v>
      </c>
      <c r="G23">
        <v>81.345598400689013</v>
      </c>
      <c r="H23">
        <v>36.768433546816802</v>
      </c>
      <c r="I23">
        <v>45.18261128364913</v>
      </c>
      <c r="J23">
        <v>71.551811642759205</v>
      </c>
      <c r="K23">
        <v>0.75976655115812497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-0.44461325206669999</v>
      </c>
      <c r="P23">
        <v>-0.51317086500777798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71.8694483578887</v>
      </c>
      <c r="C24">
        <v>56.820337302049971</v>
      </c>
      <c r="D24">
        <v>117.91126120930501</v>
      </c>
      <c r="E24">
        <v>62.464147956122474</v>
      </c>
      <c r="F24">
        <v>67.238659277963407</v>
      </c>
      <c r="G24">
        <v>81.576404148247434</v>
      </c>
      <c r="H24">
        <v>38.383741142240702</v>
      </c>
      <c r="I24">
        <v>45.60583903694527</v>
      </c>
      <c r="J24">
        <v>71.881415535693606</v>
      </c>
      <c r="K24">
        <v>0.75674034386786804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0.52782221066476598</v>
      </c>
      <c r="P24">
        <v>-0.37218782460312799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72.089045435031395</v>
      </c>
      <c r="C25">
        <v>57.315645524914707</v>
      </c>
      <c r="D25">
        <v>117.102020370133</v>
      </c>
      <c r="E25">
        <v>62.327610220776869</v>
      </c>
      <c r="F25">
        <v>66.57184476268047</v>
      </c>
      <c r="G25">
        <v>81.622908379723739</v>
      </c>
      <c r="H25">
        <v>39.566559269081068</v>
      </c>
      <c r="I25">
        <v>46.924886016748665</v>
      </c>
      <c r="J25">
        <v>72.100963720951995</v>
      </c>
      <c r="K25">
        <v>0.75164895250617403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0.48725261916995399</v>
      </c>
      <c r="P25">
        <v>4.5365294861338799E-2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72.125395090308331</v>
      </c>
      <c r="C26">
        <v>57.72589105213806</v>
      </c>
      <c r="D26">
        <v>116.216467739604</v>
      </c>
      <c r="E26">
        <v>62.266005901835335</v>
      </c>
      <c r="F26">
        <v>65.966078638823205</v>
      </c>
      <c r="G26">
        <v>81.700276436660872</v>
      </c>
      <c r="H26">
        <v>40.6944578565613</v>
      </c>
      <c r="I26">
        <v>47.676146770893638</v>
      </c>
      <c r="J26">
        <v>72.137420466198506</v>
      </c>
      <c r="K26">
        <v>0.75365215365925997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0.67076862974608797</v>
      </c>
      <c r="P26">
        <v>0.16262397978819501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72.359803406714903</v>
      </c>
      <c r="C27">
        <v>58.260597172429208</v>
      </c>
      <c r="D27">
        <v>115.117245349604</v>
      </c>
      <c r="E27">
        <v>62.425190193865433</v>
      </c>
      <c r="F27">
        <v>66.000462650334768</v>
      </c>
      <c r="G27">
        <v>81.899917498454172</v>
      </c>
      <c r="H27">
        <v>41.070297939999101</v>
      </c>
      <c r="I27">
        <v>48.744128850986236</v>
      </c>
      <c r="J27">
        <v>72.371837239678101</v>
      </c>
      <c r="K27">
        <v>0.75528714880922598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0.25537877518103203</v>
      </c>
      <c r="P27">
        <v>0.81451014866165805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72.440743266591497</v>
      </c>
      <c r="C28">
        <v>58.772737337574597</v>
      </c>
      <c r="D28">
        <v>113.71050289669866</v>
      </c>
      <c r="E28">
        <v>62.29422568553187</v>
      </c>
      <c r="F28">
        <v>65.738951218718867</v>
      </c>
      <c r="G28">
        <v>81.953847149633091</v>
      </c>
      <c r="H28">
        <v>41.192698366532674</v>
      </c>
      <c r="I28">
        <v>50.0143450220883</v>
      </c>
      <c r="J28">
        <v>72.452732765376695</v>
      </c>
      <c r="K28">
        <v>0.76146870091037999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9.2271063782413995E-2</v>
      </c>
      <c r="P28">
        <v>-0.807077862700738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72.539182292659589</v>
      </c>
      <c r="C29">
        <v>59.022039679802027</v>
      </c>
      <c r="D29">
        <v>113.06246638512432</v>
      </c>
      <c r="E29">
        <v>62.695488445114698</v>
      </c>
      <c r="F29">
        <v>65.547576525315804</v>
      </c>
      <c r="G29">
        <v>81.549251879682203</v>
      </c>
      <c r="H29">
        <v>43.499742188443832</v>
      </c>
      <c r="I29">
        <v>50.294131092577764</v>
      </c>
      <c r="J29">
        <v>72.551286785871696</v>
      </c>
      <c r="K29">
        <v>0.767602350026383</v>
      </c>
      <c r="L29">
        <v>101.013821538462</v>
      </c>
      <c r="M29" s="15">
        <f>+'[3]VAR expectations'!C53</f>
        <v>2.480790509902373</v>
      </c>
      <c r="N29">
        <v>0.578228356186961</v>
      </c>
      <c r="O29">
        <v>6.4185673634936505E-2</v>
      </c>
      <c r="P29">
        <v>0.53264032273610096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72.707840592080004</v>
      </c>
      <c r="C30">
        <v>59.618307460287703</v>
      </c>
      <c r="D30">
        <v>111.70485772052366</v>
      </c>
      <c r="E30">
        <v>63.480786531372367</v>
      </c>
      <c r="F30">
        <v>66.470733130130327</v>
      </c>
      <c r="G30">
        <v>81.400383542584692</v>
      </c>
      <c r="H30">
        <v>44.129516914257202</v>
      </c>
      <c r="I30">
        <v>50.848549060355026</v>
      </c>
      <c r="J30">
        <v>72.719969663429197</v>
      </c>
      <c r="K30">
        <v>0.77750524699329104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0.321076211975517</v>
      </c>
      <c r="P30">
        <v>0.271806601737618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73.058297139593364</v>
      </c>
      <c r="C31">
        <v>60.261873317663799</v>
      </c>
      <c r="D31">
        <v>111.14640687755066</v>
      </c>
      <c r="E31">
        <v>63.852768940653469</v>
      </c>
      <c r="F31">
        <v>66.715067260723728</v>
      </c>
      <c r="G31">
        <v>81.765643928799321</v>
      </c>
      <c r="H31">
        <v>44.72936174813713</v>
      </c>
      <c r="I31">
        <v>51.114811152112104</v>
      </c>
      <c r="J31">
        <v>73.070287495082098</v>
      </c>
      <c r="K31">
        <v>0.77749108644292997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-1.6390389462865099E-2</v>
      </c>
      <c r="P31">
        <v>0.70674457035057403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73.057199821125877</v>
      </c>
      <c r="C32">
        <v>60.743618510498202</v>
      </c>
      <c r="D32">
        <v>110.17048885712933</v>
      </c>
      <c r="E32">
        <v>64.304947373208634</v>
      </c>
      <c r="F32">
        <v>67.219576569648495</v>
      </c>
      <c r="G32">
        <v>81.956356249488209</v>
      </c>
      <c r="H32">
        <v>45.213764850977064</v>
      </c>
      <c r="I32">
        <v>49.776772698683828</v>
      </c>
      <c r="J32">
        <v>73.0692174762832</v>
      </c>
      <c r="K32">
        <v>0.77840968606762295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-0.227577979531076</v>
      </c>
      <c r="P32">
        <v>0.41762760247680097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73.640782755198302</v>
      </c>
      <c r="C33">
        <v>61.544420219878305</v>
      </c>
      <c r="D33">
        <v>109.89504456780833</v>
      </c>
      <c r="E33">
        <v>65.67156255493434</v>
      </c>
      <c r="F33">
        <v>69.291698510739863</v>
      </c>
      <c r="G33">
        <v>81.894722914303998</v>
      </c>
      <c r="H33">
        <v>45.475672673056465</v>
      </c>
      <c r="I33">
        <v>49.554685240273102</v>
      </c>
      <c r="J33">
        <v>73.653344627543603</v>
      </c>
      <c r="K33">
        <v>0.77311081379601498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0.14427868690463599</v>
      </c>
      <c r="P33">
        <v>0.27171772306839898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73.825368253457938</v>
      </c>
      <c r="C34">
        <v>62.223963784252163</v>
      </c>
      <c r="D34">
        <v>109.34835279543601</v>
      </c>
      <c r="E34">
        <v>65.641448844471029</v>
      </c>
      <c r="F34">
        <v>68.979536133766871</v>
      </c>
      <c r="G34">
        <v>82.063297448964008</v>
      </c>
      <c r="H34">
        <v>45.842531037183228</v>
      </c>
      <c r="I34">
        <v>49.541042554960967</v>
      </c>
      <c r="J34">
        <v>73.837767891687506</v>
      </c>
      <c r="K34">
        <v>0.76410605231391304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-0.145405425617782</v>
      </c>
      <c r="P34">
        <v>2.9738324737060302E-2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73.809977444331977</v>
      </c>
      <c r="C35">
        <v>62.586922212656503</v>
      </c>
      <c r="D35">
        <v>108.73663622536499</v>
      </c>
      <c r="E35">
        <v>65.828698273179768</v>
      </c>
      <c r="F35">
        <v>68.970945389824863</v>
      </c>
      <c r="G35">
        <v>82.057820789768115</v>
      </c>
      <c r="H35">
        <v>46.482425595621727</v>
      </c>
      <c r="I35">
        <v>48.008808713778102</v>
      </c>
      <c r="J35">
        <v>73.821849800521306</v>
      </c>
      <c r="K35">
        <v>0.75370755908918496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-0.40207821981541297</v>
      </c>
      <c r="P35">
        <v>-0.63993486982955505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74.172708858535472</v>
      </c>
      <c r="C36">
        <v>63.253448974823733</v>
      </c>
      <c r="D36">
        <v>108.25388781241399</v>
      </c>
      <c r="E36">
        <v>66.271856173308905</v>
      </c>
      <c r="F36">
        <v>69.566869099750576</v>
      </c>
      <c r="G36">
        <v>82.184032829988126</v>
      </c>
      <c r="H36">
        <v>46.712875200258701</v>
      </c>
      <c r="I36">
        <v>48.300000596912206</v>
      </c>
      <c r="J36">
        <v>74.184638666234605</v>
      </c>
      <c r="K36">
        <v>0.75001045963908397</v>
      </c>
      <c r="L36">
        <v>100.22180625</v>
      </c>
      <c r="M36" s="15">
        <f>+'[3]VAR expectations'!C60</f>
        <v>2.2636382290406152</v>
      </c>
      <c r="N36">
        <v>-0.19866515250366801</v>
      </c>
      <c r="O36">
        <v>0.181561700258596</v>
      </c>
      <c r="P36">
        <v>-0.63539245314266801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74.341061354174442</v>
      </c>
      <c r="C37">
        <v>64.098357828473937</v>
      </c>
      <c r="D37">
        <v>107.15975382362099</v>
      </c>
      <c r="E37">
        <v>65.841454897000901</v>
      </c>
      <c r="F37">
        <v>69.072767804065961</v>
      </c>
      <c r="G37">
        <v>82.070455382870193</v>
      </c>
      <c r="H37">
        <v>46.699129957662763</v>
      </c>
      <c r="I37">
        <v>48.834968279161636</v>
      </c>
      <c r="J37">
        <v>74.354711483033896</v>
      </c>
      <c r="K37">
        <v>0.75265406142824498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0.26583891266085302</v>
      </c>
      <c r="P37">
        <v>-0.84417258489077596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74.58682729479834</v>
      </c>
      <c r="C38">
        <v>64.806065669901628</v>
      </c>
      <c r="D38">
        <v>106.445834896316</v>
      </c>
      <c r="E38">
        <v>66.101100667718171</v>
      </c>
      <c r="F38">
        <v>69.016510777055473</v>
      </c>
      <c r="G38">
        <v>82.393205067243059</v>
      </c>
      <c r="H38">
        <v>47.312363036805969</v>
      </c>
      <c r="I38">
        <v>48.81017275787007</v>
      </c>
      <c r="J38">
        <v>74.599058902722106</v>
      </c>
      <c r="K38">
        <v>0.75015550616674598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2.2118145407947602E-2</v>
      </c>
      <c r="P38">
        <v>-0.47303919311603998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74.941531965486604</v>
      </c>
      <c r="C39">
        <v>65.527580796711689</v>
      </c>
      <c r="D39">
        <v>105.92448921607966</v>
      </c>
      <c r="E39">
        <v>66.196127743886564</v>
      </c>
      <c r="F39">
        <v>69.02071279197493</v>
      </c>
      <c r="G39">
        <v>81.795408941739893</v>
      </c>
      <c r="H39">
        <v>47.821927968090563</v>
      </c>
      <c r="I39">
        <v>49.301431799798273</v>
      </c>
      <c r="J39">
        <v>74.953142055696304</v>
      </c>
      <c r="K39">
        <v>0.74797853098426004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-3.5729490300290101E-2</v>
      </c>
      <c r="P39">
        <v>-0.23491543059932599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75.254178376683569</v>
      </c>
      <c r="C40">
        <v>66.024472037804941</v>
      </c>
      <c r="D40">
        <v>105.57840811694734</v>
      </c>
      <c r="E40">
        <v>66.295932108498803</v>
      </c>
      <c r="F40">
        <v>69.109899366713663</v>
      </c>
      <c r="G40">
        <v>81.579240068338166</v>
      </c>
      <c r="H40">
        <v>48.150793174963404</v>
      </c>
      <c r="I40">
        <v>50.696241264206037</v>
      </c>
      <c r="J40">
        <v>75.265660067749707</v>
      </c>
      <c r="K40">
        <v>0.76113179198910996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-0.412486941757993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75.297740897790604</v>
      </c>
      <c r="C41">
        <v>66.477450028832621</v>
      </c>
      <c r="D41">
        <v>104.82493353945331</v>
      </c>
      <c r="E41">
        <v>66.743556530047499</v>
      </c>
      <c r="F41">
        <v>69.746466956437644</v>
      </c>
      <c r="G41">
        <v>81.929888127810671</v>
      </c>
      <c r="H41">
        <v>48.454084821995501</v>
      </c>
      <c r="I41">
        <v>49.519114793083268</v>
      </c>
      <c r="J41">
        <v>75.312825050194604</v>
      </c>
      <c r="K41">
        <v>0.75829920985494004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-0.53365875606219304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75.612761664895103</v>
      </c>
      <c r="C42">
        <v>66.969781979435169</v>
      </c>
      <c r="D42">
        <v>104.573454983167</v>
      </c>
      <c r="E42">
        <v>67.312971498712656</v>
      </c>
      <c r="F42">
        <v>70.264155677548843</v>
      </c>
      <c r="G42">
        <v>81.292515580367805</v>
      </c>
      <c r="H42">
        <v>49.190874954464128</v>
      </c>
      <c r="I42">
        <v>49.812423087728597</v>
      </c>
      <c r="J42">
        <v>75.625231648400103</v>
      </c>
      <c r="K42">
        <v>0.76314959952758699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-0.27587813004151002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75.930394796532369</v>
      </c>
      <c r="C43">
        <v>67.5469727204988</v>
      </c>
      <c r="D43">
        <v>104.00485127004499</v>
      </c>
      <c r="E43">
        <v>67.719280322226879</v>
      </c>
      <c r="F43">
        <v>70.752523647064621</v>
      </c>
      <c r="G43">
        <v>81.390202733933833</v>
      </c>
      <c r="H43">
        <v>49.438759827284066</v>
      </c>
      <c r="I43">
        <v>50.45669603980587</v>
      </c>
      <c r="J43">
        <v>75.941575239052298</v>
      </c>
      <c r="K43">
        <v>0.75916189937253498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-0.53389832173649399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76.200273155139143</v>
      </c>
      <c r="C44">
        <v>68.106265289833601</v>
      </c>
      <c r="D44">
        <v>103.62955172454467</v>
      </c>
      <c r="E44">
        <v>67.701718665335932</v>
      </c>
      <c r="F44">
        <v>70.680623238548165</v>
      </c>
      <c r="G44">
        <v>81.372891183568001</v>
      </c>
      <c r="H44">
        <v>49.67780218595707</v>
      </c>
      <c r="I44">
        <v>51.504084269439034</v>
      </c>
      <c r="J44">
        <v>76.2107642450989</v>
      </c>
      <c r="K44">
        <v>0.750253061775353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0.26647992525057201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76.359150234980476</v>
      </c>
      <c r="C45">
        <v>68.631855809778827</v>
      </c>
      <c r="D45">
        <v>102.87732125833901</v>
      </c>
      <c r="E45">
        <v>67.638283543601631</v>
      </c>
      <c r="F45">
        <v>70.476850083318183</v>
      </c>
      <c r="G45">
        <v>81.287191156711359</v>
      </c>
      <c r="H45">
        <v>50.250960567521702</v>
      </c>
      <c r="I45">
        <v>52.490029582059606</v>
      </c>
      <c r="J45">
        <v>76.376723439817596</v>
      </c>
      <c r="K45">
        <v>0.751272030828947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0.178629395119865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76.562215364145459</v>
      </c>
      <c r="C46">
        <v>69.203743096540265</v>
      </c>
      <c r="D46">
        <v>102.21000368704932</v>
      </c>
      <c r="E46">
        <v>67.6462014690686</v>
      </c>
      <c r="F46">
        <v>70.117000343257743</v>
      </c>
      <c r="G46">
        <v>81.074507641816254</v>
      </c>
      <c r="H46">
        <v>50.981515759034096</v>
      </c>
      <c r="I46">
        <v>53.35915640590823</v>
      </c>
      <c r="J46">
        <v>76.574730916125404</v>
      </c>
      <c r="K46">
        <v>0.75246452156788601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-2.6019163562299601E-2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77.024673216061629</v>
      </c>
      <c r="C47">
        <v>69.904808949465107</v>
      </c>
      <c r="D47">
        <v>101.65395874814567</v>
      </c>
      <c r="E47">
        <v>67.923177691467757</v>
      </c>
      <c r="F47">
        <v>70.398557803265717</v>
      </c>
      <c r="G47">
        <v>81.151471177067393</v>
      </c>
      <c r="H47">
        <v>51.389293387872591</v>
      </c>
      <c r="I47">
        <v>55.645647705969033</v>
      </c>
      <c r="J47">
        <v>77.034515776780694</v>
      </c>
      <c r="K47">
        <v>0.76483927023953302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0.92820849252594795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77.519251825881</v>
      </c>
      <c r="C48">
        <v>70.711753842141675</v>
      </c>
      <c r="D48">
        <v>101.22455081857601</v>
      </c>
      <c r="E48">
        <v>68.69079841495882</v>
      </c>
      <c r="F48">
        <v>71.390648857790964</v>
      </c>
      <c r="G48">
        <v>80.604662121108291</v>
      </c>
      <c r="H48">
        <v>52.15175519545587</v>
      </c>
      <c r="I48">
        <v>56.449023552401734</v>
      </c>
      <c r="J48">
        <v>77.529226675793097</v>
      </c>
      <c r="K48">
        <v>0.76409886629407298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0.47825978391603902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77.860337197555324</v>
      </c>
      <c r="C49">
        <v>71.482542510569601</v>
      </c>
      <c r="D49">
        <v>100.61472787275299</v>
      </c>
      <c r="E49">
        <v>68.823701784950671</v>
      </c>
      <c r="F49">
        <v>71.584679051341368</v>
      </c>
      <c r="G49">
        <v>80.155896985208827</v>
      </c>
      <c r="H49">
        <v>52.54189000607257</v>
      </c>
      <c r="I49">
        <v>57.44085834798009</v>
      </c>
      <c r="J49">
        <v>77.8817225548691</v>
      </c>
      <c r="K49">
        <v>0.76361188274119896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-0.146554301954858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78.392596145690007</v>
      </c>
      <c r="C50">
        <v>72.32930099219287</v>
      </c>
      <c r="D50">
        <v>100.07117849877348</v>
      </c>
      <c r="E50">
        <v>68.937261982522372</v>
      </c>
      <c r="F50">
        <v>71.487850253110068</v>
      </c>
      <c r="G50">
        <v>80.839757464270207</v>
      </c>
      <c r="H50">
        <v>52.691778543331395</v>
      </c>
      <c r="I50">
        <v>60.297134309420436</v>
      </c>
      <c r="J50">
        <v>78.404441959500105</v>
      </c>
      <c r="K50">
        <v>0.78280032485301099</v>
      </c>
      <c r="L50">
        <v>99.734880303030295</v>
      </c>
      <c r="M50" s="15">
        <f>+'[3]VAR expectations'!C74</f>
        <v>2.2761535969954032</v>
      </c>
      <c r="N50">
        <v>0.70017615103754205</v>
      </c>
      <c r="O50">
        <v>0.242344274322987</v>
      </c>
      <c r="P50">
        <v>9.7562498028776104E-2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78.664975377875123</v>
      </c>
      <c r="C51">
        <v>72.762317009434625</v>
      </c>
      <c r="D51">
        <v>99.588196000178428</v>
      </c>
      <c r="E51">
        <v>69.148775904878534</v>
      </c>
      <c r="F51">
        <v>71.487766539029224</v>
      </c>
      <c r="G51">
        <v>80.757559307131274</v>
      </c>
      <c r="H51">
        <v>53.781965247636542</v>
      </c>
      <c r="I51">
        <v>62.213078937578736</v>
      </c>
      <c r="J51">
        <v>78.670847406026596</v>
      </c>
      <c r="K51">
        <v>0.78613016235761302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-2.1319812395411301E-2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79.028134371971802</v>
      </c>
      <c r="C52">
        <v>73.385241764680302</v>
      </c>
      <c r="D52">
        <v>99.218511706487732</v>
      </c>
      <c r="E52">
        <v>69.456156219240157</v>
      </c>
      <c r="F52">
        <v>71.887123968095707</v>
      </c>
      <c r="G52">
        <v>80.784701332963891</v>
      </c>
      <c r="H52">
        <v>54.031494210568574</v>
      </c>
      <c r="I52">
        <v>63.507502816451698</v>
      </c>
      <c r="J52">
        <v>79.041199378175406</v>
      </c>
      <c r="K52">
        <v>0.79284926485340401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-2.3841078711659799E-2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79.616137410324669</v>
      </c>
      <c r="C53">
        <v>74.005587512343936</v>
      </c>
      <c r="D53">
        <v>98.648450734350476</v>
      </c>
      <c r="E53">
        <v>69.890133182539373</v>
      </c>
      <c r="F53">
        <v>72.381509203133803</v>
      </c>
      <c r="G53">
        <v>80.348360680577073</v>
      </c>
      <c r="H53">
        <v>54.731568999965837</v>
      </c>
      <c r="I53">
        <v>67.671668115578825</v>
      </c>
      <c r="J53">
        <v>79.642619438989897</v>
      </c>
      <c r="K53">
        <v>0.79261836960908305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2.6008595690552701E-2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80.274419013520159</v>
      </c>
      <c r="C54">
        <v>74.554497798190738</v>
      </c>
      <c r="D54">
        <v>98.578686614668115</v>
      </c>
      <c r="E54">
        <v>71.285703135245797</v>
      </c>
      <c r="F54">
        <v>73.986476852266804</v>
      </c>
      <c r="G54">
        <v>80.810977040510991</v>
      </c>
      <c r="H54">
        <v>55.632163061300766</v>
      </c>
      <c r="I54">
        <v>70.050693849229859</v>
      </c>
      <c r="J54">
        <v>80.2847415259331</v>
      </c>
      <c r="K54">
        <v>0.79050596488411395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4.9735153865615299E-2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80.800369671840301</v>
      </c>
      <c r="C55">
        <v>75.456551225171054</v>
      </c>
      <c r="D55">
        <v>98.558511765720439</v>
      </c>
      <c r="E55">
        <v>72.05791439335583</v>
      </c>
      <c r="F55">
        <v>74.869558603639234</v>
      </c>
      <c r="G55">
        <v>81.596468847114508</v>
      </c>
      <c r="H55">
        <v>56.18733262799293</v>
      </c>
      <c r="I55">
        <v>69.842554654901804</v>
      </c>
      <c r="J55">
        <v>80.793488639919005</v>
      </c>
      <c r="K55">
        <v>0.78438998628628298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-8.0932616320032902E-2</v>
      </c>
      <c r="P55">
        <v>0.18561819173264299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81.294334252347767</v>
      </c>
      <c r="C56">
        <v>76.094739564706401</v>
      </c>
      <c r="D56">
        <v>98.471297919841334</v>
      </c>
      <c r="E56">
        <v>72.550993581504727</v>
      </c>
      <c r="F56">
        <v>75.238861065290436</v>
      </c>
      <c r="G56">
        <v>81.666507033914669</v>
      </c>
      <c r="H56">
        <v>57.265356204717101</v>
      </c>
      <c r="I56">
        <v>71.130011957311368</v>
      </c>
      <c r="J56">
        <v>81.3188116293843</v>
      </c>
      <c r="K56">
        <v>0.77056113376359603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0.40347744111882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81.649079402827965</v>
      </c>
      <c r="C57">
        <v>76.642439459598137</v>
      </c>
      <c r="D57">
        <v>98.272229646263284</v>
      </c>
      <c r="E57">
        <v>73.298532173935129</v>
      </c>
      <c r="F57">
        <v>76.216291576611027</v>
      </c>
      <c r="G57">
        <v>81.349848470388636</v>
      </c>
      <c r="H57">
        <v>57.844587294114298</v>
      </c>
      <c r="I57">
        <v>71.155158853671793</v>
      </c>
      <c r="J57">
        <v>81.682073029886993</v>
      </c>
      <c r="K57">
        <v>0.78197424686750205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0.53144537622745902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81.704335111583404</v>
      </c>
      <c r="C58">
        <v>77.223121630002893</v>
      </c>
      <c r="D58">
        <v>97.540757628646205</v>
      </c>
      <c r="E58">
        <v>73.551264023402368</v>
      </c>
      <c r="F58">
        <v>76.301462730124399</v>
      </c>
      <c r="G58">
        <v>81.728891467028063</v>
      </c>
      <c r="H58">
        <v>58.326846517798202</v>
      </c>
      <c r="I58">
        <v>70.482015975027721</v>
      </c>
      <c r="J58">
        <v>81.712071821658895</v>
      </c>
      <c r="K58">
        <v>0.78616880688018398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0.48010253220800297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82.511134617278628</v>
      </c>
      <c r="C59">
        <v>77.976240624777446</v>
      </c>
      <c r="D59">
        <v>97.458073109302063</v>
      </c>
      <c r="E59">
        <v>75.219857836058807</v>
      </c>
      <c r="F59">
        <v>78.596896016829533</v>
      </c>
      <c r="G59">
        <v>81.927565859389759</v>
      </c>
      <c r="H59">
        <v>58.859087027468696</v>
      </c>
      <c r="I59">
        <v>73.07789807935994</v>
      </c>
      <c r="J59">
        <v>82.4844396451644</v>
      </c>
      <c r="K59">
        <v>0.80539990547892504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0.38277343429249699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83.213655143015899</v>
      </c>
      <c r="C60">
        <v>78.58558254856564</v>
      </c>
      <c r="D60">
        <v>96.951613106432646</v>
      </c>
      <c r="E60">
        <v>75.989365286841277</v>
      </c>
      <c r="F60">
        <v>79.533800094320966</v>
      </c>
      <c r="G60">
        <v>81.958761153857594</v>
      </c>
      <c r="H60">
        <v>59.544392668968868</v>
      </c>
      <c r="I60">
        <v>77.88530278991287</v>
      </c>
      <c r="J60">
        <v>83.257598750397094</v>
      </c>
      <c r="K60">
        <v>0.832243741323754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0.55044331624851395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84.399680832849668</v>
      </c>
      <c r="C61">
        <v>79.538234929350736</v>
      </c>
      <c r="D61">
        <v>96.709639268495366</v>
      </c>
      <c r="E61">
        <v>78.3821776848974</v>
      </c>
      <c r="F61">
        <v>82.3178524576482</v>
      </c>
      <c r="G61">
        <v>84.883189803173366</v>
      </c>
      <c r="H61">
        <v>60.342089774146167</v>
      </c>
      <c r="I61">
        <v>82.676149149348092</v>
      </c>
      <c r="J61">
        <v>84.439220191057103</v>
      </c>
      <c r="K61">
        <v>0.87420154075797796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-0.77293438178607299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85.622108831639594</v>
      </c>
      <c r="C62">
        <v>80.567897548986309</v>
      </c>
      <c r="D62">
        <v>96.458973119661593</v>
      </c>
      <c r="E62">
        <v>80.821287396926365</v>
      </c>
      <c r="F62">
        <v>85.573695840137304</v>
      </c>
      <c r="G62">
        <v>85.076921119287235</v>
      </c>
      <c r="H62">
        <v>60.969192190257928</v>
      </c>
      <c r="I62">
        <v>87.767598476440298</v>
      </c>
      <c r="J62">
        <v>85.625494787721905</v>
      </c>
      <c r="K62">
        <v>0.89331293042236903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-1.12976402245677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85.715615804666996</v>
      </c>
      <c r="C63">
        <v>81.447769124664958</v>
      </c>
      <c r="D63">
        <v>95.35692616588527</v>
      </c>
      <c r="E63">
        <v>81.793218925045792</v>
      </c>
      <c r="F63">
        <v>86.79293099422955</v>
      </c>
      <c r="G63">
        <v>85.181235601294134</v>
      </c>
      <c r="H63">
        <v>61.653539504036594</v>
      </c>
      <c r="I63">
        <v>85.991092504343797</v>
      </c>
      <c r="J63">
        <v>85.666559078524699</v>
      </c>
      <c r="K63">
        <v>0.88688940639631797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-2.2975332135961799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85.67829053692833</v>
      </c>
      <c r="C64">
        <v>81.837360767057007</v>
      </c>
      <c r="D64">
        <v>94.827626398382463</v>
      </c>
      <c r="E64">
        <v>83.009559260225899</v>
      </c>
      <c r="F64">
        <v>87.992383368992463</v>
      </c>
      <c r="G64">
        <v>87.197965066619702</v>
      </c>
      <c r="H64">
        <v>62.259329435214333</v>
      </c>
      <c r="I64">
        <v>82.010220055170876</v>
      </c>
      <c r="J64">
        <v>85.741679131937303</v>
      </c>
      <c r="K64">
        <v>0.89017851329583897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-3.88840772529529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86.159777027643869</v>
      </c>
      <c r="C65">
        <v>82.270938597818628</v>
      </c>
      <c r="D65">
        <v>95.654937913057665</v>
      </c>
      <c r="E65">
        <v>83.221299352612036</v>
      </c>
      <c r="F65">
        <v>88.308925726563714</v>
      </c>
      <c r="G65">
        <v>87.210676535228231</v>
      </c>
      <c r="H65">
        <v>62.310958327531438</v>
      </c>
      <c r="I65">
        <v>82.036390147878208</v>
      </c>
      <c r="J65">
        <v>86.202161599401194</v>
      </c>
      <c r="K65">
        <v>0.87062191557632695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-4.0055228293998999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86.92359428368691</v>
      </c>
      <c r="C66">
        <v>82.818973629764898</v>
      </c>
      <c r="D66">
        <v>96.748855026266142</v>
      </c>
      <c r="E66">
        <v>83.274190395820639</v>
      </c>
      <c r="F66">
        <v>87.773257141886589</v>
      </c>
      <c r="G66">
        <v>88.565643013111753</v>
      </c>
      <c r="H66">
        <v>63.382782564341831</v>
      </c>
      <c r="I66">
        <v>84.438222922414241</v>
      </c>
      <c r="J66">
        <v>86.919148506510396</v>
      </c>
      <c r="K66">
        <v>0.86672344747487295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-4.0528499195683798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87.534039896776463</v>
      </c>
      <c r="C67">
        <v>83.410494733701924</v>
      </c>
      <c r="D67">
        <v>97.120889053271071</v>
      </c>
      <c r="E67">
        <v>83.843796344323877</v>
      </c>
      <c r="F67">
        <v>88.3259083069441</v>
      </c>
      <c r="G67">
        <v>89.287847497729999</v>
      </c>
      <c r="H67">
        <v>64.125610322970644</v>
      </c>
      <c r="I67">
        <v>86.397375841275206</v>
      </c>
      <c r="J67">
        <v>87.470453600573606</v>
      </c>
      <c r="K67">
        <v>0.88236761145682796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-4.2009130634097103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88.432168443616661</v>
      </c>
      <c r="C68">
        <v>84.37984047181773</v>
      </c>
      <c r="D68">
        <v>97.46249496067297</v>
      </c>
      <c r="E68">
        <v>85.138743613348865</v>
      </c>
      <c r="F68">
        <v>89.453887659241772</v>
      </c>
      <c r="G68">
        <v>89.559542628316834</v>
      </c>
      <c r="H68">
        <v>66.656187939079601</v>
      </c>
      <c r="I68">
        <v>87.699433776443087</v>
      </c>
      <c r="J68">
        <v>88.507607003101796</v>
      </c>
      <c r="K68">
        <v>0.88888299762246603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-3.9185325981327699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89.149839095696095</v>
      </c>
      <c r="C69">
        <v>85.197659718019139</v>
      </c>
      <c r="D69">
        <v>97.794868780041085</v>
      </c>
      <c r="E69">
        <v>85.884953181560036</v>
      </c>
      <c r="F69">
        <v>90.264512269755599</v>
      </c>
      <c r="G69">
        <v>90.18120583909166</v>
      </c>
      <c r="H69">
        <v>67.322767090515484</v>
      </c>
      <c r="I69">
        <v>88.993375220101896</v>
      </c>
      <c r="J69">
        <v>89.188458267168301</v>
      </c>
      <c r="K69">
        <v>0.90430036080331599</v>
      </c>
      <c r="L69">
        <v>79.899689230769198</v>
      </c>
      <c r="M69" s="15">
        <f>+'[3]VAR expectations'!C93</f>
        <v>2.6505886564059562</v>
      </c>
      <c r="N69">
        <v>0.580318036056505</v>
      </c>
      <c r="O69">
        <v>0.158164675972188</v>
      </c>
      <c r="P69">
        <v>-3.1723100549145902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89.637371446074894</v>
      </c>
      <c r="C70">
        <v>85.933689111183526</v>
      </c>
      <c r="D70">
        <v>97.975054506225334</v>
      </c>
      <c r="E70">
        <v>86.9517627317951</v>
      </c>
      <c r="F70">
        <v>91.446249660860488</v>
      </c>
      <c r="G70">
        <v>90.863335716713223</v>
      </c>
      <c r="H70">
        <v>68.001552760027508</v>
      </c>
      <c r="I70">
        <v>88.087482586827619</v>
      </c>
      <c r="J70">
        <v>89.624062283321507</v>
      </c>
      <c r="K70">
        <v>0.90237153522893998</v>
      </c>
      <c r="L70">
        <v>81.7654454545455</v>
      </c>
      <c r="M70" s="15">
        <f>+'[3]VAR expectations'!C94</f>
        <v>2.8352346264846378</v>
      </c>
      <c r="N70">
        <v>0.26076684740058298</v>
      </c>
      <c r="O70">
        <v>-0.12701395323713599</v>
      </c>
      <c r="P70">
        <v>-2.7290281558330398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90.489730276868315</v>
      </c>
      <c r="C71">
        <v>86.591549809252058</v>
      </c>
      <c r="D71">
        <v>98.369288311068431</v>
      </c>
      <c r="E71">
        <v>88.590870594847885</v>
      </c>
      <c r="F71">
        <v>93.13461041916203</v>
      </c>
      <c r="G71">
        <v>92.782177513060674</v>
      </c>
      <c r="H71">
        <v>69.334161003924507</v>
      </c>
      <c r="I71">
        <v>90.420091068397696</v>
      </c>
      <c r="J71">
        <v>90.418415714759803</v>
      </c>
      <c r="K71">
        <v>0.92123413016460798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-2.6316096694881299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92.029496006519935</v>
      </c>
      <c r="C72">
        <v>87.912922425877866</v>
      </c>
      <c r="D72">
        <v>99.170315431393433</v>
      </c>
      <c r="E72">
        <v>90.011696296009575</v>
      </c>
      <c r="F72">
        <v>94.438453053505498</v>
      </c>
      <c r="G72">
        <v>93.158018488457586</v>
      </c>
      <c r="H72">
        <v>71.802091643718171</v>
      </c>
      <c r="I72">
        <v>95.633497245842207</v>
      </c>
      <c r="J72">
        <v>92.105446763266798</v>
      </c>
      <c r="K72">
        <v>0.94027465380459296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-2.66505358479795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93.071218926368218</v>
      </c>
      <c r="C73">
        <v>89.053931554979059</v>
      </c>
      <c r="D73">
        <v>99.2692501487914</v>
      </c>
      <c r="E73">
        <v>91.680253029829373</v>
      </c>
      <c r="F73">
        <v>95.451433947039689</v>
      </c>
      <c r="G73">
        <v>96.631556403273237</v>
      </c>
      <c r="H73">
        <v>74.990886387133131</v>
      </c>
      <c r="I73">
        <v>98.193886516238635</v>
      </c>
      <c r="J73">
        <v>93.102792960542004</v>
      </c>
      <c r="K73">
        <v>0.96291109323575397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-3.6943200198603998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93.883485526931509</v>
      </c>
      <c r="C74">
        <v>89.713017070416257</v>
      </c>
      <c r="D74">
        <v>99.557408850650816</v>
      </c>
      <c r="E74">
        <v>93.236837738293602</v>
      </c>
      <c r="F74">
        <v>97.154972623902736</v>
      </c>
      <c r="G74">
        <v>97.11757615196052</v>
      </c>
      <c r="H74">
        <v>76.509669932680879</v>
      </c>
      <c r="I74">
        <v>100.16045636240302</v>
      </c>
      <c r="J74">
        <v>93.864081183753598</v>
      </c>
      <c r="K74">
        <v>0.97514867270814498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-3.8120293220679602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94.672819023864861</v>
      </c>
      <c r="C75">
        <v>90.273177886217624</v>
      </c>
      <c r="D75">
        <v>99.989175388079119</v>
      </c>
      <c r="E75">
        <v>93.531045202239</v>
      </c>
      <c r="F75">
        <v>97.131003065077394</v>
      </c>
      <c r="G75">
        <v>97.517206941044606</v>
      </c>
      <c r="H75">
        <v>77.876703648963129</v>
      </c>
      <c r="I75">
        <v>104.67340835851701</v>
      </c>
      <c r="J75">
        <v>94.606091087180303</v>
      </c>
      <c r="K75">
        <v>0.96431666172078601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-3.7258453786213002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95.222056383327711</v>
      </c>
      <c r="C76">
        <v>90.990351845989935</v>
      </c>
      <c r="D76">
        <v>100.26858549998265</v>
      </c>
      <c r="E76">
        <v>94.33893675030653</v>
      </c>
      <c r="F76">
        <v>98.059599337702096</v>
      </c>
      <c r="G76">
        <v>98.455595778215113</v>
      </c>
      <c r="H76">
        <v>78.297806328390166</v>
      </c>
      <c r="I76">
        <v>104.58864327545366</v>
      </c>
      <c r="J76">
        <v>95.290639195116398</v>
      </c>
      <c r="K76">
        <v>0.95981264376981801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-3.43778830594704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95.661186680912138</v>
      </c>
      <c r="C77">
        <v>91.874709992038376</v>
      </c>
      <c r="D77">
        <v>99.992921394629334</v>
      </c>
      <c r="E77">
        <v>95.206552131390097</v>
      </c>
      <c r="F77">
        <v>98.60014717696653</v>
      </c>
      <c r="G77">
        <v>98.345049656219089</v>
      </c>
      <c r="H77">
        <v>80.928718450978394</v>
      </c>
      <c r="I77">
        <v>104.38447599291634</v>
      </c>
      <c r="J77">
        <v>95.686112083064401</v>
      </c>
      <c r="K77">
        <v>0.94780262873238397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-4.3636593431138598E-2</v>
      </c>
      <c r="P77">
        <v>-2.9927688696174499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96.159032172653767</v>
      </c>
      <c r="C78">
        <v>92.663586856248003</v>
      </c>
      <c r="D78">
        <v>100.06939464745501</v>
      </c>
      <c r="E78">
        <v>96.119074382467304</v>
      </c>
      <c r="F78">
        <v>99.226046447363686</v>
      </c>
      <c r="G78">
        <v>98.888684208043216</v>
      </c>
      <c r="H78">
        <v>82.976547059756896</v>
      </c>
      <c r="I78">
        <v>103.68390154314467</v>
      </c>
      <c r="J78">
        <v>96.142095919138796</v>
      </c>
      <c r="K78">
        <v>0.94482393199749004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-2.54145137364966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97.163018339046843</v>
      </c>
      <c r="C79">
        <v>93.826258181706137</v>
      </c>
      <c r="D79">
        <v>100.41599534746433</v>
      </c>
      <c r="E79">
        <v>97.575134540639354</v>
      </c>
      <c r="F79">
        <v>100.72039477591734</v>
      </c>
      <c r="G79">
        <v>99.479636497574191</v>
      </c>
      <c r="H79">
        <v>84.635298190036863</v>
      </c>
      <c r="I79">
        <v>105.58545632444201</v>
      </c>
      <c r="J79">
        <v>97.117294954413097</v>
      </c>
      <c r="K79">
        <v>0.94567354866606701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-2.57651501674182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97.879252597751929</v>
      </c>
      <c r="C80">
        <v>94.497427092016622</v>
      </c>
      <c r="D80">
        <v>100.25490202493268</v>
      </c>
      <c r="E80">
        <v>98.932602598134963</v>
      </c>
      <c r="F80">
        <v>101.83119088362666</v>
      </c>
      <c r="G80">
        <v>101.77809365677167</v>
      </c>
      <c r="H80">
        <v>85.719769590130923</v>
      </c>
      <c r="I80">
        <v>108.31151177642467</v>
      </c>
      <c r="J80">
        <v>97.929825280662399</v>
      </c>
      <c r="K80">
        <v>0.97023785165636001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-2.84207261026839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98.250406014425792</v>
      </c>
      <c r="C81">
        <v>95.046671679199335</v>
      </c>
      <c r="D81">
        <v>100.27982030747</v>
      </c>
      <c r="E81">
        <v>99.863679192800575</v>
      </c>
      <c r="F81">
        <v>102.75505756131768</v>
      </c>
      <c r="G81">
        <v>101.83658681424534</v>
      </c>
      <c r="H81">
        <v>87.210848547521607</v>
      </c>
      <c r="I81">
        <v>107.83195157412668</v>
      </c>
      <c r="J81">
        <v>98.268009141383899</v>
      </c>
      <c r="K81">
        <v>0.96256560843280603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-2.8344589558679498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98.752513430344038</v>
      </c>
      <c r="C82">
        <v>95.573498727210861</v>
      </c>
      <c r="D82">
        <v>100.44630076511601</v>
      </c>
      <c r="E82">
        <v>100.64038374522499</v>
      </c>
      <c r="F82">
        <v>103.29669472144066</v>
      </c>
      <c r="G82">
        <v>102.71309028663734</v>
      </c>
      <c r="H82">
        <v>88.583292547847975</v>
      </c>
      <c r="I82">
        <v>108.308828228417</v>
      </c>
      <c r="J82">
        <v>98.740065147902598</v>
      </c>
      <c r="K82">
        <v>0.96206944931195104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-1.9742831924606901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99.166938238489095</v>
      </c>
      <c r="C83">
        <v>96.227061610876873</v>
      </c>
      <c r="D83">
        <v>100.783761845641</v>
      </c>
      <c r="E83">
        <v>101.17187287925867</v>
      </c>
      <c r="F83">
        <v>103.58088109970232</v>
      </c>
      <c r="G83">
        <v>102.568548738145</v>
      </c>
      <c r="H83">
        <v>90.446931227425821</v>
      </c>
      <c r="I83">
        <v>107.92727959795934</v>
      </c>
      <c r="J83">
        <v>99.144329777753597</v>
      </c>
      <c r="K83">
        <v>0.94258053628921501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-2.1932674851888301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99.616763071736102</v>
      </c>
      <c r="C84">
        <v>96.761740249958265</v>
      </c>
      <c r="D84">
        <v>100.74122518707533</v>
      </c>
      <c r="E84">
        <v>101.51296174910867</v>
      </c>
      <c r="F84">
        <v>103.69934185578832</v>
      </c>
      <c r="G84">
        <v>102.60506269291733</v>
      </c>
      <c r="H84">
        <v>91.971157027865203</v>
      </c>
      <c r="I84">
        <v>109.70607817596733</v>
      </c>
      <c r="J84">
        <v>99.647586572756794</v>
      </c>
      <c r="K84">
        <v>0.93182089201251195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-1.8826407457668499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99.9646587330937</v>
      </c>
      <c r="C85">
        <v>97.447708764616877</v>
      </c>
      <c r="D85">
        <v>101.19555161929134</v>
      </c>
      <c r="E85">
        <v>101.10643603937365</v>
      </c>
      <c r="F85">
        <v>102.71225735803533</v>
      </c>
      <c r="G85">
        <v>102.60698969281502</v>
      </c>
      <c r="H85">
        <v>93.614286314797553</v>
      </c>
      <c r="I85">
        <v>108.99811874754533</v>
      </c>
      <c r="J85">
        <v>99.974499421476196</v>
      </c>
      <c r="K85">
        <v>0.927597513784438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-1.3812830361864601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100.15688647138366</v>
      </c>
      <c r="C86">
        <v>97.960594943209131</v>
      </c>
      <c r="D86">
        <v>101.00944051849967</v>
      </c>
      <c r="E86">
        <v>101.19837137143067</v>
      </c>
      <c r="F86">
        <v>102.32969321410667</v>
      </c>
      <c r="G86">
        <v>102.07922780859201</v>
      </c>
      <c r="H86">
        <v>95.728439705543266</v>
      </c>
      <c r="I86">
        <v>108.44597128328299</v>
      </c>
      <c r="J86">
        <v>100.15064594083999</v>
      </c>
      <c r="K86">
        <v>0.91380337397532896</v>
      </c>
      <c r="L86">
        <v>88.037404545454606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-1.3362078413907901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100.0723704544922</v>
      </c>
      <c r="C87">
        <v>98.541420680278904</v>
      </c>
      <c r="D87">
        <v>100.49861313939432</v>
      </c>
      <c r="E87">
        <v>101.34672471283267</v>
      </c>
      <c r="F87">
        <v>101.902702535326</v>
      </c>
      <c r="G87">
        <v>102.87821325094433</v>
      </c>
      <c r="H87">
        <v>97.583175124214662</v>
      </c>
      <c r="I87">
        <v>105.70687657648567</v>
      </c>
      <c r="J87">
        <v>100.06478623782399</v>
      </c>
      <c r="K87">
        <v>0.90235442226227003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-1.25002526229075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99.756154065515204</v>
      </c>
      <c r="C88">
        <v>99.111050415173352</v>
      </c>
      <c r="D88">
        <v>100.21618740807709</v>
      </c>
      <c r="E88">
        <v>100.36978815699233</v>
      </c>
      <c r="F88">
        <v>100.68634652225366</v>
      </c>
      <c r="G88">
        <v>100.86837991736166</v>
      </c>
      <c r="H88">
        <v>98.715110316234401</v>
      </c>
      <c r="I88">
        <v>100.83052900890067</v>
      </c>
      <c r="J88">
        <v>99.773144995544996</v>
      </c>
      <c r="K88">
        <v>0.879156463272737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-1.3073327594369699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99.961467985673792</v>
      </c>
      <c r="C89">
        <v>99.576817752975629</v>
      </c>
      <c r="D89">
        <v>100.00523040457067</v>
      </c>
      <c r="E89">
        <v>100.174656201579</v>
      </c>
      <c r="F89">
        <v>100.356512623699</v>
      </c>
      <c r="G89">
        <v>100.54317250923201</v>
      </c>
      <c r="H89">
        <v>99.288735669978266</v>
      </c>
      <c r="I89">
        <v>101.88417944811734</v>
      </c>
      <c r="J89">
        <v>99.967089137834193</v>
      </c>
      <c r="K89">
        <v>0.87356170393940802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-1.46470023983966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100.13044284154033</v>
      </c>
      <c r="C90">
        <v>100.26483454970101</v>
      </c>
      <c r="D90">
        <v>100.00308857810823</v>
      </c>
      <c r="E90">
        <v>99.894107137577848</v>
      </c>
      <c r="F90">
        <v>99.795222652099028</v>
      </c>
      <c r="G90">
        <v>99.802553397424461</v>
      </c>
      <c r="H90">
        <v>100.328140201206</v>
      </c>
      <c r="I90">
        <v>99.957986927585651</v>
      </c>
      <c r="J90">
        <v>100.129516313729</v>
      </c>
      <c r="K90">
        <v>0.86173464689884904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-1.2747421779619901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100.13196067018066</v>
      </c>
      <c r="C91">
        <v>101.034594153751</v>
      </c>
      <c r="D91">
        <v>99.774306553559043</v>
      </c>
      <c r="E91">
        <v>99.556713248586505</v>
      </c>
      <c r="F91">
        <v>99.150559178135893</v>
      </c>
      <c r="G91">
        <v>98.665042620923558</v>
      </c>
      <c r="H91">
        <v>101.74889991797868</v>
      </c>
      <c r="I91">
        <v>97.16402105254646</v>
      </c>
      <c r="J91">
        <v>100.130249552892</v>
      </c>
      <c r="K91">
        <v>0.85051561411988097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-0.81574917746284004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100.13370423206534</v>
      </c>
      <c r="C92">
        <v>101.63074778840966</v>
      </c>
      <c r="D92">
        <v>99.608440171407167</v>
      </c>
      <c r="E92">
        <v>98.874218897837295</v>
      </c>
      <c r="F92">
        <v>98.165061494349729</v>
      </c>
      <c r="G92">
        <v>97.546629142545626</v>
      </c>
      <c r="H92">
        <v>102.86948423266598</v>
      </c>
      <c r="I92">
        <v>95.367662008261689</v>
      </c>
      <c r="J92">
        <v>100.144798454807</v>
      </c>
      <c r="K92">
        <v>0.86793243593105696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-0.670885059976979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100.31902315173799</v>
      </c>
      <c r="C93">
        <v>102.17283336625367</v>
      </c>
      <c r="D93">
        <v>99.216778042481565</v>
      </c>
      <c r="E93">
        <v>98.486319973601198</v>
      </c>
      <c r="F93">
        <v>97.581527489707511</v>
      </c>
      <c r="G93">
        <v>96.320130574775661</v>
      </c>
      <c r="H93">
        <v>104.018713576121</v>
      </c>
      <c r="I93">
        <v>96.852533371494474</v>
      </c>
      <c r="J93">
        <v>100.323388914582</v>
      </c>
      <c r="K93">
        <v>0.88832069273605996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-0.95230901048582905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100.82517004496633</v>
      </c>
      <c r="C94">
        <v>102.98431941068067</v>
      </c>
      <c r="D94">
        <v>99.173158209796497</v>
      </c>
      <c r="E94">
        <v>98.705407765460862</v>
      </c>
      <c r="F94">
        <v>97.439098918172832</v>
      </c>
      <c r="G94">
        <v>96.297293345080035</v>
      </c>
      <c r="H94">
        <v>105.93943467406534</v>
      </c>
      <c r="I94">
        <v>97.778938500106861</v>
      </c>
      <c r="J94">
        <v>100.826315729035</v>
      </c>
      <c r="K94">
        <v>0.92692338631061999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-0.74176939552118804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101.35142346563333</v>
      </c>
      <c r="C95">
        <v>103.425419533666</v>
      </c>
      <c r="D95">
        <v>99.730051394227658</v>
      </c>
      <c r="E95">
        <v>98.871132764331719</v>
      </c>
      <c r="F95">
        <v>97.338516737488135</v>
      </c>
      <c r="G95">
        <v>97.006282436883794</v>
      </c>
      <c r="H95">
        <v>106.75285277993366</v>
      </c>
      <c r="I95">
        <v>100.00451640219853</v>
      </c>
      <c r="J95">
        <v>101.350953092371</v>
      </c>
      <c r="K95">
        <v>0.94827770857250604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-0.67478306722583303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102.29076471049568</v>
      </c>
      <c r="C96">
        <v>104.16509658541467</v>
      </c>
      <c r="D96">
        <v>100.3239484758394</v>
      </c>
      <c r="E96">
        <v>100.01831549301971</v>
      </c>
      <c r="F96">
        <v>98.470772143009484</v>
      </c>
      <c r="G96">
        <v>97.895752272750727</v>
      </c>
      <c r="H96">
        <v>108.390147264475</v>
      </c>
      <c r="I96">
        <v>103.561463789516</v>
      </c>
      <c r="J96">
        <v>102.30001733745</v>
      </c>
      <c r="K96">
        <v>0.95975734376722899</v>
      </c>
      <c r="L96">
        <v>77.053801538461499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-0.56431528803061204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103.07901375053899</v>
      </c>
      <c r="C97">
        <v>105.06310917360202</v>
      </c>
      <c r="D97">
        <v>101.16834674451</v>
      </c>
      <c r="E97">
        <v>101.23374954181067</v>
      </c>
      <c r="F97">
        <v>99.494316392495975</v>
      </c>
      <c r="G97">
        <v>99.078347234497301</v>
      </c>
      <c r="H97">
        <v>110.41802064976901</v>
      </c>
      <c r="I97">
        <v>102.41399896379698</v>
      </c>
      <c r="J97">
        <v>103.084994075738</v>
      </c>
      <c r="K97">
        <v>0.95666894109003098</v>
      </c>
      <c r="L97">
        <v>77.968176923076896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-0.63519953449580302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103.64296119293768</v>
      </c>
      <c r="C98">
        <v>105.72163041639367</v>
      </c>
      <c r="D98">
        <v>101.61753247494033</v>
      </c>
      <c r="E98">
        <v>101.81599331577767</v>
      </c>
      <c r="F98">
        <v>99.907938405907473</v>
      </c>
      <c r="G98">
        <v>99.589993830834302</v>
      </c>
      <c r="H98">
        <v>111.82588837189867</v>
      </c>
      <c r="I98">
        <v>102.42521944626166</v>
      </c>
      <c r="J98">
        <v>103.64377571720701</v>
      </c>
      <c r="K98">
        <v>0.96487328890229496</v>
      </c>
      <c r="L98">
        <v>76.548027692307699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-0.80360708479073395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104.42386674475199</v>
      </c>
      <c r="C99">
        <v>106.22570126845433</v>
      </c>
      <c r="D99">
        <v>102.24060299335768</v>
      </c>
      <c r="E99">
        <v>103.07906632431667</v>
      </c>
      <c r="F99">
        <v>101.25475353325201</v>
      </c>
      <c r="G99">
        <v>99.756751818128251</v>
      </c>
      <c r="H99">
        <v>113.49551201292866</v>
      </c>
      <c r="I99">
        <v>105.16506814468168</v>
      </c>
      <c r="J99">
        <v>104.422599590047</v>
      </c>
      <c r="K99">
        <v>0.97202853167585701</v>
      </c>
      <c r="L99">
        <v>77.708216923076904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-0.83009864733065897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105.07739374326934</v>
      </c>
      <c r="C100">
        <v>106.84079647033167</v>
      </c>
      <c r="D100">
        <v>102.60262958221399</v>
      </c>
      <c r="E100">
        <v>103.73988999893901</v>
      </c>
      <c r="F100">
        <v>101.67891067355201</v>
      </c>
      <c r="G100">
        <v>99.9274219482446</v>
      </c>
      <c r="H100">
        <v>116.020851081999</v>
      </c>
      <c r="I100">
        <v>107.59718350285168</v>
      </c>
      <c r="J100">
        <v>105.086122304174</v>
      </c>
      <c r="K100">
        <v>0.971592568574423</v>
      </c>
      <c r="L100">
        <v>79.035181538461501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-0.90531947100805399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105.56862418806232</v>
      </c>
      <c r="C101">
        <v>107.41595786066199</v>
      </c>
      <c r="D101">
        <v>102.91790428009033</v>
      </c>
      <c r="E101">
        <v>104.06471560038301</v>
      </c>
      <c r="F101">
        <v>101.77373097792567</v>
      </c>
      <c r="G101">
        <v>99.720487253809566</v>
      </c>
      <c r="H101">
        <v>118.06725328816468</v>
      </c>
      <c r="I101">
        <v>108.69866821185133</v>
      </c>
      <c r="J101">
        <v>105.57730418368899</v>
      </c>
      <c r="K101">
        <v>0.97775086229782204</v>
      </c>
      <c r="L101">
        <v>79.101630769230795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-0.74790025723690201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106.23788786370233</v>
      </c>
      <c r="C102">
        <v>108.27363159624467</v>
      </c>
      <c r="D102">
        <v>102.85235789244166</v>
      </c>
      <c r="E102">
        <v>104.47191471414432</v>
      </c>
      <c r="F102">
        <v>101.96516458973467</v>
      </c>
      <c r="G102">
        <v>99.957543792213968</v>
      </c>
      <c r="H102">
        <v>119.76317450408533</v>
      </c>
      <c r="I102">
        <v>111.69547229469931</v>
      </c>
      <c r="J102">
        <v>106.239225686623</v>
      </c>
      <c r="K102">
        <v>1.0014348035123899</v>
      </c>
      <c r="L102">
        <v>77.806373846153804</v>
      </c>
      <c r="M102" s="15">
        <f>+'[3]VAR expectations'!C126</f>
        <v>2.6759360893479318</v>
      </c>
      <c r="N102">
        <v>0.59026787322204299</v>
      </c>
      <c r="O102">
        <v>0.21968415645398701</v>
      </c>
      <c r="P102">
        <v>-0.56254020880290001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106.79717119621466</v>
      </c>
      <c r="C103">
        <v>108.84753468753833</v>
      </c>
      <c r="D103">
        <v>103.18433376329666</v>
      </c>
      <c r="E103">
        <v>104.96581738078135</v>
      </c>
      <c r="F103">
        <v>101.96090821170533</v>
      </c>
      <c r="G103">
        <v>100.277679460456</v>
      </c>
      <c r="H103">
        <v>122.69274919933268</v>
      </c>
      <c r="I103">
        <v>114.01685025697434</v>
      </c>
      <c r="J103">
        <v>106.793685840309</v>
      </c>
      <c r="K103">
        <v>0.99936448424676505</v>
      </c>
      <c r="L103">
        <v>77.834784848484802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-0.54888891775288096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107.06852258026534</v>
      </c>
      <c r="C104">
        <v>109.49398505133267</v>
      </c>
      <c r="D104">
        <v>103.54531892471334</v>
      </c>
      <c r="E104">
        <v>105.882922174347</v>
      </c>
      <c r="F104">
        <v>102.66955252626299</v>
      </c>
      <c r="G104">
        <v>100.90886193679835</v>
      </c>
      <c r="H104">
        <v>125.22038188672768</v>
      </c>
      <c r="I104">
        <v>109.37512570516799</v>
      </c>
      <c r="J104">
        <v>107.075793295072</v>
      </c>
      <c r="K104">
        <v>0.98997339195852396</v>
      </c>
      <c r="L104">
        <v>78.723593750000006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-0.12737372541283701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107.70972214774599</v>
      </c>
      <c r="C105">
        <v>110.25530536427266</v>
      </c>
      <c r="D105">
        <v>103.32633379281567</v>
      </c>
      <c r="E105">
        <v>105.95980086851034</v>
      </c>
      <c r="F105">
        <v>102.90071125856001</v>
      </c>
      <c r="G105">
        <v>100.386408336255</v>
      </c>
      <c r="H105">
        <v>125.306383518399</v>
      </c>
      <c r="I105">
        <v>115.29896303770899</v>
      </c>
      <c r="J105">
        <v>107.721556464033</v>
      </c>
      <c r="K105">
        <v>0.98706128864807796</v>
      </c>
      <c r="L105">
        <v>78.452740000000006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-0.56532865943801702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108.18209463739133</v>
      </c>
      <c r="C106">
        <v>110.912247521509</v>
      </c>
      <c r="D106">
        <v>103.49393957992366</v>
      </c>
      <c r="E106">
        <v>106.693349539484</v>
      </c>
      <c r="F106">
        <v>103.61539154116035</v>
      </c>
      <c r="G106">
        <v>100.89433330186</v>
      </c>
      <c r="H106">
        <v>126.25681836070434</v>
      </c>
      <c r="I106">
        <v>114.77373478986233</v>
      </c>
      <c r="J106">
        <v>108.184965665165</v>
      </c>
      <c r="K106">
        <v>1.0215134482423101</v>
      </c>
      <c r="L106">
        <v>75.792527272727298</v>
      </c>
      <c r="M106" s="15">
        <f>+'[3]VAR expectations'!C130</f>
        <v>2.9781745842670815</v>
      </c>
      <c r="N106">
        <v>0.17462163035891701</v>
      </c>
      <c r="O106">
        <v>-8.21163442679727E-3</v>
      </c>
      <c r="P106">
        <v>-0.44907607470031002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108.30249376758032</v>
      </c>
      <c r="C107">
        <v>111.40852488702933</v>
      </c>
      <c r="D107">
        <v>103.638435793876</v>
      </c>
      <c r="E107">
        <v>106.923631672189</v>
      </c>
      <c r="F107">
        <v>103.70862463784</v>
      </c>
      <c r="G107">
        <v>101.59208123998</v>
      </c>
      <c r="H107">
        <v>126.27187430462099</v>
      </c>
      <c r="I107">
        <v>112.17045732522267</v>
      </c>
      <c r="J107">
        <v>108.296464453806</v>
      </c>
      <c r="K107">
        <v>1.0026272190788801</v>
      </c>
      <c r="L107">
        <v>79.401087878787905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-0.54951317045913195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108.90437861804499</v>
      </c>
      <c r="C108">
        <v>112.18225706229934</v>
      </c>
      <c r="D108">
        <v>103.98109514576868</v>
      </c>
      <c r="E108">
        <v>107.28140570752068</v>
      </c>
      <c r="F108">
        <v>104.06141214602233</v>
      </c>
      <c r="G108">
        <v>101.88841808363134</v>
      </c>
      <c r="H108">
        <v>126.69424258368433</v>
      </c>
      <c r="I108">
        <v>112.963477841239</v>
      </c>
      <c r="J108">
        <v>108.91005235943</v>
      </c>
      <c r="K108">
        <v>0.98921837596373596</v>
      </c>
      <c r="L108">
        <v>79.228903076923103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-0.62816482275602004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108.321185124075</v>
      </c>
      <c r="C109">
        <v>112.336355371279</v>
      </c>
      <c r="D109">
        <v>103.820993266331</v>
      </c>
      <c r="E109">
        <v>107.74225950645133</v>
      </c>
      <c r="F109">
        <v>104.33760721183432</v>
      </c>
      <c r="G109">
        <v>102.42138205640201</v>
      </c>
      <c r="H109">
        <v>128.64843281894366</v>
      </c>
      <c r="I109">
        <v>102.51941414033399</v>
      </c>
      <c r="J109">
        <v>108.33450127904899</v>
      </c>
      <c r="K109">
        <v>0.97634496414970795</v>
      </c>
      <c r="L109">
        <v>77.412344615384598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-2.7953173424120599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108.83126076045933</v>
      </c>
      <c r="C110">
        <v>112.50150423394301</v>
      </c>
      <c r="D110">
        <v>104.63790698917433</v>
      </c>
      <c r="E110">
        <v>107.63081350306366</v>
      </c>
      <c r="F110">
        <v>103.94572778481366</v>
      </c>
      <c r="G110">
        <v>101.75326491202634</v>
      </c>
      <c r="H110">
        <v>130.60900652325734</v>
      </c>
      <c r="I110">
        <v>104.81559902779468</v>
      </c>
      <c r="J110">
        <v>108.83691471035</v>
      </c>
      <c r="K110">
        <v>0.97883095395886899</v>
      </c>
      <c r="L110">
        <v>77.453536363636402</v>
      </c>
      <c r="M110" s="15">
        <f>+'[3]VAR expectations'!C134</f>
        <v>3.1319434989789481</v>
      </c>
      <c r="N110">
        <v>-0.57563884899936602</v>
      </c>
      <c r="O110">
        <v>0.118900887754049</v>
      </c>
      <c r="P110">
        <v>-1.9686756956890199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108.87639099812634</v>
      </c>
      <c r="C111">
        <v>112.980422057523</v>
      </c>
      <c r="D111">
        <v>104.867015277443</v>
      </c>
      <c r="E111">
        <v>107.30882738692566</v>
      </c>
      <c r="F111">
        <v>103.21530121079167</v>
      </c>
      <c r="G111">
        <v>101.97727866423601</v>
      </c>
      <c r="H111">
        <v>131.84514491189836</v>
      </c>
      <c r="I111">
        <v>102.16860579756434</v>
      </c>
      <c r="J111">
        <v>108.868010403958</v>
      </c>
      <c r="K111">
        <v>1.0012800496960601</v>
      </c>
      <c r="L111">
        <v>77.966816666666702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-1.6890834060590401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109.62767364910566</v>
      </c>
      <c r="C112">
        <v>113.96982277173333</v>
      </c>
      <c r="D112">
        <v>104.73273523585999</v>
      </c>
      <c r="E112">
        <v>107.49787425976167</v>
      </c>
      <c r="F112">
        <v>103.17487355995365</v>
      </c>
      <c r="G112">
        <v>102.24121006108766</v>
      </c>
      <c r="H112">
        <v>133.21528700227233</v>
      </c>
      <c r="I112">
        <v>106.52640573287432</v>
      </c>
      <c r="J112">
        <v>109.631056179102</v>
      </c>
      <c r="K112">
        <v>1.0066611537263499</v>
      </c>
      <c r="L112">
        <v>80.482731250000001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-0.91134538553109801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110.484030283072</v>
      </c>
      <c r="C113">
        <v>114.40697881608033</v>
      </c>
      <c r="D113">
        <v>105.885639332916</v>
      </c>
      <c r="E113">
        <v>107.76285943974767</v>
      </c>
      <c r="F113">
        <v>103.52504212010967</v>
      </c>
      <c r="G113">
        <v>103.25605067497168</v>
      </c>
      <c r="H113">
        <v>132.52730674545731</v>
      </c>
      <c r="I113">
        <v>111.44159069575967</v>
      </c>
      <c r="J113">
        <v>110.497523599614</v>
      </c>
      <c r="K113">
        <v>1.0023594354094001</v>
      </c>
      <c r="L113">
        <v>81.786427692307697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0.12639862996818901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111.84993744542567</v>
      </c>
      <c r="C114">
        <v>115.23728266204067</v>
      </c>
      <c r="D114">
        <v>107.77061298648933</v>
      </c>
      <c r="E114">
        <v>108.40650833448335</v>
      </c>
      <c r="F114">
        <v>104.07386057048167</v>
      </c>
      <c r="G114">
        <v>103.35458940588866</v>
      </c>
      <c r="H114">
        <v>134.06503104281566</v>
      </c>
      <c r="I114">
        <v>114.99064107085934</v>
      </c>
      <c r="J114">
        <v>111.85797971952201</v>
      </c>
      <c r="K114">
        <v>1.0314278958522201</v>
      </c>
      <c r="L114">
        <v>81.769348484848507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0.25709517365134399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114.21727532712667</v>
      </c>
      <c r="C115">
        <v>116.69259779360966</v>
      </c>
      <c r="D115">
        <v>109.63546369360667</v>
      </c>
      <c r="E115">
        <v>110.39474933084135</v>
      </c>
      <c r="F115">
        <v>105.95202306125532</v>
      </c>
      <c r="G115">
        <v>104.18092995829467</v>
      </c>
      <c r="H115">
        <v>138.14447154653567</v>
      </c>
      <c r="I115">
        <v>127.03567716606899</v>
      </c>
      <c r="J115">
        <v>114.208029541591</v>
      </c>
      <c r="K115">
        <v>1.0869456815638701</v>
      </c>
      <c r="L115">
        <v>81.601331818181805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0.77341268905537097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116.50720617286034</v>
      </c>
      <c r="C116">
        <v>118.09426800588233</v>
      </c>
      <c r="D116">
        <v>112.09538135237368</v>
      </c>
      <c r="E116">
        <v>112.66547386312702</v>
      </c>
      <c r="F116">
        <v>108.47041292236533</v>
      </c>
      <c r="G116">
        <v>104.12223043063301</v>
      </c>
      <c r="H116">
        <v>141.35141003056799</v>
      </c>
      <c r="I116">
        <v>132.35327289724367</v>
      </c>
      <c r="J116">
        <v>116.509312733892</v>
      </c>
      <c r="K116">
        <v>1.1300626282603401</v>
      </c>
      <c r="L116">
        <v>82.320465624997198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1.3548475945563301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120.54897919823468</v>
      </c>
      <c r="C117">
        <v>120.03066319006099</v>
      </c>
      <c r="D117">
        <v>113.488301530275</v>
      </c>
      <c r="E117">
        <v>115.54489104770967</v>
      </c>
      <c r="F117">
        <v>112.13991379267999</v>
      </c>
      <c r="G117">
        <v>104.67308631301132</v>
      </c>
      <c r="H117">
        <v>143.13856843429133</v>
      </c>
      <c r="I117">
        <v>171.31950145736769</v>
      </c>
      <c r="J117">
        <v>120.5629908091</v>
      </c>
      <c r="K117">
        <v>1.18417110736486</v>
      </c>
      <c r="L117">
        <v>80.190636866096895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1.55252468826901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123.06618127490698</v>
      </c>
      <c r="C118">
        <v>122.08143102408233</v>
      </c>
      <c r="D118">
        <v>115.00493915905368</v>
      </c>
      <c r="E118">
        <v>120.33723300738733</v>
      </c>
      <c r="F118">
        <v>118.00454306199232</v>
      </c>
      <c r="G118">
        <v>106.327892497268</v>
      </c>
      <c r="H118">
        <v>144.92022816417565</v>
      </c>
      <c r="I118">
        <v>176.73156591220004</v>
      </c>
      <c r="J118">
        <v>123.07874197143001</v>
      </c>
      <c r="K118">
        <v>1.2571093758437799</v>
      </c>
      <c r="L118">
        <v>78.205745454544996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1.1263338202314701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126.49000465961801</v>
      </c>
      <c r="C119">
        <v>124.21150049184065</v>
      </c>
      <c r="D119">
        <v>116.53411619830034</v>
      </c>
      <c r="E119">
        <v>124.63253248183933</v>
      </c>
      <c r="F119">
        <v>123.41624643628334</v>
      </c>
      <c r="G119">
        <v>108.08914630127266</v>
      </c>
      <c r="H119">
        <v>145.72565433993233</v>
      </c>
      <c r="I119">
        <v>198.02890966888299</v>
      </c>
      <c r="J119">
        <v>126.48006735446999</v>
      </c>
      <c r="K119">
        <v>1.23392670944994</v>
      </c>
      <c r="L119">
        <v>78.044989230769204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0.76815206060938102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128.41243634092601</v>
      </c>
      <c r="C120">
        <v>125.69503064495767</v>
      </c>
      <c r="D120">
        <v>118.47575630450366</v>
      </c>
      <c r="E120">
        <v>128.683523407895</v>
      </c>
      <c r="F120">
        <v>127.98805091764068</v>
      </c>
      <c r="G120">
        <v>110.22009084564066</v>
      </c>
      <c r="H120">
        <v>148.48181691985067</v>
      </c>
      <c r="I120">
        <v>193.54478239634034</v>
      </c>
      <c r="J120">
        <v>128.41317703647701</v>
      </c>
      <c r="K120">
        <v>1.23241598581568</v>
      </c>
      <c r="L120">
        <v>78.106201538461505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0.65913254340439698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130.66640285302933</v>
      </c>
      <c r="C121">
        <v>128.60793389011835</v>
      </c>
      <c r="D121">
        <v>120.94476504743567</v>
      </c>
      <c r="E121">
        <v>133.43834063229932</v>
      </c>
      <c r="F121">
        <v>132.533064268825</v>
      </c>
      <c r="G121">
        <v>111.878430662208</v>
      </c>
      <c r="H121">
        <v>159.21397243039402</v>
      </c>
      <c r="I121">
        <v>184.08001011635398</v>
      </c>
      <c r="J121">
        <v>130.68107443940801</v>
      </c>
      <c r="K121">
        <v>1.20298304504013</v>
      </c>
      <c r="L121">
        <v>80.380332307692299</v>
      </c>
      <c r="M121" s="15">
        <f>+'[3]VAR expectations'!C145</f>
        <v>4.9659010810981856</v>
      </c>
      <c r="N121">
        <v>0.70170723997551099</v>
      </c>
      <c r="O121">
        <v>-0.231251350162267</v>
      </c>
      <c r="P121">
        <v>0.47262447924442202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131.33022915926134</v>
      </c>
      <c r="C122">
        <v>130.70225436712067</v>
      </c>
      <c r="D122">
        <v>121.06395104365667</v>
      </c>
      <c r="E122">
        <v>135.42033602979464</v>
      </c>
      <c r="F122">
        <v>133.91998399491203</v>
      </c>
      <c r="G122">
        <v>115.74407773138365</v>
      </c>
      <c r="H122">
        <v>162.01786285720101</v>
      </c>
      <c r="I122">
        <v>170.61591650965934</v>
      </c>
      <c r="J122">
        <v>131.34604122060401</v>
      </c>
      <c r="K122">
        <v>1.1885840629148201</v>
      </c>
      <c r="L122">
        <v>82.088566153846102</v>
      </c>
      <c r="M122" s="15">
        <f>+'[3]VAR expectations'!C146</f>
        <v>4.3007323969777262</v>
      </c>
      <c r="N122">
        <v>-0.16340187781012599</v>
      </c>
      <c r="O122">
        <v>-0.673433352934243</v>
      </c>
      <c r="P122">
        <v>0.25174841035348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132.35209138652365</v>
      </c>
      <c r="C123">
        <v>132.7338133059387</v>
      </c>
      <c r="D123">
        <v>121.24107595082666</v>
      </c>
      <c r="E123">
        <v>136.67087582959667</v>
      </c>
      <c r="F123">
        <v>134.78978430730902</v>
      </c>
      <c r="G123">
        <v>118.23320244547666</v>
      </c>
      <c r="H123">
        <v>165.24076012790269</v>
      </c>
      <c r="I123">
        <v>167.92702509469834</v>
      </c>
      <c r="J123">
        <v>132.34121721286601</v>
      </c>
      <c r="K123">
        <v>1.18985021706924</v>
      </c>
      <c r="L123">
        <v>80.556965557379002</v>
      </c>
      <c r="M123" s="15">
        <f>+'[3]VAR expectations'!C147</f>
        <v>3.8582721147576735</v>
      </c>
      <c r="N123">
        <v>-1.2474464638364899</v>
      </c>
      <c r="O123">
        <v>-0.21694556148073699</v>
      </c>
      <c r="P123">
        <v>3.4949781170735203E-2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B124">
        <v>134.05302690818834</v>
      </c>
      <c r="C124">
        <v>134.34187188643867</v>
      </c>
      <c r="D124">
        <v>121.864820422945</v>
      </c>
      <c r="E124">
        <v>137.73591531908468</v>
      </c>
      <c r="F124">
        <v>134.50080493030666</v>
      </c>
      <c r="G124">
        <v>118.99779025184534</v>
      </c>
      <c r="H124">
        <v>172.47939632153168</v>
      </c>
      <c r="I124">
        <v>174.83544295343734</v>
      </c>
      <c r="J124">
        <v>134.0523433315</v>
      </c>
      <c r="K124">
        <v>1.1606095014626201</v>
      </c>
      <c r="L124">
        <v>80.435667933366403</v>
      </c>
      <c r="M124" s="15">
        <f>+'[3]VAR expectations'!C148</f>
        <v>3.6255376960251078</v>
      </c>
      <c r="N124">
        <v>-0.68104314551270195</v>
      </c>
      <c r="O124">
        <v>4.3541846025459997E-2</v>
      </c>
      <c r="P124">
        <v>-0.161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I125">
        <v>175.664417828685</v>
      </c>
      <c r="J125">
        <v>135.42825257384499</v>
      </c>
      <c r="K125">
        <v>1.14813504385494</v>
      </c>
      <c r="L125">
        <v>80.335389738547505</v>
      </c>
      <c r="M125" s="15">
        <f>+'[3]VAR expectations'!C149</f>
        <v>2.979353541970323</v>
      </c>
      <c r="N125">
        <v>-0.275729502391242</v>
      </c>
      <c r="O125">
        <v>-0.40443614577732501</v>
      </c>
      <c r="P125">
        <v>-0.286399999999979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I126">
        <v>176.21552622283733</v>
      </c>
      <c r="J126">
        <v>135.68179057495601</v>
      </c>
      <c r="K126">
        <v>1.14217482533017</v>
      </c>
      <c r="L126">
        <v>80.226342012743899</v>
      </c>
      <c r="M126" s="15">
        <f>+'[3]VAR expectations'!C150</f>
        <v>2.9717312535901965</v>
      </c>
      <c r="N126">
        <v>0.273326091789379</v>
      </c>
      <c r="O126">
        <v>-0.3982860759479</v>
      </c>
      <c r="P126">
        <v>-0.458199999999989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I127">
        <v>176.88135468949667</v>
      </c>
      <c r="J127">
        <v>136.48997571139901</v>
      </c>
      <c r="K127">
        <v>1.1379356926751301</v>
      </c>
      <c r="L127">
        <v>80.110625282124104</v>
      </c>
      <c r="M127" s="15">
        <f>+'[3]VAR expectations'!C151</f>
        <v>3.468785277541127</v>
      </c>
      <c r="N127">
        <v>0.42306745557466902</v>
      </c>
      <c r="O127">
        <v>0.16500605812999999</v>
      </c>
      <c r="P127">
        <v>-0.67653977244457097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I128">
        <v>173.85042219055165</v>
      </c>
      <c r="J128">
        <v>137.38546785888701</v>
      </c>
      <c r="K128">
        <v>1.1351194354604</v>
      </c>
      <c r="L128">
        <v>79.988608104862394</v>
      </c>
      <c r="M128" s="15">
        <f>+'[3]VAR expectations'!C152</f>
        <v>3.8021957884789486</v>
      </c>
      <c r="N128">
        <v>-2.0490509889894901E-2</v>
      </c>
      <c r="O128">
        <v>0.107917584062745</v>
      </c>
      <c r="P128">
        <v>-0.98438079188883798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I129">
        <v>169.63777663185633</v>
      </c>
      <c r="J129">
        <v>138.31034867661799</v>
      </c>
      <c r="K129">
        <v>1.1347193898268899</v>
      </c>
      <c r="L129">
        <v>79.863817208146401</v>
      </c>
      <c r="M129" s="15">
        <f>+'[3]VAR expectations'!C153</f>
        <v>4.011042611251681</v>
      </c>
      <c r="N129">
        <v>-0.30638263421898998</v>
      </c>
      <c r="O129">
        <v>3.5632547105975999E-2</v>
      </c>
      <c r="P129">
        <v>-1.2053193868477801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I130">
        <v>171.69330750908034</v>
      </c>
      <c r="J130">
        <v>138.575499643841</v>
      </c>
      <c r="K130">
        <v>1.13527207563591</v>
      </c>
      <c r="L130">
        <v>79.740434261072295</v>
      </c>
      <c r="M130" s="15">
        <f>+'[3]VAR expectations'!C154</f>
        <v>3.9691108090385026</v>
      </c>
      <c r="N130">
        <v>-0.211446351449253</v>
      </c>
      <c r="O130">
        <v>-0.17429903529735599</v>
      </c>
      <c r="P130">
        <v>-1.3685770504393899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I131">
        <v>170.63988848336066</v>
      </c>
      <c r="J131">
        <v>139.150904969376</v>
      </c>
      <c r="K131">
        <v>1.1347233428147401</v>
      </c>
      <c r="L131">
        <v>79.621756374502198</v>
      </c>
      <c r="M131" s="15">
        <f>+'[3]VAR expectations'!C155</f>
        <v>3.8470567349792795</v>
      </c>
      <c r="N131">
        <v>-0.28493650317444402</v>
      </c>
      <c r="O131">
        <v>-7.0369201187523399E-3</v>
      </c>
      <c r="P131">
        <v>-1.5055126236768801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I132">
        <v>168.36830307593266</v>
      </c>
      <c r="J132">
        <v>139.95350343390399</v>
      </c>
      <c r="K132">
        <v>1.1334218896654999</v>
      </c>
      <c r="L132">
        <v>79.508926311789594</v>
      </c>
      <c r="M132" s="15">
        <f>+'[3]VAR expectations'!C156</f>
        <v>4.1639091291217634</v>
      </c>
      <c r="N132">
        <v>-0.24181700892864999</v>
      </c>
      <c r="O132">
        <v>-1.6535476013773E-2</v>
      </c>
      <c r="P132">
        <v>-1.58868357349561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I133">
        <v>165.18251437778869</v>
      </c>
      <c r="J133">
        <v>140.68653097306799</v>
      </c>
      <c r="K133">
        <v>1.13169186424416</v>
      </c>
      <c r="L133">
        <v>79.402237285434296</v>
      </c>
      <c r="M133" s="15">
        <f>+'[3]VAR expectations'!C157</f>
        <v>5.4104651194166893</v>
      </c>
      <c r="N133">
        <v>-0.22959281859639499</v>
      </c>
      <c r="O133">
        <v>0.19389058082222399</v>
      </c>
      <c r="P133">
        <v>-1.64621546060266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I134">
        <v>165.960780936676</v>
      </c>
      <c r="J134">
        <v>140.81488960641201</v>
      </c>
      <c r="K134">
        <v>1.1302742980102201</v>
      </c>
      <c r="L134">
        <v>79.301788579289493</v>
      </c>
      <c r="M134" s="15">
        <f>+'[3]VAR expectations'!C158</f>
        <v>4.9139696600199789</v>
      </c>
      <c r="N134">
        <v>-0.26924041065062398</v>
      </c>
      <c r="O134">
        <v>-5.4901279743138999E-2</v>
      </c>
      <c r="P134">
        <v>-1.65058225361989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I135">
        <v>164.55429751770632</v>
      </c>
      <c r="J135">
        <v>141.254776385653</v>
      </c>
      <c r="K135">
        <v>1.12862760499577</v>
      </c>
      <c r="L135">
        <v>79.207374434032005</v>
      </c>
      <c r="M135" s="15">
        <f>+'[3]VAR expectations'!C159</f>
        <v>4.0011512098701685</v>
      </c>
      <c r="N135">
        <v>-0.28336866637212699</v>
      </c>
      <c r="O135">
        <v>-4.4310271174268602E-4</v>
      </c>
      <c r="P135">
        <v>-1.60216393203283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M136" s="15">
        <f>+'[3]VAR expectations'!C160</f>
        <v>3.3715300668176842</v>
      </c>
      <c r="O136">
        <v>-1.27151534663672E-2</v>
      </c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M137" s="15">
        <f>+'[3]VAR expectations'!C161</f>
        <v>2.9319715449134089</v>
      </c>
      <c r="O137">
        <v>1.60999570243111E-2</v>
      </c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M138" s="15">
        <f>+'[3]VAR expectations'!C162</f>
        <v>2.624058833894372</v>
      </c>
      <c r="O138">
        <v>-6.7701651851022695E-4</v>
      </c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M139" s="15">
        <f>+'[3]VAR expectations'!C163</f>
        <v>2.4687156565697737</v>
      </c>
      <c r="O139">
        <v>-4.15752015621643E-3</v>
      </c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M140" s="15">
        <f>+'[3]VAR expectations'!C164</f>
        <v>2.4272584547421974</v>
      </c>
      <c r="O140">
        <v>-6.4730736789887404E-3</v>
      </c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M141" s="15">
        <f>+'[3]VAR expectations'!C165</f>
        <v>2.4505337246023733</v>
      </c>
      <c r="O141">
        <v>1.1817117236994201E-2</v>
      </c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M142" s="15">
        <f>+'[3]VAR expectations'!C166</f>
        <v>2.4399426350808717</v>
      </c>
      <c r="O142">
        <v>3.8775680770001202E-2</v>
      </c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M143" s="15">
        <f>+'[3]VAR expectations'!C167</f>
        <v>2.4724757454078841</v>
      </c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M144" s="15">
        <f>+'[3]VAR expectations'!C168</f>
        <v>2.5381252562448622</v>
      </c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/>
      <c r="M145" s="15">
        <f>+'[3]VAR expectations'!C169</f>
        <v>2.6576871518365146</v>
      </c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971C-6A0D-49B7-83DB-77506FD2ABF7}">
  <dimension ref="A1:W172"/>
  <sheetViews>
    <sheetView topLeftCell="A10" zoomScaleNormal="100" workbookViewId="0">
      <selection activeCell="Q12" sqref="Q12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I3" s="1" t="s">
        <v>7</v>
      </c>
      <c r="J3" s="2" t="s">
        <v>5</v>
      </c>
      <c r="K3" s="2"/>
      <c r="L3" t="s">
        <v>108</v>
      </c>
    </row>
    <row r="4" spans="1:23" x14ac:dyDescent="0.25">
      <c r="A4" t="s">
        <v>225</v>
      </c>
      <c r="B4" s="2" t="s">
        <v>8</v>
      </c>
      <c r="C4" s="2"/>
      <c r="D4" s="3" t="s">
        <v>223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187</v>
      </c>
      <c r="J5" s="2" t="s">
        <v>9</v>
      </c>
      <c r="K5" s="2"/>
    </row>
    <row r="6" spans="1:23" x14ac:dyDescent="0.25">
      <c r="A6" t="s">
        <v>224</v>
      </c>
      <c r="I6" t="s">
        <v>186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conv2qa(X12(stifidx_jan2024.m,MULT,1996m1,2024m6))</v>
      </c>
      <c r="C10" s="11" t="str">
        <f t="shared" ref="C10:D10" si="0">"conv2qa(X12("&amp;$D$5&amp;$D$3&amp;C9&amp;$D$4&amp;",MULT," &amp; TEXT($A$3,"yyyy""m""m") &amp; "," &amp; TEXT($A$4,"yyyy""m""m") &amp; "))"</f>
        <v>conv2qa(X12(stif_srv_jan2024.m,MULT,1996m1,2024m6))</v>
      </c>
      <c r="D10" s="11" t="str">
        <f t="shared" si="0"/>
        <v>conv2qa(X12(stif_gds_xeatfnab_jan2024.m,MULT,1996m1,2024m6))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booze.m,fags.m,#,#,#,#,#,#,#,#,#,#,#,#,#,#,#,#,#),MULT,1996m1,2024m6))</v>
      </c>
      <c r="F10" s="11" t="str">
        <f>"conv2qa(X12("&amp;$D$5&amp;$D$3&amp;F9&amp;$D$4&amp;",MULT," &amp; TEXT($A$3,"yyyy""m""m") &amp; "," &amp; TEXT($A$4,"yyyy""m""m") &amp; "))"</f>
        <v>conv2qa(X12(stif_fnab_jan2024.m,MULT,1996m1,2024m6))</v>
      </c>
      <c r="G10" s="11" t="str">
        <f>"conv2qa(X12("&amp;G9&amp;",MULT," &amp; TEXT($A$3,"yyyy""m""m") &amp; "," &amp; TEXT($A$4,"yyyy""m""m") &amp; "))"</f>
        <v>conv2qa(X12(booze.m,MULT,1996m1,2024m6))</v>
      </c>
      <c r="H10" s="11" t="str">
        <f>"conv2qa(X12("&amp;H9&amp;",MULT," &amp; TEXT($A$3,"yyyy""m""m") &amp; "," &amp; TEXT($A$4,"yyyy""m""m") &amp; "))"</f>
        <v>conv2qa(X12(fags.m,MULT,1996m1,2024m6))</v>
      </c>
      <c r="I10" s="11" t="str">
        <f>"conv2qa(X12("&amp;$D$5&amp;$D$3&amp;I9&amp;$D$4&amp;",MULT," &amp; TEXT($A$3,"yyyy""m""m") &amp; "," &amp; TEXT($I$5,"yyyy""m""m") &amp; "))"</f>
        <v>conv2qa(X12(stif_pu_jan2024.m,MULT,1996m1,2026m12))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68.336249781639495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58.553707089085371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77.833862631324408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>
        <f>[2]!FAMEData($L$5&amp;$L$3&amp;J9&amp;$L$4, $I$3, $I$4, 0,"Quarterly", "Down", "No Heading", "Normal")</f>
        <v>68.347644453374599</v>
      </c>
      <c r="K12">
        <f>[2]!FAMEData($L$5&amp;$L$3&amp;K9&amp;$L$4, $I$3, $I$4, 0,"Quarterly", "Down", "No Heading", "Normal")</f>
        <v>0.86450741438940804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[2]!FAMEData($L$5&amp;$L$3&amp;P9&amp;$L$4, $I$3, $I$4, 0,"Quarterly", "Down", "No Heading", "Normal")</f>
        <v>-0.67176493919937696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68.723480942931459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78.703574190500959</v>
      </c>
      <c r="H13">
        <v>30.476125774121101</v>
      </c>
      <c r="I13">
        <v>43.120581147797139</v>
      </c>
      <c r="J13">
        <v>68.734890649472007</v>
      </c>
      <c r="K13">
        <v>0.86509042373751399</v>
      </c>
      <c r="L13">
        <v>81.882196923076904</v>
      </c>
      <c r="M13" s="15">
        <f>+'[3]VAR expectations'!C37</f>
        <v>2.6154884948264598</v>
      </c>
      <c r="N13">
        <v>0.3</v>
      </c>
      <c r="O13">
        <v>-0.16120155703172701</v>
      </c>
      <c r="P13">
        <v>-0.90949895832332694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68.9494565461398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78.989247520031896</v>
      </c>
      <c r="H14">
        <v>30.929830737469164</v>
      </c>
      <c r="I14">
        <v>43.346266616041838</v>
      </c>
      <c r="J14">
        <v>68.960850168797407</v>
      </c>
      <c r="K14">
        <v>0.84647798199442004</v>
      </c>
      <c r="L14">
        <v>82.869486363636398</v>
      </c>
      <c r="M14" s="15">
        <f>+'[3]VAR expectations'!C38</f>
        <v>2.6428562485995646</v>
      </c>
      <c r="N14">
        <v>0.3</v>
      </c>
      <c r="O14">
        <v>0.32912444162450999</v>
      </c>
      <c r="P14">
        <v>-0.98494571975045697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69.259947297382638</v>
      </c>
      <c r="C15">
        <v>52.311071312771965</v>
      </c>
      <c r="D15">
        <v>120.63002394083701</v>
      </c>
      <c r="E15">
        <v>58.834792121222769</v>
      </c>
      <c r="F15">
        <v>65.084105610473657</v>
      </c>
      <c r="G15">
        <v>79.125642753287181</v>
      </c>
      <c r="H15">
        <v>31.483583173415866</v>
      </c>
      <c r="I15">
        <v>44.7267749910337</v>
      </c>
      <c r="J15">
        <v>69.271495658149405</v>
      </c>
      <c r="K15">
        <v>0.83585006467577705</v>
      </c>
      <c r="L15">
        <v>88.333556060606099</v>
      </c>
      <c r="M15" s="15">
        <f>+'[3]VAR expectations'!C39</f>
        <v>2.8292929206876933</v>
      </c>
      <c r="N15">
        <v>0.3</v>
      </c>
      <c r="O15">
        <v>-2.2510150918334201E-3</v>
      </c>
      <c r="P15">
        <v>-0.945418596796475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69.656172144574228</v>
      </c>
      <c r="C16">
        <v>52.833527081934534</v>
      </c>
      <c r="D16">
        <v>120.51831953602668</v>
      </c>
      <c r="E16">
        <v>59.076250344490298</v>
      </c>
      <c r="F16">
        <v>65.240899062162541</v>
      </c>
      <c r="G16">
        <v>78.957703138344939</v>
      </c>
      <c r="H16">
        <v>32.032941374691468</v>
      </c>
      <c r="I16">
        <v>45.328295668909</v>
      </c>
      <c r="J16">
        <v>69.667782535979498</v>
      </c>
      <c r="K16">
        <v>0.80632216180680205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-0.262290558696672</v>
      </c>
      <c r="P16">
        <v>-8.1219059248215705E-3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69.818827320613835</v>
      </c>
      <c r="C17">
        <v>53.33140458401607</v>
      </c>
      <c r="D17">
        <v>120.310188362095</v>
      </c>
      <c r="E17">
        <v>59.375031266633805</v>
      </c>
      <c r="F17">
        <v>65.408499895120499</v>
      </c>
      <c r="G17">
        <v>79.267965073223365</v>
      </c>
      <c r="H17">
        <v>32.549626728659469</v>
      </c>
      <c r="I17">
        <v>44.44594649301937</v>
      </c>
      <c r="J17">
        <v>69.830396287410395</v>
      </c>
      <c r="K17">
        <v>0.79144008450373604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-0.18076935065413899</v>
      </c>
      <c r="P17">
        <v>7.84111432679543E-2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70.281779806178847</v>
      </c>
      <c r="C18">
        <v>53.831610222106036</v>
      </c>
      <c r="D18">
        <v>120.33884823031001</v>
      </c>
      <c r="E18">
        <v>59.894854455189403</v>
      </c>
      <c r="F18">
        <v>65.91284178230616</v>
      </c>
      <c r="G18">
        <v>79.394793740428497</v>
      </c>
      <c r="H18">
        <v>33.304621200313029</v>
      </c>
      <c r="I18">
        <v>45.375545582595926</v>
      </c>
      <c r="J18">
        <v>70.293411929825297</v>
      </c>
      <c r="K18">
        <v>0.78762848509638905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0.135072712526874</v>
      </c>
      <c r="P18">
        <v>5.2461276338646697E-3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70.534190606470631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79.329518514698336</v>
      </c>
      <c r="H19">
        <v>34.107615541725302</v>
      </c>
      <c r="I19">
        <v>45.16594359183707</v>
      </c>
      <c r="J19">
        <v>70.545959667782697</v>
      </c>
      <c r="K19">
        <v>0.78373624680643506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-0.18038836269067801</v>
      </c>
      <c r="P19">
        <v>-0.113315778004121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70.76083171666987</v>
      </c>
      <c r="C20">
        <v>54.867317852625668</v>
      </c>
      <c r="D20">
        <v>119.84603007593834</v>
      </c>
      <c r="E20">
        <v>60.324796116075596</v>
      </c>
      <c r="F20">
        <v>65.556439010962166</v>
      </c>
      <c r="G20">
        <v>80.314829273703296</v>
      </c>
      <c r="H20">
        <v>35.043737560232564</v>
      </c>
      <c r="I20">
        <v>45.06678816753643</v>
      </c>
      <c r="J20">
        <v>70.772612012747899</v>
      </c>
      <c r="K20">
        <v>0.77300052601257396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-0.40106993870267899</v>
      </c>
      <c r="P20">
        <v>0.35232580082478598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71.100692128724404</v>
      </c>
      <c r="C21">
        <v>55.376840634027502</v>
      </c>
      <c r="D21">
        <v>119.471764844226</v>
      </c>
      <c r="E21">
        <v>60.759837540213262</v>
      </c>
      <c r="F21">
        <v>65.968165559058164</v>
      </c>
      <c r="G21">
        <v>80.697417805776468</v>
      </c>
      <c r="H21">
        <v>35.534825019560202</v>
      </c>
      <c r="I21">
        <v>45.512400795736802</v>
      </c>
      <c r="J21">
        <v>71.112446260740199</v>
      </c>
      <c r="K21">
        <v>0.76206216868059895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-0.121959828355084</v>
      </c>
      <c r="P21">
        <v>0.18544471888963501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71.255609424543579</v>
      </c>
      <c r="C22">
        <v>55.8344940627168</v>
      </c>
      <c r="D22">
        <v>118.95366575846867</v>
      </c>
      <c r="E22">
        <v>61.32656451816981</v>
      </c>
      <c r="F22">
        <v>66.599884378909394</v>
      </c>
      <c r="G22">
        <v>81.111237273142137</v>
      </c>
      <c r="H22">
        <v>36.0093777244604</v>
      </c>
      <c r="I22">
        <v>45.24011752797793</v>
      </c>
      <c r="J22">
        <v>71.267434738338693</v>
      </c>
      <c r="K22">
        <v>0.75687671765936204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0.148148898493562</v>
      </c>
      <c r="P22">
        <v>0.157845722834311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71.539883561893902</v>
      </c>
      <c r="C23">
        <v>56.342645165224035</v>
      </c>
      <c r="D23">
        <v>118.50979090512133</v>
      </c>
      <c r="E23">
        <v>61.798219499311834</v>
      </c>
      <c r="F23">
        <v>66.931585635713873</v>
      </c>
      <c r="G23">
        <v>81.345598400718572</v>
      </c>
      <c r="H23">
        <v>36.768433546815537</v>
      </c>
      <c r="I23">
        <v>45.182611283649635</v>
      </c>
      <c r="J23">
        <v>71.551815723425406</v>
      </c>
      <c r="K23">
        <v>0.75976655115812497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-0.44461325206669999</v>
      </c>
      <c r="P23">
        <v>-0.51317086500777798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71.869448357889766</v>
      </c>
      <c r="C24">
        <v>56.820337302049865</v>
      </c>
      <c r="D24">
        <v>117.91126120930566</v>
      </c>
      <c r="E24">
        <v>62.464147948596235</v>
      </c>
      <c r="F24">
        <v>67.238659277963379</v>
      </c>
      <c r="G24">
        <v>81.576404148118527</v>
      </c>
      <c r="H24">
        <v>38.383741142261563</v>
      </c>
      <c r="I24">
        <v>45.605839036946463</v>
      </c>
      <c r="J24">
        <v>71.881419635158494</v>
      </c>
      <c r="K24">
        <v>0.75674034386786804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0.52782221066476598</v>
      </c>
      <c r="P24">
        <v>-0.37218782460312799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72.089045435031537</v>
      </c>
      <c r="C25">
        <v>57.315645524915233</v>
      </c>
      <c r="D25">
        <v>117.10202037013333</v>
      </c>
      <c r="E25">
        <v>62.327610240975396</v>
      </c>
      <c r="F25">
        <v>66.571844762680328</v>
      </c>
      <c r="G25">
        <v>81.622908379803604</v>
      </c>
      <c r="H25">
        <v>39.566559269061266</v>
      </c>
      <c r="I25">
        <v>46.92488601674637</v>
      </c>
      <c r="J25">
        <v>72.100967832938494</v>
      </c>
      <c r="K25">
        <v>0.75164895250617403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0.48725261916995399</v>
      </c>
      <c r="P25">
        <v>4.5365294861338799E-2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72.125395090306043</v>
      </c>
      <c r="C26">
        <v>57.72589105213757</v>
      </c>
      <c r="D26">
        <v>116.21646773960299</v>
      </c>
      <c r="E26">
        <v>62.266005901013536</v>
      </c>
      <c r="F26">
        <v>65.966078638823205</v>
      </c>
      <c r="G26">
        <v>81.700276436857663</v>
      </c>
      <c r="H26">
        <v>40.694457856549064</v>
      </c>
      <c r="I26">
        <v>47.676146770894093</v>
      </c>
      <c r="J26">
        <v>72.137424580251107</v>
      </c>
      <c r="K26">
        <v>0.75365215365925997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0.67076862974608797</v>
      </c>
      <c r="P26">
        <v>0.16262397978819501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72.359803406719365</v>
      </c>
      <c r="C27">
        <v>58.260597172429165</v>
      </c>
      <c r="D27">
        <v>115.11724534960366</v>
      </c>
      <c r="E27">
        <v>62.42519014902723</v>
      </c>
      <c r="F27">
        <v>66.000462650335535</v>
      </c>
      <c r="G27">
        <v>81.899917498016933</v>
      </c>
      <c r="H27">
        <v>41.07029794000173</v>
      </c>
      <c r="I27">
        <v>48.744128850986698</v>
      </c>
      <c r="J27">
        <v>72.371841367112197</v>
      </c>
      <c r="K27">
        <v>0.75528714880922598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0.25537877518103203</v>
      </c>
      <c r="P27">
        <v>0.81451014866165805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72.440743266606091</v>
      </c>
      <c r="C28">
        <v>58.772737337574767</v>
      </c>
      <c r="D28">
        <v>113.71050289670499</v>
      </c>
      <c r="E28">
        <v>62.294225732532766</v>
      </c>
      <c r="F28">
        <v>65.738951218718228</v>
      </c>
      <c r="G28">
        <v>81.953847149927469</v>
      </c>
      <c r="H28">
        <v>41.192698366595266</v>
      </c>
      <c r="I28">
        <v>50.014345022090538</v>
      </c>
      <c r="J28">
        <v>72.452736897487398</v>
      </c>
      <c r="K28">
        <v>0.76146870091037999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9.2271063782413995E-2</v>
      </c>
      <c r="P28">
        <v>-0.807077862700738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72.539182292598099</v>
      </c>
      <c r="C29">
        <v>59.02203967980364</v>
      </c>
      <c r="D29">
        <v>113.06246638511932</v>
      </c>
      <c r="E29">
        <v>62.695488488984637</v>
      </c>
      <c r="F29">
        <v>65.547576525314739</v>
      </c>
      <c r="G29">
        <v>81.549251880032173</v>
      </c>
      <c r="H29">
        <v>43.499742188386932</v>
      </c>
      <c r="I29">
        <v>50.294131092576343</v>
      </c>
      <c r="J29">
        <v>72.551290923432305</v>
      </c>
      <c r="K29">
        <v>0.767602350026383</v>
      </c>
      <c r="L29">
        <v>101.013821538462</v>
      </c>
      <c r="M29" s="15">
        <f>+'[3]VAR expectations'!C53</f>
        <v>2.480790509902373</v>
      </c>
      <c r="N29">
        <v>0.578228356186961</v>
      </c>
      <c r="O29">
        <v>6.4185673634936505E-2</v>
      </c>
      <c r="P29">
        <v>0.53264032273610096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72.70784059205063</v>
      </c>
      <c r="C30">
        <v>59.61830746027973</v>
      </c>
      <c r="D30">
        <v>111.70485772051633</v>
      </c>
      <c r="E30">
        <v>63.480786414582404</v>
      </c>
      <c r="F30">
        <v>66.47073313012946</v>
      </c>
      <c r="G30">
        <v>81.400383542288793</v>
      </c>
      <c r="H30">
        <v>44.129516914204665</v>
      </c>
      <c r="I30">
        <v>50.848549060356241</v>
      </c>
      <c r="J30">
        <v>72.719973810652604</v>
      </c>
      <c r="K30">
        <v>0.77750524699329104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0.321076211975517</v>
      </c>
      <c r="P30">
        <v>0.271806601737618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73.058297139899011</v>
      </c>
      <c r="C31">
        <v>60.261873317670243</v>
      </c>
      <c r="D31">
        <v>111.146406877556</v>
      </c>
      <c r="E31">
        <v>63.852768971113562</v>
      </c>
      <c r="F31">
        <v>66.715067260731971</v>
      </c>
      <c r="G31">
        <v>81.765643927497891</v>
      </c>
      <c r="H31">
        <v>44.729361748215574</v>
      </c>
      <c r="I31">
        <v>51.114811152101367</v>
      </c>
      <c r="J31">
        <v>73.070291662679594</v>
      </c>
      <c r="K31">
        <v>0.77749108644292997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-1.6390389462865099E-2</v>
      </c>
      <c r="P31">
        <v>0.70674457035057403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73.057199820904501</v>
      </c>
      <c r="C32">
        <v>60.743618510526865</v>
      </c>
      <c r="D32">
        <v>110.17048885714934</v>
      </c>
      <c r="E32">
        <v>64.304947564595992</v>
      </c>
      <c r="F32">
        <v>67.219576569642697</v>
      </c>
      <c r="G32">
        <v>81.956356251484863</v>
      </c>
      <c r="H32">
        <v>45.213764851080299</v>
      </c>
      <c r="I32">
        <v>49.776772698693605</v>
      </c>
      <c r="J32">
        <v>73.069221643345401</v>
      </c>
      <c r="K32">
        <v>0.77940512033201303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-0.227577979531076</v>
      </c>
      <c r="P32">
        <v>0.41762760247680097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73.640782754926363</v>
      </c>
      <c r="C33">
        <v>61.54442021984277</v>
      </c>
      <c r="D33">
        <v>109.89504456778934</v>
      </c>
      <c r="E33">
        <v>65.671562289777341</v>
      </c>
      <c r="F33">
        <v>69.291698510721673</v>
      </c>
      <c r="G33">
        <v>81.89472291488967</v>
      </c>
      <c r="H33">
        <v>45.475672672416067</v>
      </c>
      <c r="I33">
        <v>49.554685240287903</v>
      </c>
      <c r="J33">
        <v>73.653348827700199</v>
      </c>
      <c r="K33">
        <v>0.77410378923051903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0.14427868690463599</v>
      </c>
      <c r="P33">
        <v>0.27171772306839898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73.825368253322026</v>
      </c>
      <c r="C34">
        <v>62.223963784156695</v>
      </c>
      <c r="D34">
        <v>109.34835279540533</v>
      </c>
      <c r="E34">
        <v>65.641448713926295</v>
      </c>
      <c r="F34">
        <v>68.979536133795634</v>
      </c>
      <c r="G34">
        <v>82.063297447231093</v>
      </c>
      <c r="H34">
        <v>45.842531037998832</v>
      </c>
      <c r="I34">
        <v>49.541042554949335</v>
      </c>
      <c r="J34">
        <v>73.837772102774906</v>
      </c>
      <c r="K34">
        <v>0.76309472804376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-0.145405425617782</v>
      </c>
      <c r="P34">
        <v>2.9738324737060302E-2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73.809977445629968</v>
      </c>
      <c r="C35">
        <v>62.586922212849068</v>
      </c>
      <c r="D35">
        <v>108.736636225396</v>
      </c>
      <c r="E35">
        <v>65.828698669330862</v>
      </c>
      <c r="F35">
        <v>68.970945389852872</v>
      </c>
      <c r="G35">
        <v>82.057820785792572</v>
      </c>
      <c r="H35">
        <v>46.482425595691332</v>
      </c>
      <c r="I35">
        <v>48.008808713739732</v>
      </c>
      <c r="J35">
        <v>73.821854011703707</v>
      </c>
      <c r="K35">
        <v>0.752688098559118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-0.40207821981541297</v>
      </c>
      <c r="P35">
        <v>-0.63993486982955505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74.172708857642732</v>
      </c>
      <c r="C36">
        <v>63.253448974883405</v>
      </c>
      <c r="D36">
        <v>108.25388781247</v>
      </c>
      <c r="E36">
        <v>66.271856797833792</v>
      </c>
      <c r="F36">
        <v>69.566869099643768</v>
      </c>
      <c r="G36">
        <v>82.184032839071889</v>
      </c>
      <c r="H36">
        <v>46.712875199191501</v>
      </c>
      <c r="I36">
        <v>48.300000596945132</v>
      </c>
      <c r="J36">
        <v>74.184642896063394</v>
      </c>
      <c r="K36">
        <v>0.75001045963908397</v>
      </c>
      <c r="L36">
        <v>100.22180625</v>
      </c>
      <c r="M36" s="15">
        <f>+'[3]VAR expectations'!C60</f>
        <v>2.2636382290406152</v>
      </c>
      <c r="N36">
        <v>-0.19866515250366801</v>
      </c>
      <c r="O36">
        <v>0.181561700258596</v>
      </c>
      <c r="P36">
        <v>-0.63539245314266801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74.341061354142809</v>
      </c>
      <c r="C37">
        <v>64.098357828205167</v>
      </c>
      <c r="D37">
        <v>107.15975382359767</v>
      </c>
      <c r="E37">
        <v>65.841453783584299</v>
      </c>
      <c r="F37">
        <v>69.072767804109063</v>
      </c>
      <c r="G37">
        <v>82.070455378123725</v>
      </c>
      <c r="H37">
        <v>46.699129957062866</v>
      </c>
      <c r="I37">
        <v>48.834968279217229</v>
      </c>
      <c r="J37">
        <v>74.354715722601995</v>
      </c>
      <c r="K37">
        <v>0.75265406142824498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0.26583891266085302</v>
      </c>
      <c r="P37">
        <v>-0.84417258489077596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74.586827293502338</v>
      </c>
      <c r="C38">
        <v>64.806065669639437</v>
      </c>
      <c r="D38">
        <v>106.44583489618667</v>
      </c>
      <c r="E38">
        <v>66.101100807904103</v>
      </c>
      <c r="F38">
        <v>69.016510777167028</v>
      </c>
      <c r="G38">
        <v>82.393205064672813</v>
      </c>
      <c r="H38">
        <v>47.312363040267293</v>
      </c>
      <c r="I38">
        <v>48.8101727578291</v>
      </c>
      <c r="J38">
        <v>74.599063158146294</v>
      </c>
      <c r="K38">
        <v>0.75015550616674598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2.2118145407947602E-2</v>
      </c>
      <c r="P38">
        <v>-0.47303919311603998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74.94153196635817</v>
      </c>
      <c r="C39">
        <v>65.52758079755597</v>
      </c>
      <c r="D39">
        <v>105.92448921630834</v>
      </c>
      <c r="E39">
        <v>66.196126733273005</v>
      </c>
      <c r="F39">
        <v>69.020712791917944</v>
      </c>
      <c r="G39">
        <v>81.79540893930384</v>
      </c>
      <c r="H39">
        <v>47.821927966702795</v>
      </c>
      <c r="I39">
        <v>49.301431799696729</v>
      </c>
      <c r="J39">
        <v>74.953146332039495</v>
      </c>
      <c r="K39">
        <v>0.74797853098426004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-3.5729490300290101E-2</v>
      </c>
      <c r="P39">
        <v>-0.23491543059932599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75.254178375895165</v>
      </c>
      <c r="C40">
        <v>66.024472037770252</v>
      </c>
      <c r="D40">
        <v>105.57840811690433</v>
      </c>
      <c r="E40">
        <v>66.295937196079706</v>
      </c>
      <c r="F40">
        <v>69.109899366519656</v>
      </c>
      <c r="G40">
        <v>81.579240085493055</v>
      </c>
      <c r="H40">
        <v>48.150793170642096</v>
      </c>
      <c r="I40">
        <v>50.696241264352267</v>
      </c>
      <c r="J40">
        <v>75.265664354734795</v>
      </c>
      <c r="K40">
        <v>0.76305100676523396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-0.412486941757993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75.297740901731743</v>
      </c>
      <c r="C41">
        <v>66.477450027944528</v>
      </c>
      <c r="D41">
        <v>104.82493353925599</v>
      </c>
      <c r="E41">
        <v>66.743553912151768</v>
      </c>
      <c r="F41">
        <v>69.746466956632034</v>
      </c>
      <c r="G41">
        <v>81.929888109543739</v>
      </c>
      <c r="H41">
        <v>48.454084823668403</v>
      </c>
      <c r="I41">
        <v>49.519114793185565</v>
      </c>
      <c r="J41">
        <v>75.312829348399802</v>
      </c>
      <c r="K41">
        <v>0.75829920985494004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-0.53365875606219304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75.61276166388889</v>
      </c>
      <c r="C42">
        <v>66.969781978765909</v>
      </c>
      <c r="D42">
        <v>104.57345498301301</v>
      </c>
      <c r="E42">
        <v>67.312969333859954</v>
      </c>
      <c r="F42">
        <v>70.264155677763327</v>
      </c>
      <c r="G42">
        <v>81.292515585936897</v>
      </c>
      <c r="H42">
        <v>49.190874965316034</v>
      </c>
      <c r="I42">
        <v>49.812423087464367</v>
      </c>
      <c r="J42">
        <v>75.625235963840794</v>
      </c>
      <c r="K42">
        <v>0.76314959952758699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-0.27587813004151002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75.93039478402379</v>
      </c>
      <c r="C43">
        <v>67.546972722945171</v>
      </c>
      <c r="D43">
        <v>104.00485127135499</v>
      </c>
      <c r="E43">
        <v>67.719275637188801</v>
      </c>
      <c r="F43">
        <v>70.752523646893238</v>
      </c>
      <c r="G43">
        <v>81.390202719832104</v>
      </c>
      <c r="H43">
        <v>49.43875981696636</v>
      </c>
      <c r="I43">
        <v>50.456696039777931</v>
      </c>
      <c r="J43">
        <v>75.941579566536006</v>
      </c>
      <c r="K43">
        <v>0.757347935788934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-0.53389832173649399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76.20027316094847</v>
      </c>
      <c r="C44">
        <v>68.106265289638472</v>
      </c>
      <c r="D44">
        <v>103.62955172346433</v>
      </c>
      <c r="E44">
        <v>67.70173300202697</v>
      </c>
      <c r="F44">
        <v>70.680623238212164</v>
      </c>
      <c r="G44">
        <v>81.372891220893067</v>
      </c>
      <c r="H44">
        <v>49.677802176442164</v>
      </c>
      <c r="I44">
        <v>51.504084269828731</v>
      </c>
      <c r="J44">
        <v>76.210768580594902</v>
      </c>
      <c r="K44">
        <v>0.750253061775353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0.26647992525057201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76.359150259389708</v>
      </c>
      <c r="C45">
        <v>68.631855806997194</v>
      </c>
      <c r="D45">
        <v>102.87732125666435</v>
      </c>
      <c r="E45">
        <v>67.638280882677293</v>
      </c>
      <c r="F45">
        <v>70.476850083966625</v>
      </c>
      <c r="G45">
        <v>81.287191130116369</v>
      </c>
      <c r="H45">
        <v>50.250960579447032</v>
      </c>
      <c r="I45">
        <v>52.490029582108804</v>
      </c>
      <c r="J45">
        <v>76.3767278463975</v>
      </c>
      <c r="K45">
        <v>0.751272030828947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0.178629395119865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76.562215355837239</v>
      </c>
      <c r="C46">
        <v>69.20374309728156</v>
      </c>
      <c r="D46">
        <v>102.21000368946301</v>
      </c>
      <c r="E46">
        <v>67.646192047777518</v>
      </c>
      <c r="F46">
        <v>70.117000343454507</v>
      </c>
      <c r="G46">
        <v>81.074507645058176</v>
      </c>
      <c r="H46">
        <v>50.981515775525303</v>
      </c>
      <c r="I46">
        <v>53.359156405132033</v>
      </c>
      <c r="J46">
        <v>76.574735245057994</v>
      </c>
      <c r="K46">
        <v>0.75246452156788601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-2.6019163562299601E-2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77.024673160413599</v>
      </c>
      <c r="C47">
        <v>69.904808956380862</v>
      </c>
      <c r="D47">
        <v>101.65395875122999</v>
      </c>
      <c r="E47">
        <v>67.923169332682775</v>
      </c>
      <c r="F47">
        <v>70.398557803737333</v>
      </c>
      <c r="G47">
        <v>81.151471154451031</v>
      </c>
      <c r="H47">
        <v>51.389293361623771</v>
      </c>
      <c r="I47">
        <v>55.645647706190466</v>
      </c>
      <c r="J47">
        <v>77.034520059004507</v>
      </c>
      <c r="K47">
        <v>0.76483927023953302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0.92820849252594795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77.519251887888061</v>
      </c>
      <c r="C48">
        <v>70.711753828888888</v>
      </c>
      <c r="D48">
        <v>101.22455081399534</v>
      </c>
      <c r="E48">
        <v>68.690840574226002</v>
      </c>
      <c r="F48">
        <v>71.390648855740267</v>
      </c>
      <c r="G48">
        <v>80.604662176595198</v>
      </c>
      <c r="H48">
        <v>52.151755182388229</v>
      </c>
      <c r="I48">
        <v>56.449023553374936</v>
      </c>
      <c r="J48">
        <v>77.529231277173807</v>
      </c>
      <c r="K48">
        <v>0.76409886629407298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0.47825978391603902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77.860337172587734</v>
      </c>
      <c r="C49">
        <v>71.482542512693627</v>
      </c>
      <c r="D49">
        <v>100.61472786250432</v>
      </c>
      <c r="E49">
        <v>68.823685140946438</v>
      </c>
      <c r="F49">
        <v>71.584679049086063</v>
      </c>
      <c r="G49">
        <v>80.155897012128932</v>
      </c>
      <c r="H49">
        <v>52.541890013132132</v>
      </c>
      <c r="I49">
        <v>57.440858347792037</v>
      </c>
      <c r="J49">
        <v>77.881727096637206</v>
      </c>
      <c r="K49">
        <v>0.76195295684914699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-0.146554301954858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78.392596214629535</v>
      </c>
      <c r="C50">
        <v>72.329301014539922</v>
      </c>
      <c r="D50">
        <v>100.07117850782903</v>
      </c>
      <c r="E50">
        <v>68.937238065157473</v>
      </c>
      <c r="F50">
        <v>71.487850260075746</v>
      </c>
      <c r="G50">
        <v>80.839757364772865</v>
      </c>
      <c r="H50">
        <v>52.691778617545062</v>
      </c>
      <c r="I50">
        <v>60.297134307589538</v>
      </c>
      <c r="J50">
        <v>78.404446203401605</v>
      </c>
      <c r="K50">
        <v>0.78280032485301099</v>
      </c>
      <c r="L50">
        <v>99.734880303030295</v>
      </c>
      <c r="M50" s="15">
        <f>+'[3]VAR expectations'!C74</f>
        <v>2.2761535969954032</v>
      </c>
      <c r="N50">
        <v>0.70017615103754205</v>
      </c>
      <c r="O50">
        <v>0.242344274322987</v>
      </c>
      <c r="P50">
        <v>9.7562498028776104E-2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78.664975331616972</v>
      </c>
      <c r="C51">
        <v>72.762317013141669</v>
      </c>
      <c r="D51">
        <v>99.588196036451635</v>
      </c>
      <c r="E51">
        <v>69.14876701126407</v>
      </c>
      <c r="F51">
        <v>71.487766548461039</v>
      </c>
      <c r="G51">
        <v>80.757559262750192</v>
      </c>
      <c r="H51">
        <v>53.781965213060097</v>
      </c>
      <c r="I51">
        <v>62.213078939187632</v>
      </c>
      <c r="J51">
        <v>78.670851490829094</v>
      </c>
      <c r="K51">
        <v>0.78776362866486105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-2.1319812395411301E-2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79.028134142567367</v>
      </c>
      <c r="C52">
        <v>73.385241667278038</v>
      </c>
      <c r="D52">
        <v>99.218511662341868</v>
      </c>
      <c r="E52">
        <v>69.456235730732828</v>
      </c>
      <c r="F52">
        <v>71.887123931466633</v>
      </c>
      <c r="G52">
        <v>80.784701213978607</v>
      </c>
      <c r="H52">
        <v>54.031494079142334</v>
      </c>
      <c r="I52">
        <v>63.507502817848696</v>
      </c>
      <c r="J52">
        <v>79.041204693410904</v>
      </c>
      <c r="K52">
        <v>0.79284926485340401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-2.3841078711659799E-2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79.616137572396866</v>
      </c>
      <c r="C53">
        <v>74.005587548698557</v>
      </c>
      <c r="D53">
        <v>98.648450683667534</v>
      </c>
      <c r="E53">
        <v>69.890091457700862</v>
      </c>
      <c r="F53">
        <v>72.381509225438137</v>
      </c>
      <c r="G53">
        <v>80.348361054628967</v>
      </c>
      <c r="H53">
        <v>54.731568871347463</v>
      </c>
      <c r="I53">
        <v>67.671668114817678</v>
      </c>
      <c r="J53">
        <v>79.642624128935793</v>
      </c>
      <c r="K53">
        <v>0.79261836960908305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2.6008595690552701E-2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80.274419249652638</v>
      </c>
      <c r="C54">
        <v>74.554498061397865</v>
      </c>
      <c r="D54">
        <v>98.578686669863075</v>
      </c>
      <c r="E54">
        <v>71.285664186574039</v>
      </c>
      <c r="F54">
        <v>73.98647688007631</v>
      </c>
      <c r="G54">
        <v>80.810976640632035</v>
      </c>
      <c r="H54">
        <v>55.632163739166032</v>
      </c>
      <c r="I54">
        <v>70.050693841977662</v>
      </c>
      <c r="J54">
        <v>80.284745386984994</v>
      </c>
      <c r="K54">
        <v>0.79050596488411395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4.9735153865615299E-2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80.800369774110294</v>
      </c>
      <c r="C55">
        <v>75.456550972076741</v>
      </c>
      <c r="D55">
        <v>98.558511915771348</v>
      </c>
      <c r="E55">
        <v>72.057911835049268</v>
      </c>
      <c r="F55">
        <v>74.869558599310267</v>
      </c>
      <c r="G55">
        <v>81.596469114299893</v>
      </c>
      <c r="H55">
        <v>56.187332482403498</v>
      </c>
      <c r="I55">
        <v>69.842554664287078</v>
      </c>
      <c r="J55">
        <v>80.793492036772903</v>
      </c>
      <c r="K55">
        <v>0.78438998628628298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-8.0932616320032902E-2</v>
      </c>
      <c r="P55">
        <v>0.18561819173264299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81.294333072953265</v>
      </c>
      <c r="C56">
        <v>76.094739268322812</v>
      </c>
      <c r="D56">
        <v>98.471297752358609</v>
      </c>
      <c r="E56">
        <v>72.551116089768882</v>
      </c>
      <c r="F56">
        <v>75.2388609701961</v>
      </c>
      <c r="G56">
        <v>81.666506603479775</v>
      </c>
      <c r="H56">
        <v>57.265355130176566</v>
      </c>
      <c r="I56">
        <v>71.1300119583194</v>
      </c>
      <c r="J56">
        <v>81.318818704467702</v>
      </c>
      <c r="K56">
        <v>0.77056113376359603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0.40347744111882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81.649080242066404</v>
      </c>
      <c r="C57">
        <v>76.642439756031138</v>
      </c>
      <c r="D57">
        <v>98.272229432667018</v>
      </c>
      <c r="E57">
        <v>73.298449275791839</v>
      </c>
      <c r="F57">
        <v>76.216291704764544</v>
      </c>
      <c r="G57">
        <v>81.349848739140143</v>
      </c>
      <c r="H57">
        <v>57.844587321657535</v>
      </c>
      <c r="I57">
        <v>71.155158866615281</v>
      </c>
      <c r="J57">
        <v>81.682077922345798</v>
      </c>
      <c r="K57">
        <v>0.78197424686750205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0.53144537622745902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81.70433540715392</v>
      </c>
      <c r="C58">
        <v>77.223122659526112</v>
      </c>
      <c r="D58">
        <v>97.540757891310292</v>
      </c>
      <c r="E58">
        <v>73.551211768918094</v>
      </c>
      <c r="F58">
        <v>76.301462711246728</v>
      </c>
      <c r="G58">
        <v>81.728890886489665</v>
      </c>
      <c r="H58">
        <v>58.326848906205207</v>
      </c>
      <c r="I58">
        <v>70.482015933259945</v>
      </c>
      <c r="J58">
        <v>81.712074988613296</v>
      </c>
      <c r="K58">
        <v>0.78616880688018398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0.48010253220800297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82.511136669744232</v>
      </c>
      <c r="C59">
        <v>77.976239256498204</v>
      </c>
      <c r="D59">
        <v>97.458073516478109</v>
      </c>
      <c r="E59">
        <v>75.219909906060423</v>
      </c>
      <c r="F59">
        <v>78.596895939199968</v>
      </c>
      <c r="G59">
        <v>81.927566950979724</v>
      </c>
      <c r="H59">
        <v>58.859086755362199</v>
      </c>
      <c r="I59">
        <v>73.077898066018676</v>
      </c>
      <c r="J59">
        <v>82.484441936391605</v>
      </c>
      <c r="K59">
        <v>0.80539990547892504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0.38277343429249699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83.213650358049463</v>
      </c>
      <c r="C60">
        <v>78.585581738450841</v>
      </c>
      <c r="D60">
        <v>96.951612744054344</v>
      </c>
      <c r="E60">
        <v>75.989538953663796</v>
      </c>
      <c r="F60">
        <v>79.53380019213887</v>
      </c>
      <c r="G60">
        <v>81.958761207690202</v>
      </c>
      <c r="H60">
        <v>59.544388625887962</v>
      </c>
      <c r="I60">
        <v>77.885302921994167</v>
      </c>
      <c r="J60">
        <v>83.257607042497696</v>
      </c>
      <c r="K60">
        <v>0.83370979803106704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0.55044331624851395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84.399683821973795</v>
      </c>
      <c r="C61">
        <v>79.538236371645368</v>
      </c>
      <c r="D61">
        <v>96.709638254887068</v>
      </c>
      <c r="E61">
        <v>78.381976055524035</v>
      </c>
      <c r="F61">
        <v>82.317852481394993</v>
      </c>
      <c r="G61">
        <v>84.883187470214139</v>
      </c>
      <c r="H61">
        <v>60.342090989244561</v>
      </c>
      <c r="I61">
        <v>82.676149118915632</v>
      </c>
      <c r="J61">
        <v>84.439227105513993</v>
      </c>
      <c r="K61">
        <v>0.87383206511460598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-0.77293438178607299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85.622108662971172</v>
      </c>
      <c r="C62">
        <v>80.56789998469732</v>
      </c>
      <c r="D62">
        <v>96.458974550356629</v>
      </c>
      <c r="E62">
        <v>80.821169148876109</v>
      </c>
      <c r="F62">
        <v>85.573695839089282</v>
      </c>
      <c r="G62">
        <v>85.07692220854706</v>
      </c>
      <c r="H62">
        <v>60.969197268108637</v>
      </c>
      <c r="I62">
        <v>87.767598254137511</v>
      </c>
      <c r="J62">
        <v>85.625496592260902</v>
      </c>
      <c r="K62">
        <v>0.89293797011712395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-1.12976402245677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85.715620066796092</v>
      </c>
      <c r="C63">
        <v>81.447763711831271</v>
      </c>
      <c r="D63">
        <v>95.356926808571657</v>
      </c>
      <c r="E63">
        <v>81.793418422220043</v>
      </c>
      <c r="F63">
        <v>86.792930696416761</v>
      </c>
      <c r="G63">
        <v>85.181241338079701</v>
      </c>
      <c r="H63">
        <v>61.653543135654537</v>
      </c>
      <c r="I63">
        <v>85.991092482694668</v>
      </c>
      <c r="J63">
        <v>85.666559573239098</v>
      </c>
      <c r="K63">
        <v>0.88609742064276997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-2.2975332135961799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85.678281294282669</v>
      </c>
      <c r="C64">
        <v>81.837360428615668</v>
      </c>
      <c r="D64">
        <v>94.827624968608006</v>
      </c>
      <c r="E64">
        <v>83.009859613207013</v>
      </c>
      <c r="F64">
        <v>87.992384312643665</v>
      </c>
      <c r="G64">
        <v>87.197952910134589</v>
      </c>
      <c r="H64">
        <v>62.259316224609904</v>
      </c>
      <c r="I64">
        <v>82.010220657867706</v>
      </c>
      <c r="J64">
        <v>85.741687864435804</v>
      </c>
      <c r="K64">
        <v>0.89017851329583897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-3.88840772529529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86.159784095304005</v>
      </c>
      <c r="C65">
        <v>82.2709431596234</v>
      </c>
      <c r="D65">
        <v>95.654936057719212</v>
      </c>
      <c r="E65">
        <v>83.220861157293029</v>
      </c>
      <c r="F65">
        <v>88.308925131219851</v>
      </c>
      <c r="G65">
        <v>87.210677643407379</v>
      </c>
      <c r="H65">
        <v>62.31096308694373</v>
      </c>
      <c r="I65">
        <v>82.03638978222537</v>
      </c>
      <c r="J65">
        <v>86.202173205789705</v>
      </c>
      <c r="K65">
        <v>0.87062191557632695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-4.0055228293998999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86.923591373978397</v>
      </c>
      <c r="C66">
        <v>82.818978592840125</v>
      </c>
      <c r="D66">
        <v>96.748859231159727</v>
      </c>
      <c r="E66">
        <v>83.273957223162597</v>
      </c>
      <c r="F66">
        <v>87.7732568773162</v>
      </c>
      <c r="G66">
        <v>88.565654629115826</v>
      </c>
      <c r="H66">
        <v>63.382789939483835</v>
      </c>
      <c r="I66">
        <v>84.438222488639497</v>
      </c>
      <c r="J66">
        <v>86.919147045181106</v>
      </c>
      <c r="K66">
        <v>0.86672344747487295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-4.0528499195683798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87.53404456352898</v>
      </c>
      <c r="C67">
        <v>83.410482151217096</v>
      </c>
      <c r="D67">
        <v>97.120889723712025</v>
      </c>
      <c r="E67">
        <v>83.844234585821766</v>
      </c>
      <c r="F67">
        <v>88.325907439732433</v>
      </c>
      <c r="G67">
        <v>89.287867083831159</v>
      </c>
      <c r="H67">
        <v>64.125616920584903</v>
      </c>
      <c r="I67">
        <v>86.397375816362299</v>
      </c>
      <c r="J67">
        <v>87.470450078419603</v>
      </c>
      <c r="K67">
        <v>0.88236761145682796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-4.2009130634097103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88.432162601276332</v>
      </c>
      <c r="C68">
        <v>84.379836918805864</v>
      </c>
      <c r="D68">
        <v>97.462490287140213</v>
      </c>
      <c r="E68">
        <v>85.139205060615453</v>
      </c>
      <c r="F68">
        <v>89.453890473340905</v>
      </c>
      <c r="G68">
        <v>89.55948823431423</v>
      </c>
      <c r="H68">
        <v>66.656160423850864</v>
      </c>
      <c r="I68">
        <v>87.699435001245618</v>
      </c>
      <c r="J68">
        <v>88.507626173263503</v>
      </c>
      <c r="K68">
        <v>0.89043346508735799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-3.9185325981327699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89.149850699789127</v>
      </c>
      <c r="C69">
        <v>85.197672347852105</v>
      </c>
      <c r="D69">
        <v>97.794865156204551</v>
      </c>
      <c r="E69">
        <v>85.883705221273374</v>
      </c>
      <c r="F69">
        <v>90.264508073830555</v>
      </c>
      <c r="G69">
        <v>90.181220202083423</v>
      </c>
      <c r="H69">
        <v>67.322784760347801</v>
      </c>
      <c r="I69">
        <v>88.993374291487427</v>
      </c>
      <c r="J69">
        <v>89.188476318852295</v>
      </c>
      <c r="K69">
        <v>0.90430036080331599</v>
      </c>
      <c r="L69">
        <v>79.899689230769198</v>
      </c>
      <c r="M69" s="15">
        <f>+'[3]VAR expectations'!C93</f>
        <v>2.6505886564059562</v>
      </c>
      <c r="N69">
        <v>0.580318036056505</v>
      </c>
      <c r="O69">
        <v>0.158164675972188</v>
      </c>
      <c r="P69">
        <v>-3.1723100549145902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89.637348652909338</v>
      </c>
      <c r="C70">
        <v>85.933700172179968</v>
      </c>
      <c r="D70">
        <v>97.975065281214782</v>
      </c>
      <c r="E70">
        <v>86.951848487957861</v>
      </c>
      <c r="F70">
        <v>91.446251835429464</v>
      </c>
      <c r="G70">
        <v>90.863381065682063</v>
      </c>
      <c r="H70">
        <v>68.001559870809714</v>
      </c>
      <c r="I70">
        <v>88.087482055131332</v>
      </c>
      <c r="J70">
        <v>89.624038283391101</v>
      </c>
      <c r="K70">
        <v>0.90164406265091901</v>
      </c>
      <c r="L70">
        <v>81.7654454545455</v>
      </c>
      <c r="M70" s="15">
        <f>+'[3]VAR expectations'!C94</f>
        <v>2.8352346264846378</v>
      </c>
      <c r="N70">
        <v>0.26076684740058298</v>
      </c>
      <c r="O70">
        <v>-0.12701395323713599</v>
      </c>
      <c r="P70">
        <v>-2.7290281558330398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90.489735822661601</v>
      </c>
      <c r="C71">
        <v>86.591527699255394</v>
      </c>
      <c r="D71">
        <v>98.369295966778921</v>
      </c>
      <c r="E71">
        <v>88.591669706458859</v>
      </c>
      <c r="F71">
        <v>93.134608277041423</v>
      </c>
      <c r="G71">
        <v>92.782204134933252</v>
      </c>
      <c r="H71">
        <v>69.334161391055275</v>
      </c>
      <c r="I71">
        <v>90.420091640141365</v>
      </c>
      <c r="J71">
        <v>90.418410445790698</v>
      </c>
      <c r="K71">
        <v>0.92051248220941195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-2.6316096694881299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92.029525461065987</v>
      </c>
      <c r="C72">
        <v>87.912900360996275</v>
      </c>
      <c r="D72">
        <v>99.170296456402468</v>
      </c>
      <c r="E72">
        <v>90.012390572935033</v>
      </c>
      <c r="F72">
        <v>94.438458895608463</v>
      </c>
      <c r="G72">
        <v>93.157881204978523</v>
      </c>
      <c r="H72">
        <v>71.802054997295102</v>
      </c>
      <c r="I72">
        <v>95.633497852769494</v>
      </c>
      <c r="J72">
        <v>92.105504570434206</v>
      </c>
      <c r="K72">
        <v>0.94027465380459296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-2.66505358479795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93.071229743232962</v>
      </c>
      <c r="C73">
        <v>89.053965749205346</v>
      </c>
      <c r="D73">
        <v>99.26924371789157</v>
      </c>
      <c r="E73">
        <v>91.677964917632792</v>
      </c>
      <c r="F73">
        <v>95.451424646092008</v>
      </c>
      <c r="G73">
        <v>96.631553192302931</v>
      </c>
      <c r="H73">
        <v>74.990930859190499</v>
      </c>
      <c r="I73">
        <v>98.193884812817643</v>
      </c>
      <c r="J73">
        <v>93.102806573713906</v>
      </c>
      <c r="K73">
        <v>0.96291109323575397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-3.6943200198603998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93.883380666481301</v>
      </c>
      <c r="C74">
        <v>89.713055230047004</v>
      </c>
      <c r="D74">
        <v>99.55743455106996</v>
      </c>
      <c r="E74">
        <v>93.237257028611566</v>
      </c>
      <c r="F74">
        <v>97.154983915392222</v>
      </c>
      <c r="G74">
        <v>97.117757870461972</v>
      </c>
      <c r="H74">
        <v>76.509670989658431</v>
      </c>
      <c r="I74">
        <v>100.16045871424016</v>
      </c>
      <c r="J74">
        <v>93.863992332250007</v>
      </c>
      <c r="K74">
        <v>0.97514867270814498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-3.8120293220679602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94.672850357895427</v>
      </c>
      <c r="C75">
        <v>90.273107186477134</v>
      </c>
      <c r="D75">
        <v>99.989187159508234</v>
      </c>
      <c r="E75">
        <v>93.532429297949633</v>
      </c>
      <c r="F75">
        <v>97.130994590179071</v>
      </c>
      <c r="G75">
        <v>97.517212535687904</v>
      </c>
      <c r="H75">
        <v>77.8766663459201</v>
      </c>
      <c r="I75">
        <v>104.67340930475234</v>
      </c>
      <c r="J75">
        <v>94.6061001881842</v>
      </c>
      <c r="K75">
        <v>0.96431666172078601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-3.7258453786213002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95.222170359356269</v>
      </c>
      <c r="C76">
        <v>90.990309255040358</v>
      </c>
      <c r="D76">
        <v>100.26855005350068</v>
      </c>
      <c r="E76">
        <v>94.339792189231972</v>
      </c>
      <c r="F76">
        <v>98.059607131778876</v>
      </c>
      <c r="G76">
        <v>98.455332127085526</v>
      </c>
      <c r="H76">
        <v>78.297780412978668</v>
      </c>
      <c r="I76">
        <v>104.58863845021399</v>
      </c>
      <c r="J76">
        <v>95.290774478416694</v>
      </c>
      <c r="K76">
        <v>0.95839838847082204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-3.43778830594704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95.661283945376624</v>
      </c>
      <c r="C77">
        <v>91.8747952243654</v>
      </c>
      <c r="D77">
        <v>99.99290889094307</v>
      </c>
      <c r="E77">
        <v>95.203036386099186</v>
      </c>
      <c r="F77">
        <v>98.600132953865739</v>
      </c>
      <c r="G77">
        <v>98.3449229844624</v>
      </c>
      <c r="H77">
        <v>80.928807863877708</v>
      </c>
      <c r="I77">
        <v>104.38447594680599</v>
      </c>
      <c r="J77">
        <v>95.686198481203903</v>
      </c>
      <c r="K77">
        <v>0.94954262283707802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-4.3636593431138598E-2</v>
      </c>
      <c r="P77">
        <v>-2.9927688696174499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96.158696712816734</v>
      </c>
      <c r="C78">
        <v>92.663680207327204</v>
      </c>
      <c r="D78">
        <v>100.06944890541196</v>
      </c>
      <c r="E78">
        <v>96.120002553203179</v>
      </c>
      <c r="F78">
        <v>99.22606742204006</v>
      </c>
      <c r="G78">
        <v>98.889185167079972</v>
      </c>
      <c r="H78">
        <v>82.976605246314264</v>
      </c>
      <c r="I78">
        <v>103.68391187019768</v>
      </c>
      <c r="J78">
        <v>96.141816594026395</v>
      </c>
      <c r="K78">
        <v>0.94272604818640604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-2.54145137364966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97.163088379666803</v>
      </c>
      <c r="C79">
        <v>93.826085960738666</v>
      </c>
      <c r="D79">
        <v>100.416001188941</v>
      </c>
      <c r="E79">
        <v>97.577209036124259</v>
      </c>
      <c r="F79">
        <v>100.72036215904234</v>
      </c>
      <c r="G79">
        <v>99.479583189683254</v>
      </c>
      <c r="H79">
        <v>84.635108686675906</v>
      </c>
      <c r="I79">
        <v>105.58545227087234</v>
      </c>
      <c r="J79">
        <v>97.1173346081152</v>
      </c>
      <c r="K79">
        <v>0.94745998210065296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-2.57651501674182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97.879522326528729</v>
      </c>
      <c r="C80">
        <v>94.497343433818301</v>
      </c>
      <c r="D80">
        <v>100.254866194992</v>
      </c>
      <c r="E80">
        <v>98.933189436544339</v>
      </c>
      <c r="F80">
        <v>101.83125866894467</v>
      </c>
      <c r="G80">
        <v>101.77762256385834</v>
      </c>
      <c r="H80">
        <v>85.719823296307723</v>
      </c>
      <c r="I80">
        <v>108.31149802499233</v>
      </c>
      <c r="J80">
        <v>97.930087055315198</v>
      </c>
      <c r="K80">
        <v>0.97023785165636001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-2.84207261026839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98.250598125558227</v>
      </c>
      <c r="C81">
        <v>95.046873378401003</v>
      </c>
      <c r="D81">
        <v>100.27978419012334</v>
      </c>
      <c r="E81">
        <v>99.859675922932936</v>
      </c>
      <c r="F81">
        <v>102.754996833287</v>
      </c>
      <c r="G81">
        <v>101.83633140566866</v>
      </c>
      <c r="H81">
        <v>87.210962268163826</v>
      </c>
      <c r="I81">
        <v>107.83195658379167</v>
      </c>
      <c r="J81">
        <v>98.268161146453295</v>
      </c>
      <c r="K81">
        <v>0.96256560843280603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-2.8344589558679498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98.751859878824632</v>
      </c>
      <c r="C82">
        <v>95.573666003343149</v>
      </c>
      <c r="D82">
        <v>100.44636906317699</v>
      </c>
      <c r="E82">
        <v>100.64151839520832</v>
      </c>
      <c r="F82">
        <v>103.29668583169799</v>
      </c>
      <c r="G82">
        <v>102.71403271371734</v>
      </c>
      <c r="H82">
        <v>88.583393827113653</v>
      </c>
      <c r="I82">
        <v>108.30885170383634</v>
      </c>
      <c r="J82">
        <v>98.739542052290503</v>
      </c>
      <c r="K82">
        <v>0.96206944931195104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-1.9742831924606901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99.167075748828367</v>
      </c>
      <c r="C83">
        <v>96.22659511251436</v>
      </c>
      <c r="D83">
        <v>100.78375518511068</v>
      </c>
      <c r="E83">
        <v>101.17455642939301</v>
      </c>
      <c r="F83">
        <v>103.58085283653634</v>
      </c>
      <c r="G83">
        <v>102.56859880827899</v>
      </c>
      <c r="H83">
        <v>90.446590735030739</v>
      </c>
      <c r="I83">
        <v>107.92724459866967</v>
      </c>
      <c r="J83">
        <v>99.144424776629407</v>
      </c>
      <c r="K83">
        <v>0.94258053628921501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-2.1932674851888301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99.617192051878149</v>
      </c>
      <c r="C84">
        <v>96.761826873697217</v>
      </c>
      <c r="D84">
        <v>100.741244053537</v>
      </c>
      <c r="E84">
        <v>101.51249070807633</v>
      </c>
      <c r="F84">
        <v>103.69955351273602</v>
      </c>
      <c r="G84">
        <v>102.60398740298501</v>
      </c>
      <c r="H84">
        <v>91.971344535143359</v>
      </c>
      <c r="I84">
        <v>109.70607343997767</v>
      </c>
      <c r="J84">
        <v>99.647969450142895</v>
      </c>
      <c r="K84">
        <v>0.93182089201251195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-1.8826407457668499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99.964940351569496</v>
      </c>
      <c r="C85">
        <v>97.448015889666408</v>
      </c>
      <c r="D85">
        <v>101.19553348989901</v>
      </c>
      <c r="E85">
        <v>101.10271528335534</v>
      </c>
      <c r="F85">
        <v>102.71207517015034</v>
      </c>
      <c r="G85">
        <v>102.60684470981499</v>
      </c>
      <c r="H85">
        <v>93.614344125268573</v>
      </c>
      <c r="I85">
        <v>108.99813118941633</v>
      </c>
      <c r="J85">
        <v>99.974713038333604</v>
      </c>
      <c r="K85">
        <v>0.927597513784438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-1.3812830361864601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100.15596410229632</v>
      </c>
      <c r="C86">
        <v>97.960806681548206</v>
      </c>
      <c r="D86">
        <v>101.00940341694434</v>
      </c>
      <c r="E86">
        <v>101.20002162804967</v>
      </c>
      <c r="F86">
        <v>102.32962147029501</v>
      </c>
      <c r="G86">
        <v>102.08059878005467</v>
      </c>
      <c r="H86">
        <v>95.728534844834812</v>
      </c>
      <c r="I86">
        <v>108.446004556137</v>
      </c>
      <c r="J86">
        <v>100.14993287614899</v>
      </c>
      <c r="K86">
        <v>0.91380337397532896</v>
      </c>
      <c r="L86">
        <v>88.037404545454606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-1.3362078413907901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100.0725133847756</v>
      </c>
      <c r="C87">
        <v>98.540565083881305</v>
      </c>
      <c r="D87">
        <v>100.49861020883634</v>
      </c>
      <c r="E87">
        <v>101.349562313915</v>
      </c>
      <c r="F87">
        <v>101.90267979505633</v>
      </c>
      <c r="G87">
        <v>102.87837092559668</v>
      </c>
      <c r="H87">
        <v>97.582931781400177</v>
      </c>
      <c r="I87">
        <v>105.706848385878</v>
      </c>
      <c r="J87">
        <v>100.064882620338</v>
      </c>
      <c r="K87">
        <v>0.90235442226227003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-1.25002526229075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99.75669578833886</v>
      </c>
      <c r="C88">
        <v>99.111370668421543</v>
      </c>
      <c r="D88">
        <v>100.21630242231117</v>
      </c>
      <c r="E88">
        <v>100.36798900488634</v>
      </c>
      <c r="F88">
        <v>100.68651222373933</v>
      </c>
      <c r="G88">
        <v>100.86657552972765</v>
      </c>
      <c r="H88">
        <v>98.715563854862623</v>
      </c>
      <c r="I88">
        <v>100.83054059177634</v>
      </c>
      <c r="J88">
        <v>99.773575286175102</v>
      </c>
      <c r="K88">
        <v>0.879156463272737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-1.3073327594369699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99.961840416617932</v>
      </c>
      <c r="C89">
        <v>99.577377623842366</v>
      </c>
      <c r="D89">
        <v>100.00526458376571</v>
      </c>
      <c r="E89">
        <v>100.17245103849967</v>
      </c>
      <c r="F89">
        <v>100.35603317736134</v>
      </c>
      <c r="G89">
        <v>100.54300655789366</v>
      </c>
      <c r="H89">
        <v>99.288306542289618</v>
      </c>
      <c r="I89">
        <v>101.88399570751399</v>
      </c>
      <c r="J89">
        <v>99.967410688842193</v>
      </c>
      <c r="K89">
        <v>0.87356170393940802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-1.46470023983966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100.12936755913933</v>
      </c>
      <c r="C90">
        <v>100.26487290668234</v>
      </c>
      <c r="D90">
        <v>100.00276690001347</v>
      </c>
      <c r="E90">
        <v>99.895771041737405</v>
      </c>
      <c r="F90">
        <v>99.795481433306506</v>
      </c>
      <c r="G90">
        <v>99.804626724204127</v>
      </c>
      <c r="H90">
        <v>100.32786550433866</v>
      </c>
      <c r="I90">
        <v>99.958227872385677</v>
      </c>
      <c r="J90">
        <v>100.12866041734</v>
      </c>
      <c r="K90">
        <v>0.86173464689884904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-1.2747421779619901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100.13203734123965</v>
      </c>
      <c r="C91">
        <v>101.03333506686367</v>
      </c>
      <c r="D91">
        <v>99.774414197498587</v>
      </c>
      <c r="E91">
        <v>99.559091475608867</v>
      </c>
      <c r="F91">
        <v>99.150567149257498</v>
      </c>
      <c r="G91">
        <v>98.665286655097532</v>
      </c>
      <c r="H91">
        <v>101.74989857865268</v>
      </c>
      <c r="I91">
        <v>97.164161855386837</v>
      </c>
      <c r="J91">
        <v>100.13035360764199</v>
      </c>
      <c r="K91">
        <v>0.85051561411988097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-0.81574917746284004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100.13428995452632</v>
      </c>
      <c r="C92">
        <v>101.63135630698332</v>
      </c>
      <c r="D92">
        <v>99.608802336184638</v>
      </c>
      <c r="E92">
        <v>98.871353792097125</v>
      </c>
      <c r="F92">
        <v>98.165019275770661</v>
      </c>
      <c r="G92">
        <v>97.543852890433428</v>
      </c>
      <c r="H92">
        <v>102.86976137646667</v>
      </c>
      <c r="I92">
        <v>95.367573086533071</v>
      </c>
      <c r="J92">
        <v>100.145116386051</v>
      </c>
      <c r="K92">
        <v>0.86732844676200305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-0.670885059976979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100.31945932133733</v>
      </c>
      <c r="C93">
        <v>102.17378757576067</v>
      </c>
      <c r="D93">
        <v>99.216764016244397</v>
      </c>
      <c r="E93">
        <v>98.485882501084362</v>
      </c>
      <c r="F93">
        <v>97.581029468361805</v>
      </c>
      <c r="G93">
        <v>96.320341361919532</v>
      </c>
      <c r="H93">
        <v>104.01754143741466</v>
      </c>
      <c r="I93">
        <v>96.851401384245605</v>
      </c>
      <c r="J93">
        <v>100.324004699702</v>
      </c>
      <c r="K93">
        <v>0.88832069273605996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-0.95230901048582905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100.82422606044234</v>
      </c>
      <c r="C94">
        <v>102.98388106827967</v>
      </c>
      <c r="D94">
        <v>99.172338094160068</v>
      </c>
      <c r="E94">
        <v>98.707336155826283</v>
      </c>
      <c r="F94">
        <v>97.439882092273493</v>
      </c>
      <c r="G94">
        <v>96.300000906433638</v>
      </c>
      <c r="H94">
        <v>105.93782342560233</v>
      </c>
      <c r="I94">
        <v>97.780224041938638</v>
      </c>
      <c r="J94">
        <v>100.825296714206</v>
      </c>
      <c r="K94">
        <v>0.92692338631061999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-0.74176939552118804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101.35131905772801</v>
      </c>
      <c r="C95">
        <v>103.42371297764834</v>
      </c>
      <c r="D95">
        <v>99.730462954052086</v>
      </c>
      <c r="E95">
        <v>98.872082349784833</v>
      </c>
      <c r="F95">
        <v>97.338322412229175</v>
      </c>
      <c r="G95">
        <v>97.006273489734539</v>
      </c>
      <c r="H95">
        <v>106.75670826479167</v>
      </c>
      <c r="I95">
        <v>100.0057981810412</v>
      </c>
      <c r="J95">
        <v>101.351167734162</v>
      </c>
      <c r="K95">
        <v>0.94887071570687698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-0.67478306722583303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102.29086753277033</v>
      </c>
      <c r="C96">
        <v>104.16627837764065</v>
      </c>
      <c r="D96">
        <v>100.32473803265312</v>
      </c>
      <c r="E96">
        <v>100.01506184643632</v>
      </c>
      <c r="F96">
        <v>98.469993563160259</v>
      </c>
      <c r="G96">
        <v>97.892151058033491</v>
      </c>
      <c r="H96">
        <v>108.38997066246033</v>
      </c>
      <c r="I96">
        <v>103.559375196739</v>
      </c>
      <c r="J96">
        <v>102.29941851833701</v>
      </c>
      <c r="K96">
        <v>0.95975734376722899</v>
      </c>
      <c r="L96">
        <v>77.053801538461499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-0.56431528803061204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103.07982106237667</v>
      </c>
      <c r="C97">
        <v>105.06476968050866</v>
      </c>
      <c r="D97">
        <v>101.16814181044401</v>
      </c>
      <c r="E97">
        <v>101.23520616124169</v>
      </c>
      <c r="F97">
        <v>99.494450154121253</v>
      </c>
      <c r="G97">
        <v>99.078785814095795</v>
      </c>
      <c r="H97">
        <v>110.41570061341234</v>
      </c>
      <c r="I97">
        <v>102.41138414141733</v>
      </c>
      <c r="J97">
        <v>103.086784757864</v>
      </c>
      <c r="K97">
        <v>0.95666894109003098</v>
      </c>
      <c r="L97">
        <v>77.968176923076896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-0.63519953449580302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103.64225860022667</v>
      </c>
      <c r="C98">
        <v>105.72001863251268</v>
      </c>
      <c r="D98">
        <v>101.61595732824367</v>
      </c>
      <c r="E98">
        <v>101.81846420387832</v>
      </c>
      <c r="F98">
        <v>99.909141825573329</v>
      </c>
      <c r="G98">
        <v>99.593254921775952</v>
      </c>
      <c r="H98">
        <v>111.82223684281701</v>
      </c>
      <c r="I98">
        <v>102.43140597633766</v>
      </c>
      <c r="J98">
        <v>103.64198295052699</v>
      </c>
      <c r="K98">
        <v>0.96487328890229496</v>
      </c>
      <c r="L98">
        <v>76.548027692307699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-0.80360708479073395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104.42372551845199</v>
      </c>
      <c r="C99">
        <v>106.223730696283</v>
      </c>
      <c r="D99">
        <v>102.24143704351268</v>
      </c>
      <c r="E99">
        <v>103.07722425869265</v>
      </c>
      <c r="F99">
        <v>101.25425521436865</v>
      </c>
      <c r="G99">
        <v>99.756496581096982</v>
      </c>
      <c r="H99">
        <v>113.50357677666598</v>
      </c>
      <c r="I99">
        <v>105.16529919384901</v>
      </c>
      <c r="J99">
        <v>104.42361242526501</v>
      </c>
      <c r="K99">
        <v>0.97202853167585701</v>
      </c>
      <c r="L99">
        <v>77.708216923076904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-0.83009864733065897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105.07748678632032</v>
      </c>
      <c r="C100">
        <v>106.843088658572</v>
      </c>
      <c r="D100">
        <v>102.60474774103402</v>
      </c>
      <c r="E100">
        <v>103.737449767812</v>
      </c>
      <c r="F100">
        <v>101.67576548556701</v>
      </c>
      <c r="G100">
        <v>99.922658405300822</v>
      </c>
      <c r="H100">
        <v>116.02054904270267</v>
      </c>
      <c r="I100">
        <v>107.59073497780734</v>
      </c>
      <c r="J100">
        <v>105.084794470056</v>
      </c>
      <c r="K100">
        <v>0.97046459354821502</v>
      </c>
      <c r="L100">
        <v>79.035181538461501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-0.90531947100805399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105.56904783970735</v>
      </c>
      <c r="C101">
        <v>107.41840751335</v>
      </c>
      <c r="D101">
        <v>102.916574444131</v>
      </c>
      <c r="E101">
        <v>104.06748200124832</v>
      </c>
      <c r="F101">
        <v>101.77679165136634</v>
      </c>
      <c r="G101">
        <v>99.724366077732455</v>
      </c>
      <c r="H101">
        <v>118.06261642427633</v>
      </c>
      <c r="I101">
        <v>108.69843102558535</v>
      </c>
      <c r="J101">
        <v>105.579752252498</v>
      </c>
      <c r="K101">
        <v>0.97775086229782204</v>
      </c>
      <c r="L101">
        <v>79.101630769230795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-0.74790025723690201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106.238653902683</v>
      </c>
      <c r="C102">
        <v>108.26967726373432</v>
      </c>
      <c r="D102">
        <v>102.849305193251</v>
      </c>
      <c r="E102">
        <v>104.47575387867168</v>
      </c>
      <c r="F102">
        <v>101.96706314746866</v>
      </c>
      <c r="G102">
        <v>99.959845338499505</v>
      </c>
      <c r="H102">
        <v>119.75615893300601</v>
      </c>
      <c r="I102">
        <v>111.70975102856166</v>
      </c>
      <c r="J102">
        <v>106.23646614056</v>
      </c>
      <c r="K102">
        <v>1.0014348035123899</v>
      </c>
      <c r="L102">
        <v>77.806373846153804</v>
      </c>
      <c r="M102" s="15">
        <f>+'[3]VAR expectations'!C126</f>
        <v>2.6759360893479318</v>
      </c>
      <c r="N102">
        <v>0.59026787322204299</v>
      </c>
      <c r="O102">
        <v>0.21968415645398701</v>
      </c>
      <c r="P102">
        <v>-0.56254020880290001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106.79592689705733</v>
      </c>
      <c r="C103">
        <v>108.84540764938799</v>
      </c>
      <c r="D103">
        <v>103.18664497677366</v>
      </c>
      <c r="E103">
        <v>104.959569924123</v>
      </c>
      <c r="F103">
        <v>101.95812877066567</v>
      </c>
      <c r="G103">
        <v>100.27324545366467</v>
      </c>
      <c r="H103">
        <v>122.70749013337065</v>
      </c>
      <c r="I103">
        <v>114.00989854196933</v>
      </c>
      <c r="J103">
        <v>106.79579544321101</v>
      </c>
      <c r="K103">
        <v>1.0004551898737399</v>
      </c>
      <c r="L103">
        <v>77.834784848484802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-0.54888891775288096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107.06963170353534</v>
      </c>
      <c r="C104">
        <v>109.49877051354333</v>
      </c>
      <c r="D104">
        <v>103.549553211893</v>
      </c>
      <c r="E104">
        <v>105.88245066458133</v>
      </c>
      <c r="F104">
        <v>102.66217235703699</v>
      </c>
      <c r="G104">
        <v>100.90395066736134</v>
      </c>
      <c r="H104">
        <v>125.220193246378</v>
      </c>
      <c r="I104">
        <v>109.35353765140967</v>
      </c>
      <c r="J104">
        <v>107.074826493111</v>
      </c>
      <c r="K104">
        <v>0.98645832508234599</v>
      </c>
      <c r="L104">
        <v>78.723593750000006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-0.12737372541283701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107.70873500723501</v>
      </c>
      <c r="C105">
        <v>110.25911097902834</v>
      </c>
      <c r="D105">
        <v>103.32290395566066</v>
      </c>
      <c r="E105">
        <v>105.96461918118401</v>
      </c>
      <c r="F105">
        <v>102.910770017289</v>
      </c>
      <c r="G105">
        <v>100.39871517230266</v>
      </c>
      <c r="H105">
        <v>125.29736963818334</v>
      </c>
      <c r="I105">
        <v>115.31741206950134</v>
      </c>
      <c r="J105">
        <v>107.72359048542801</v>
      </c>
      <c r="K105">
        <v>0.98568882235463595</v>
      </c>
      <c r="L105">
        <v>78.452740000000006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-0.56532865943801702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108.183415582419</v>
      </c>
      <c r="C106">
        <v>110.90364119470065</v>
      </c>
      <c r="D106">
        <v>103.48763894852566</v>
      </c>
      <c r="E106">
        <v>106.69829172074367</v>
      </c>
      <c r="F106">
        <v>103.61972829630299</v>
      </c>
      <c r="G106">
        <v>100.89567404307934</v>
      </c>
      <c r="H106">
        <v>126.24871635494701</v>
      </c>
      <c r="I106">
        <v>114.80809167944034</v>
      </c>
      <c r="J106">
        <v>108.17989353768399</v>
      </c>
      <c r="K106">
        <v>1.02123728142292</v>
      </c>
      <c r="L106">
        <v>75.792527272727298</v>
      </c>
      <c r="M106" s="15">
        <f>+'[3]VAR expectations'!C130</f>
        <v>2.9781745842670815</v>
      </c>
      <c r="N106">
        <v>0.17462163035891701</v>
      </c>
      <c r="O106">
        <v>-8.21163442679727E-3</v>
      </c>
      <c r="P106">
        <v>-0.44907607470031002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108.29960146287</v>
      </c>
      <c r="C107">
        <v>111.40558722777367</v>
      </c>
      <c r="D107">
        <v>103.64406686729001</v>
      </c>
      <c r="E107">
        <v>106.91008832236435</v>
      </c>
      <c r="F107">
        <v>103.69699420905734</v>
      </c>
      <c r="G107">
        <v>101.57515400677801</v>
      </c>
      <c r="H107">
        <v>126.29278673767834</v>
      </c>
      <c r="I107">
        <v>112.14036963167433</v>
      </c>
      <c r="J107">
        <v>108.299666923323</v>
      </c>
      <c r="K107">
        <v>1.00836100620983</v>
      </c>
      <c r="L107">
        <v>79.401087878787905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-0.54951317045913195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108.91074133852401</v>
      </c>
      <c r="C108">
        <v>112.19193236969734</v>
      </c>
      <c r="D108">
        <v>103.990784343798</v>
      </c>
      <c r="E108">
        <v>107.28413483372132</v>
      </c>
      <c r="F108">
        <v>104.05132148896267</v>
      </c>
      <c r="G108">
        <v>101.88412479655365</v>
      </c>
      <c r="H108">
        <v>126.69378492950834</v>
      </c>
      <c r="I108">
        <v>112.91662880404233</v>
      </c>
      <c r="J108">
        <v>108.913436130604</v>
      </c>
      <c r="K108">
        <v>0.98921837596373596</v>
      </c>
      <c r="L108">
        <v>79.228903076923103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-0.62816482275602004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108.31584855476633</v>
      </c>
      <c r="C109">
        <v>112.34356582230966</v>
      </c>
      <c r="D109">
        <v>103.81155692505934</v>
      </c>
      <c r="E109">
        <v>107.75077461370967</v>
      </c>
      <c r="F109">
        <v>104.358938251959</v>
      </c>
      <c r="G109">
        <v>102.46019996259167</v>
      </c>
      <c r="H109">
        <v>128.63137487289399</v>
      </c>
      <c r="I109">
        <v>102.56601574482401</v>
      </c>
      <c r="J109">
        <v>108.332975417702</v>
      </c>
      <c r="K109">
        <v>0.97634496414970795</v>
      </c>
      <c r="L109">
        <v>77.412344615384598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-2.7952897707954798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108.83158104175334</v>
      </c>
      <c r="C110">
        <v>112.482622824746</v>
      </c>
      <c r="D110">
        <v>104.62583896397967</v>
      </c>
      <c r="E110">
        <v>107.63711345015599</v>
      </c>
      <c r="F110">
        <v>103.955519449294</v>
      </c>
      <c r="G110">
        <v>101.74487055321333</v>
      </c>
      <c r="H110">
        <v>130.600978306309</v>
      </c>
      <c r="I110">
        <v>104.87171077326367</v>
      </c>
      <c r="J110">
        <v>108.828633352718</v>
      </c>
      <c r="K110">
        <v>0.97883095395886899</v>
      </c>
      <c r="L110">
        <v>77.453536363636402</v>
      </c>
      <c r="M110" s="15">
        <f>+'[3]VAR expectations'!C134</f>
        <v>3.1319434989789481</v>
      </c>
      <c r="N110">
        <v>-0.57563884899936602</v>
      </c>
      <c r="O110">
        <v>0.118900887754049</v>
      </c>
      <c r="P110">
        <v>-1.96856481239939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108.87406437420033</v>
      </c>
      <c r="C111">
        <v>112.97912872164933</v>
      </c>
      <c r="D111">
        <v>104.88166449328266</v>
      </c>
      <c r="E111">
        <v>107.28703727278901</v>
      </c>
      <c r="F111">
        <v>103.18786561887134</v>
      </c>
      <c r="G111">
        <v>101.93979464447533</v>
      </c>
      <c r="H111">
        <v>131.87918050594433</v>
      </c>
      <c r="I111">
        <v>102.11274610364266</v>
      </c>
      <c r="J111">
        <v>108.873892576636</v>
      </c>
      <c r="K111">
        <v>1.0012800496960601</v>
      </c>
      <c r="L111">
        <v>77.966816666666702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-1.68883356804434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109.638563137411</v>
      </c>
      <c r="C112">
        <v>113.986890573639</v>
      </c>
      <c r="D112">
        <v>104.75311975756</v>
      </c>
      <c r="E112">
        <v>107.50120371669999</v>
      </c>
      <c r="F112">
        <v>103.163821173847</v>
      </c>
      <c r="G112">
        <v>102.22351124654067</v>
      </c>
      <c r="H112">
        <v>133.21229004841399</v>
      </c>
      <c r="I112">
        <v>106.40145738614734</v>
      </c>
      <c r="J112">
        <v>109.638493966936</v>
      </c>
      <c r="K112">
        <v>1.0066611537263499</v>
      </c>
      <c r="L112">
        <v>80.482731250000001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-0.91089864564636602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110.46878763429334</v>
      </c>
      <c r="C113">
        <v>114.41436409519933</v>
      </c>
      <c r="D113">
        <v>105.85718174055</v>
      </c>
      <c r="E113">
        <v>107.77653425733433</v>
      </c>
      <c r="F113">
        <v>103.556377004987</v>
      </c>
      <c r="G113">
        <v>103.35164700737766</v>
      </c>
      <c r="H113">
        <v>132.49097091133663</v>
      </c>
      <c r="I113">
        <v>111.55816396534168</v>
      </c>
      <c r="J113">
        <v>110.486444850841</v>
      </c>
      <c r="K113">
        <v>1.0023594354094001</v>
      </c>
      <c r="L113">
        <v>81.786427692307697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0.12710054656986899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111.851510693854</v>
      </c>
      <c r="C114">
        <v>115.20761030107268</v>
      </c>
      <c r="D114">
        <v>107.75527064895833</v>
      </c>
      <c r="E114">
        <v>108.41479769274001</v>
      </c>
      <c r="F114">
        <v>104.090708034778</v>
      </c>
      <c r="G114">
        <v>103.32860570887134</v>
      </c>
      <c r="H114">
        <v>134.05573179356233</v>
      </c>
      <c r="I114">
        <v>115.10743709623567</v>
      </c>
      <c r="J114">
        <v>111.849655245736</v>
      </c>
      <c r="K114">
        <v>1.0314278958522201</v>
      </c>
      <c r="L114">
        <v>81.769348484848507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0.25815461403176698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114.21938808180367</v>
      </c>
      <c r="C115">
        <v>116.69459573744767</v>
      </c>
      <c r="D115">
        <v>109.66335213211367</v>
      </c>
      <c r="E115">
        <v>110.364936268856</v>
      </c>
      <c r="F115">
        <v>105.90693910924966</v>
      </c>
      <c r="G115">
        <v>104.11607008852133</v>
      </c>
      <c r="H115">
        <v>138.22207134594802</v>
      </c>
      <c r="I115">
        <v>126.96939618736201</v>
      </c>
      <c r="J115">
        <v>114.21997914714299</v>
      </c>
      <c r="K115">
        <v>1.0869456815638701</v>
      </c>
      <c r="L115">
        <v>81.601331818181805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0.77488342606952698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116.52503328431067</v>
      </c>
      <c r="C116">
        <v>118.11986277253699</v>
      </c>
      <c r="D116">
        <v>112.13118574804299</v>
      </c>
      <c r="E116">
        <v>112.66895696359335</v>
      </c>
      <c r="F116">
        <v>108.45961119188034</v>
      </c>
      <c r="G116">
        <v>104.08523777040701</v>
      </c>
      <c r="H116">
        <v>141.34006772986234</v>
      </c>
      <c r="I116">
        <v>132.068163226005</v>
      </c>
      <c r="J116">
        <v>116.52316685728999</v>
      </c>
      <c r="K116">
        <v>1.1275989580293799</v>
      </c>
      <c r="L116">
        <v>82.320465624997198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1.7683658117704799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120.51619559313599</v>
      </c>
      <c r="C117">
        <v>120.03613813084966</v>
      </c>
      <c r="D117">
        <v>113.43088261474367</v>
      </c>
      <c r="E117">
        <v>115.563569420796</v>
      </c>
      <c r="F117">
        <v>112.18146648249467</v>
      </c>
      <c r="G117">
        <v>104.83978289086834</v>
      </c>
      <c r="H117">
        <v>143.04484200277966</v>
      </c>
      <c r="I117">
        <v>171.54859048192336</v>
      </c>
      <c r="J117">
        <v>120.534282436504</v>
      </c>
      <c r="K117">
        <v>1.1794334174449199</v>
      </c>
      <c r="L117">
        <v>80.190636866096895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1.72308985490337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123.07206599398967</v>
      </c>
      <c r="C118">
        <v>122.04023766692035</v>
      </c>
      <c r="D118">
        <v>114.98812264284133</v>
      </c>
      <c r="E118">
        <v>120.34908742375232</v>
      </c>
      <c r="F118">
        <v>118.03168157645332</v>
      </c>
      <c r="G118">
        <v>106.27798137783468</v>
      </c>
      <c r="H118">
        <v>144.91982050330967</v>
      </c>
      <c r="I118">
        <v>177.00925985459367</v>
      </c>
      <c r="J118">
        <v>123.073319011823</v>
      </c>
      <c r="K118">
        <v>1.26246662763152</v>
      </c>
      <c r="L118">
        <v>78.205745454544996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1.4373014874391501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126.500477021278</v>
      </c>
      <c r="C119">
        <v>124.21992656692701</v>
      </c>
      <c r="D119">
        <v>116.57979245579533</v>
      </c>
      <c r="E119">
        <v>124.593995078582</v>
      </c>
      <c r="F119">
        <v>123.34776890754834</v>
      </c>
      <c r="G119">
        <v>107.99364190160001</v>
      </c>
      <c r="H119">
        <v>145.87071788732098</v>
      </c>
      <c r="I119">
        <v>197.98175791554067</v>
      </c>
      <c r="J119">
        <v>126.50215809002501</v>
      </c>
      <c r="K119">
        <v>1.2310286407533499</v>
      </c>
      <c r="L119">
        <v>78.044989230769204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1.2424486246019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128.43796183605534</v>
      </c>
      <c r="C120">
        <v>125.73004776364735</v>
      </c>
      <c r="D120">
        <v>118.52903545583833</v>
      </c>
      <c r="E120">
        <v>128.685617897208</v>
      </c>
      <c r="F120">
        <v>127.97634727992632</v>
      </c>
      <c r="G120">
        <v>110.15044431343334</v>
      </c>
      <c r="H120">
        <v>148.46487039669265</v>
      </c>
      <c r="I120">
        <v>192.93699134091966</v>
      </c>
      <c r="J120">
        <v>128.43460525798801</v>
      </c>
      <c r="K120">
        <v>1.22888824931714</v>
      </c>
      <c r="L120">
        <v>78.106201538461505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0.98520080050740699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130.60745509234098</v>
      </c>
      <c r="C121">
        <v>128.60454987096099</v>
      </c>
      <c r="D121">
        <v>120.84737721245001</v>
      </c>
      <c r="E121">
        <v>133.46223894534933</v>
      </c>
      <c r="F121">
        <v>132.58567275050032</v>
      </c>
      <c r="G121">
        <v>112.14128746531499</v>
      </c>
      <c r="H121">
        <v>159.02335454618435</v>
      </c>
      <c r="I121">
        <v>184.32987151692669</v>
      </c>
      <c r="J121">
        <v>130.62540761725401</v>
      </c>
      <c r="K121">
        <v>1.1988931736833099</v>
      </c>
      <c r="L121">
        <v>80.380332307692299</v>
      </c>
      <c r="M121" s="15">
        <f>+'[3]VAR expectations'!C145</f>
        <v>4.9659010810981856</v>
      </c>
      <c r="N121">
        <v>0.70170723997551099</v>
      </c>
      <c r="O121">
        <v>-0.231251350162267</v>
      </c>
      <c r="P121">
        <v>0.73819934249793595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131.34616864761031</v>
      </c>
      <c r="C122">
        <v>130.656212228378</v>
      </c>
      <c r="D122">
        <v>121.05264227577199</v>
      </c>
      <c r="E122">
        <v>135.43612557068266</v>
      </c>
      <c r="F122">
        <v>133.95674962040565</v>
      </c>
      <c r="G122">
        <v>115.665481840054</v>
      </c>
      <c r="H122">
        <v>162.03949903039302</v>
      </c>
      <c r="I122">
        <v>170.98593547138765</v>
      </c>
      <c r="J122">
        <v>131.34971780476999</v>
      </c>
      <c r="K122">
        <v>1.1796442942910601</v>
      </c>
      <c r="L122">
        <v>82.088566153846202</v>
      </c>
      <c r="M122" s="15">
        <f>+'[3]VAR expectations'!C146</f>
        <v>4.3007323969777262</v>
      </c>
      <c r="N122">
        <v>-0.16340187781012599</v>
      </c>
      <c r="O122">
        <v>-0.673433352934243</v>
      </c>
      <c r="P122">
        <v>0.39734712123991101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131.78123676854264</v>
      </c>
      <c r="C123">
        <v>132.16410122145399</v>
      </c>
      <c r="D123">
        <v>120.76730540993701</v>
      </c>
      <c r="E123">
        <v>136.62632478139867</v>
      </c>
      <c r="F123">
        <v>134.57587969191434</v>
      </c>
      <c r="G123">
        <v>118.10297029335699</v>
      </c>
      <c r="H123">
        <v>165.47864238499534</v>
      </c>
      <c r="I123">
        <v>165.06063717209767</v>
      </c>
      <c r="J123">
        <v>131.783583135909</v>
      </c>
      <c r="K123">
        <v>1.17038563594192</v>
      </c>
      <c r="L123">
        <v>81.078964615384606</v>
      </c>
      <c r="M123" s="15">
        <f>+'[3]VAR expectations'!C147</f>
        <v>3.8582721147576735</v>
      </c>
      <c r="N123">
        <v>-1.3678165112816401</v>
      </c>
      <c r="O123">
        <v>-0.21694556148073699</v>
      </c>
      <c r="P123">
        <v>-3.3447870989555498E-2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B124">
        <v>133.07736137889967</v>
      </c>
      <c r="C124">
        <v>133.52539574077801</v>
      </c>
      <c r="D124">
        <v>121.17018751675899</v>
      </c>
      <c r="E124">
        <v>137.73910323749365</v>
      </c>
      <c r="F124">
        <v>134.484687780179</v>
      </c>
      <c r="G124">
        <v>118.90947032081601</v>
      </c>
      <c r="H124">
        <v>172.46116385076934</v>
      </c>
      <c r="I124">
        <v>165.88312876476701</v>
      </c>
      <c r="J124">
        <v>133.07287167388799</v>
      </c>
      <c r="K124">
        <v>1.16652608623864</v>
      </c>
      <c r="L124">
        <v>82.144416103925806</v>
      </c>
      <c r="M124" s="15">
        <f>+'[3]VAR expectations'!C148</f>
        <v>3.6255376960251078</v>
      </c>
      <c r="N124">
        <v>-1.06036962271406</v>
      </c>
      <c r="O124">
        <v>4.3541846025459997E-2</v>
      </c>
      <c r="P124">
        <v>-0.18469046376689399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B125">
        <v>133.152411888025</v>
      </c>
      <c r="C125">
        <v>135.07695612921165</v>
      </c>
      <c r="D125">
        <v>121.62082050771868</v>
      </c>
      <c r="E125">
        <v>138.09499307112665</v>
      </c>
      <c r="F125">
        <v>134.18870303687831</v>
      </c>
      <c r="G125">
        <v>118.62627387170399</v>
      </c>
      <c r="H125">
        <v>174.46858071822601</v>
      </c>
      <c r="I125">
        <v>158.35385029449267</v>
      </c>
      <c r="J125">
        <v>133.16956861091001</v>
      </c>
      <c r="K125">
        <v>1.1587577744255499</v>
      </c>
      <c r="L125">
        <v>82.029132779052503</v>
      </c>
      <c r="M125" s="15">
        <f>+'[3]VAR expectations'!C149</f>
        <v>2.979353541970323</v>
      </c>
      <c r="N125">
        <v>-1.06517537694737</v>
      </c>
      <c r="O125">
        <v>-0.40443614577732501</v>
      </c>
      <c r="P125">
        <v>-0.179806934544601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I126">
        <v>155.99154745136366</v>
      </c>
      <c r="J126">
        <v>134.22346476499499</v>
      </c>
      <c r="K126">
        <v>1.15158025438698</v>
      </c>
      <c r="L126">
        <v>81.922660638195197</v>
      </c>
      <c r="M126" s="15">
        <f>+'[3]VAR expectations'!C150</f>
        <v>2.9717312535901965</v>
      </c>
      <c r="N126">
        <v>-0.63367039316779294</v>
      </c>
      <c r="O126">
        <v>-0.3982860759479</v>
      </c>
      <c r="P126">
        <v>-0.23953791463264201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I127">
        <v>157.44530085630001</v>
      </c>
      <c r="J127">
        <v>135.27720967504899</v>
      </c>
      <c r="K127">
        <v>1.1471496412744899</v>
      </c>
      <c r="L127">
        <v>81.817649251643402</v>
      </c>
      <c r="M127" s="15">
        <f>+'[3]VAR expectations'!C151</f>
        <v>3.468785277541127</v>
      </c>
      <c r="N127">
        <v>-0.32343981672753702</v>
      </c>
      <c r="O127">
        <v>0.16500605812999999</v>
      </c>
      <c r="P127">
        <v>-0.37733242309443399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I128">
        <v>159.23135560456134</v>
      </c>
      <c r="J128">
        <v>136.774222480758</v>
      </c>
      <c r="K128">
        <v>1.14655997189464</v>
      </c>
      <c r="L128">
        <v>81.715034666001003</v>
      </c>
      <c r="M128" s="15">
        <f>+'[3]VAR expectations'!C152</f>
        <v>3.8021957884789486</v>
      </c>
      <c r="N128">
        <v>-0.25273150395692601</v>
      </c>
      <c r="O128">
        <v>0.107917584062745</v>
      </c>
      <c r="P128">
        <v>-0.55144754827649201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I129">
        <v>159.07915984182134</v>
      </c>
      <c r="J129">
        <v>136.80661937184601</v>
      </c>
      <c r="K129">
        <v>1.1479044692190801</v>
      </c>
      <c r="L129">
        <v>81.613365284134602</v>
      </c>
      <c r="M129" s="15">
        <f>+'[3]VAR expectations'!C153</f>
        <v>4.011042611251681</v>
      </c>
      <c r="N129">
        <v>2.2960131141718399E-2</v>
      </c>
      <c r="O129">
        <v>3.5632547105975999E-2</v>
      </c>
      <c r="P129">
        <v>-0.74124167673784802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I130">
        <v>162.16213530036165</v>
      </c>
      <c r="J130">
        <v>137.87661675774601</v>
      </c>
      <c r="K130">
        <v>1.15055638707247</v>
      </c>
      <c r="L130">
        <v>81.513814839135307</v>
      </c>
      <c r="M130" s="15">
        <f>+'[3]VAR expectations'!C154</f>
        <v>3.9691108090385026</v>
      </c>
      <c r="N130">
        <v>0.27065364487259602</v>
      </c>
      <c r="O130">
        <v>-0.17429903529735599</v>
      </c>
      <c r="P130">
        <v>-0.86888539539987397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I131">
        <v>161.79269268903366</v>
      </c>
      <c r="J131">
        <v>138.66128963218</v>
      </c>
      <c r="K131">
        <v>1.1510772982060999</v>
      </c>
      <c r="L131">
        <v>81.418356288700096</v>
      </c>
      <c r="M131" s="15">
        <f>+'[3]VAR expectations'!C155</f>
        <v>3.8470567349792795</v>
      </c>
      <c r="N131">
        <v>0.19073197233109501</v>
      </c>
      <c r="O131">
        <v>-7.0369201187523399E-3</v>
      </c>
      <c r="P131">
        <v>-0.99235819525345803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I132">
        <v>159.84281099044833</v>
      </c>
      <c r="J132">
        <v>139.95745379858101</v>
      </c>
      <c r="K132">
        <v>1.1496855339929699</v>
      </c>
      <c r="L132">
        <v>81.328362286666604</v>
      </c>
      <c r="M132" s="15">
        <f>+'[3]VAR expectations'!C156</f>
        <v>4.1639091291217634</v>
      </c>
      <c r="N132">
        <v>4.52030566248805E-2</v>
      </c>
      <c r="O132">
        <v>-1.6535476013773E-2</v>
      </c>
      <c r="P132">
        <v>-1.0726417367996599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I133">
        <v>159.44165833579768</v>
      </c>
      <c r="J133">
        <v>139.79262616877699</v>
      </c>
      <c r="K133">
        <v>1.14765914937353</v>
      </c>
      <c r="L133">
        <v>81.243649789724799</v>
      </c>
      <c r="M133" s="15">
        <f>+'[3]VAR expectations'!C157</f>
        <v>5.4104651194166893</v>
      </c>
      <c r="N133">
        <v>4.1486643225731199E-3</v>
      </c>
      <c r="O133">
        <v>0.19389058082222399</v>
      </c>
      <c r="P133">
        <v>-1.10073916922126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I134">
        <v>161.72310118512368</v>
      </c>
      <c r="J134">
        <v>140.71674669877601</v>
      </c>
      <c r="K134">
        <v>1.1469218665424199</v>
      </c>
      <c r="L134">
        <v>81.1638383218082</v>
      </c>
      <c r="M134" s="15">
        <f>+'[3]VAR expectations'!C158</f>
        <v>4.9139696600199789</v>
      </c>
      <c r="N134">
        <v>-1.8610671935420799E-2</v>
      </c>
      <c r="O134">
        <v>-5.4901279743138999E-2</v>
      </c>
      <c r="P134">
        <v>-1.0259712284401501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I135">
        <v>160.48577917170701</v>
      </c>
      <c r="J135">
        <v>141.37876071651499</v>
      </c>
      <c r="K135">
        <v>1.1457645220299999</v>
      </c>
      <c r="L135">
        <v>81.088440712920701</v>
      </c>
      <c r="M135" s="15">
        <f>+'[3]VAR expectations'!C159</f>
        <v>4.0011512098701685</v>
      </c>
      <c r="N135">
        <v>-5.6967626902003098E-2</v>
      </c>
      <c r="O135">
        <v>-4.4310271174268602E-4</v>
      </c>
      <c r="P135">
        <v>-0.90731062669470697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J136">
        <v>142.62281347931599</v>
      </c>
      <c r="K136">
        <v>1.1443761307867499</v>
      </c>
      <c r="L136">
        <v>81.016960382235396</v>
      </c>
      <c r="M136" s="15">
        <f>+'[3]VAR expectations'!C160</f>
        <v>3.3715300668176842</v>
      </c>
      <c r="N136">
        <v>-8.68417927312395E-2</v>
      </c>
      <c r="O136">
        <v>-1.27151534663672E-2</v>
      </c>
      <c r="P136">
        <v>-0.85051206706833304</v>
      </c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M137" s="15">
        <f>+'[3]VAR expectations'!C161</f>
        <v>2.9319715449134089</v>
      </c>
      <c r="O137">
        <v>1.60999570243111E-2</v>
      </c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M138" s="15">
        <f>+'[3]VAR expectations'!C162</f>
        <v>2.624058833894372</v>
      </c>
      <c r="O138">
        <v>-6.7701651851022695E-4</v>
      </c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M139" s="15">
        <f>+'[3]VAR expectations'!C163</f>
        <v>2.4687156565697737</v>
      </c>
      <c r="O139">
        <v>-4.15752015621643E-3</v>
      </c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M140" s="15">
        <f>+'[3]VAR expectations'!C164</f>
        <v>2.4272584547421974</v>
      </c>
      <c r="O140">
        <v>-6.4730736789887404E-3</v>
      </c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M141" s="15">
        <f>+'[3]VAR expectations'!C165</f>
        <v>2.4505337246023733</v>
      </c>
      <c r="O141">
        <v>1.1817117236994201E-2</v>
      </c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M142" s="15">
        <f>+'[3]VAR expectations'!C166</f>
        <v>2.4399426350808717</v>
      </c>
      <c r="O142">
        <v>3.8775680770001202E-2</v>
      </c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M143" s="15">
        <f>+'[3]VAR expectations'!C167</f>
        <v>2.4724757454078841</v>
      </c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M144" s="15">
        <f>+'[3]VAR expectations'!C168</f>
        <v>2.5381252562448622</v>
      </c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/>
      <c r="M145" s="15">
        <f>+'[3]VAR expectations'!C169</f>
        <v>2.6576871518365146</v>
      </c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82BB-16F8-4950-B874-7D1217040074}">
  <dimension ref="A1:W172"/>
  <sheetViews>
    <sheetView topLeftCell="A3" zoomScaleNormal="100" workbookViewId="0">
      <selection activeCell="Q12" sqref="Q12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I3" s="1" t="s">
        <v>7</v>
      </c>
      <c r="J3" s="2" t="s">
        <v>5</v>
      </c>
      <c r="K3" s="2"/>
      <c r="L3" t="s">
        <v>107</v>
      </c>
    </row>
    <row r="4" spans="1:23" x14ac:dyDescent="0.25">
      <c r="A4" t="s">
        <v>238</v>
      </c>
      <c r="B4" s="2" t="s">
        <v>8</v>
      </c>
      <c r="C4" s="2"/>
      <c r="D4" s="3" t="s">
        <v>236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187</v>
      </c>
      <c r="J5" s="2" t="s">
        <v>9</v>
      </c>
      <c r="K5" s="2"/>
    </row>
    <row r="6" spans="1:23" x14ac:dyDescent="0.25">
      <c r="A6" t="s">
        <v>237</v>
      </c>
      <c r="I6" t="s">
        <v>186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conv2qa(X12(stifidx_apr2024.m,MULT,1996m1,2024m9))</v>
      </c>
      <c r="C10" s="11" t="str">
        <f t="shared" ref="C10:D10" si="0">"conv2qa(X12("&amp;$D$5&amp;$D$3&amp;C9&amp;$D$4&amp;",MULT," &amp; TEXT($A$3,"yyyy""m""m") &amp; "," &amp; TEXT($A$4,"yyyy""m""m") &amp; "))"</f>
        <v>conv2qa(X12(stif_srv_apr2024.m,MULT,1996m1,2024m9))</v>
      </c>
      <c r="D10" s="11" t="str">
        <f t="shared" si="0"/>
        <v>conv2qa(X12(stif_gds_xeatfnab_apr2024.m,MULT,1996m1,2024m9))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booze.m,fags.m,#,#,#,#,#,#,#,#,#,#,#,#,#,#,#,#,#),MULT,1996m1,2024m9))</v>
      </c>
      <c r="F10" s="11" t="str">
        <f>"conv2qa(X12("&amp;$D$5&amp;$D$3&amp;F9&amp;$D$4&amp;",MULT," &amp; TEXT($A$3,"yyyy""m""m") &amp; "," &amp; TEXT($A$4,"yyyy""m""m") &amp; "))"</f>
        <v>conv2qa(X12(stif_fnab_apr2024.m,MULT,1996m1,2024m9))</v>
      </c>
      <c r="G10" s="11" t="str">
        <f>"conv2qa(X12("&amp;G9&amp;",MULT," &amp; TEXT($A$3,"yyyy""m""m") &amp; "," &amp; TEXT($A$4,"yyyy""m""m") &amp; "))"</f>
        <v>conv2qa(X12(booze.m,MULT,1996m1,2024m9))</v>
      </c>
      <c r="H10" s="11" t="str">
        <f>"conv2qa(X12("&amp;H9&amp;",MULT," &amp; TEXT($A$3,"yyyy""m""m") &amp; "," &amp; TEXT($A$4,"yyyy""m""m") &amp; "))"</f>
        <v>conv2qa(X12(fags.m,MULT,1996m1,2024m9))</v>
      </c>
      <c r="I10" s="11" t="str">
        <f>"conv2qa(X12("&amp;$D$5&amp;$D$3&amp;I9&amp;$D$4&amp;",MULT," &amp; TEXT($A$3,"yyyy""m""m") &amp; "," &amp; TEXT($I$5,"yyyy""m""m") &amp; "))"</f>
        <v>conv2qa(X12(stif_pu_apr2024.m,MULT,1996m1,2026m12))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68.336249781639438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58.553707089085371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77.833862631324365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>
        <f>[2]!FAMEData($L$5&amp;$L$3&amp;J9&amp;$L$4, $I$3, $I$4, 0,"Quarterly", "Down", "No Heading", "Normal")</f>
        <v>68.291409793006196</v>
      </c>
      <c r="K12">
        <f>[2]!FAMEData($L$5&amp;$L$3&amp;K9&amp;$L$4, $I$3, $I$4, 0,"Quarterly", "Down", "No Heading", "Normal")</f>
        <v>0.86450741438940804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[2]!FAMEData($L$5&amp;$L$3&amp;P9&amp;$L$4, $I$3, $I$4, 0,"Quarterly", "Down", "No Heading", "Normal")</f>
        <v>-0.67179061870602896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68.743501415337903</v>
      </c>
      <c r="K13">
        <v>0.86509042373751399</v>
      </c>
      <c r="L13">
        <v>81.882196923076904</v>
      </c>
      <c r="M13" s="15">
        <f>+'[3]VAR expectations'!C37</f>
        <v>2.6154884948264598</v>
      </c>
      <c r="N13">
        <v>0.3</v>
      </c>
      <c r="O13">
        <v>-0.16120155703172701</v>
      </c>
      <c r="P13">
        <v>-0.90951432292161405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78.989247520031924</v>
      </c>
      <c r="H14">
        <v>30.929830737469164</v>
      </c>
      <c r="I14">
        <v>43.346266616041838</v>
      </c>
      <c r="J14">
        <v>68.995965795797503</v>
      </c>
      <c r="K14">
        <v>0.84647798199442004</v>
      </c>
      <c r="L14">
        <v>82.869486363636398</v>
      </c>
      <c r="M14" s="15">
        <f>+'[3]VAR expectations'!C38</f>
        <v>2.6428562485995646</v>
      </c>
      <c r="N14">
        <v>0.3</v>
      </c>
      <c r="O14">
        <v>0.32912444162450999</v>
      </c>
      <c r="P14">
        <v>-0.98499009782691505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79.125642753287181</v>
      </c>
      <c r="H15">
        <v>31.483583173415866</v>
      </c>
      <c r="I15">
        <v>44.7267749910337</v>
      </c>
      <c r="J15">
        <v>69.278988726491207</v>
      </c>
      <c r="K15">
        <v>0.83585006467577705</v>
      </c>
      <c r="L15">
        <v>88.333556060606099</v>
      </c>
      <c r="M15" s="15">
        <f>+'[3]VAR expectations'!C39</f>
        <v>2.8292929206876933</v>
      </c>
      <c r="N15">
        <v>0.3</v>
      </c>
      <c r="O15">
        <v>-2.2510150918334201E-3</v>
      </c>
      <c r="P15">
        <v>-0.94538049261986201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69.656172144574199</v>
      </c>
      <c r="C16">
        <v>52.833527081934534</v>
      </c>
      <c r="D16">
        <v>120.51831953602668</v>
      </c>
      <c r="E16">
        <v>59.076250344490298</v>
      </c>
      <c r="F16">
        <v>65.240899062162541</v>
      </c>
      <c r="G16">
        <v>78.957703138344911</v>
      </c>
      <c r="H16">
        <v>32.032941374691468</v>
      </c>
      <c r="I16">
        <v>45.328295668908964</v>
      </c>
      <c r="J16">
        <v>69.607570341232503</v>
      </c>
      <c r="K16">
        <v>0.80638842850685599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-0.262290558696672</v>
      </c>
      <c r="P16">
        <v>-8.1624431823459492E-3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69.818827320614488</v>
      </c>
      <c r="C17">
        <v>53.331404584016035</v>
      </c>
      <c r="D17">
        <v>120.310188362095</v>
      </c>
      <c r="E17">
        <v>59.375031266633805</v>
      </c>
      <c r="F17">
        <v>65.408499895120499</v>
      </c>
      <c r="G17">
        <v>79.267965073223294</v>
      </c>
      <c r="H17">
        <v>32.549626728659469</v>
      </c>
      <c r="I17">
        <v>44.445946493019335</v>
      </c>
      <c r="J17">
        <v>69.840992197429401</v>
      </c>
      <c r="K17">
        <v>0.79144008450373604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-0.18076935065413899</v>
      </c>
      <c r="P17">
        <v>7.8353326752550898E-2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70.281779806161396</v>
      </c>
      <c r="C18">
        <v>53.831610222106036</v>
      </c>
      <c r="D18">
        <v>120.33884823031001</v>
      </c>
      <c r="E18">
        <v>59.894854455189403</v>
      </c>
      <c r="F18">
        <v>65.91284178230616</v>
      </c>
      <c r="G18">
        <v>79.394793740428668</v>
      </c>
      <c r="H18">
        <v>33.304621200313029</v>
      </c>
      <c r="I18">
        <v>45.375545582595969</v>
      </c>
      <c r="J18">
        <v>70.330712510709205</v>
      </c>
      <c r="K18">
        <v>0.78760770032590499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0.135072712526874</v>
      </c>
      <c r="P18">
        <v>5.2405776642112101E-3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79.329518514698464</v>
      </c>
      <c r="H19">
        <v>34.107615541725302</v>
      </c>
      <c r="I19">
        <v>45.16594359183707</v>
      </c>
      <c r="J19">
        <v>70.553227378197803</v>
      </c>
      <c r="K19">
        <v>0.78369600102702397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-0.18038836269067801</v>
      </c>
      <c r="P19">
        <v>-0.113323844964001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70.7608317169408</v>
      </c>
      <c r="C20">
        <v>54.867317852625668</v>
      </c>
      <c r="D20">
        <v>119.84603007593834</v>
      </c>
      <c r="E20">
        <v>60.324796116075639</v>
      </c>
      <c r="F20">
        <v>65.556439010962166</v>
      </c>
      <c r="G20">
        <v>80.31482927370287</v>
      </c>
      <c r="H20">
        <v>35.043737560232564</v>
      </c>
      <c r="I20">
        <v>45.066788167536366</v>
      </c>
      <c r="J20">
        <v>70.707682429037007</v>
      </c>
      <c r="K20">
        <v>0.77299084499104498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-0.40106993870267899</v>
      </c>
      <c r="P20">
        <v>0.35224228077810998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71.100692129748765</v>
      </c>
      <c r="C21">
        <v>55.376840634027467</v>
      </c>
      <c r="D21">
        <v>119.471764844226</v>
      </c>
      <c r="E21">
        <v>60.759837540213262</v>
      </c>
      <c r="F21">
        <v>65.968165559058164</v>
      </c>
      <c r="G21">
        <v>80.697417805776368</v>
      </c>
      <c r="H21">
        <v>35.534825019560238</v>
      </c>
      <c r="I21">
        <v>45.512400795736859</v>
      </c>
      <c r="J21">
        <v>71.126505541350696</v>
      </c>
      <c r="K21">
        <v>0.76206216868059895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-0.121959828355084</v>
      </c>
      <c r="P21">
        <v>0.18539483915357599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71.255609421750563</v>
      </c>
      <c r="C22">
        <v>55.834494062716836</v>
      </c>
      <c r="D22">
        <v>118.95366575846867</v>
      </c>
      <c r="E22">
        <v>61.32656451816981</v>
      </c>
      <c r="F22">
        <v>66.599884378909437</v>
      </c>
      <c r="G22">
        <v>81.111237273142805</v>
      </c>
      <c r="H22">
        <v>36.009377724460194</v>
      </c>
      <c r="I22">
        <v>45.240117527977993</v>
      </c>
      <c r="J22">
        <v>71.308140785276294</v>
      </c>
      <c r="K22">
        <v>0.75688592171026203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0.148148898493562</v>
      </c>
      <c r="P22">
        <v>0.15782016310379501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71.539883561847134</v>
      </c>
      <c r="C23">
        <v>56.34264516522407</v>
      </c>
      <c r="D23">
        <v>118.50979090512165</v>
      </c>
      <c r="E23">
        <v>61.79821949931187</v>
      </c>
      <c r="F23">
        <v>66.931585635713873</v>
      </c>
      <c r="G23">
        <v>81.345598400718828</v>
      </c>
      <c r="H23">
        <v>36.768433546815466</v>
      </c>
      <c r="I23">
        <v>45.182611283649557</v>
      </c>
      <c r="J23">
        <v>71.555515529474405</v>
      </c>
      <c r="K23">
        <v>0.75976655115812497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-0.44461325206669999</v>
      </c>
      <c r="P23">
        <v>-0.51318827171661696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71.869448362918902</v>
      </c>
      <c r="C24">
        <v>56.820337302049865</v>
      </c>
      <c r="D24">
        <v>117.91126120930566</v>
      </c>
      <c r="E24">
        <v>62.464147948596271</v>
      </c>
      <c r="F24">
        <v>67.238659277963379</v>
      </c>
      <c r="G24">
        <v>81.576404148117504</v>
      </c>
      <c r="H24">
        <v>38.3837411422626</v>
      </c>
      <c r="I24">
        <v>45.6058390369462</v>
      </c>
      <c r="J24">
        <v>71.812369420586506</v>
      </c>
      <c r="K24">
        <v>0.75674034386786804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0.52782221066476598</v>
      </c>
      <c r="P24">
        <v>-0.37213479345497502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72.089045435709679</v>
      </c>
      <c r="C25">
        <v>57.315645524915105</v>
      </c>
      <c r="D25">
        <v>117.102020370133</v>
      </c>
      <c r="E25">
        <v>62.327610240975361</v>
      </c>
      <c r="F25">
        <v>66.571844762680371</v>
      </c>
      <c r="G25">
        <v>81.622908379804102</v>
      </c>
      <c r="H25">
        <v>39.566559269060271</v>
      </c>
      <c r="I25">
        <v>46.924886016746768</v>
      </c>
      <c r="J25">
        <v>72.121665461930505</v>
      </c>
      <c r="K25">
        <v>0.75164895250617403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0.48725261916995399</v>
      </c>
      <c r="P25">
        <v>4.5377826031508001E-2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72.125395078804772</v>
      </c>
      <c r="C26">
        <v>57.725891052137634</v>
      </c>
      <c r="D26">
        <v>116.21646773960299</v>
      </c>
      <c r="E26">
        <v>62.2660059010135</v>
      </c>
      <c r="F26">
        <v>65.966078638823205</v>
      </c>
      <c r="G26">
        <v>81.700276436859639</v>
      </c>
      <c r="H26">
        <v>40.694457856548468</v>
      </c>
      <c r="I26">
        <v>47.676146770894064</v>
      </c>
      <c r="J26">
        <v>72.178569416624399</v>
      </c>
      <c r="K26">
        <v>0.75365215365925997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0.67076862974608797</v>
      </c>
      <c r="P26">
        <v>0.16253141469964599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72.359803406135839</v>
      </c>
      <c r="C27">
        <v>58.260597172429129</v>
      </c>
      <c r="D27">
        <v>115.11724534960399</v>
      </c>
      <c r="E27">
        <v>62.425190149027202</v>
      </c>
      <c r="F27">
        <v>66.000462650335194</v>
      </c>
      <c r="G27">
        <v>81.899917498013835</v>
      </c>
      <c r="H27">
        <v>41.070297940001865</v>
      </c>
      <c r="I27">
        <v>48.744128850986499</v>
      </c>
      <c r="J27">
        <v>72.3695750018544</v>
      </c>
      <c r="K27">
        <v>0.75528714880922598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0.25537877518103203</v>
      </c>
      <c r="P27">
        <v>0.81449639672755603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72.440743283146062</v>
      </c>
      <c r="C28">
        <v>58.772737337574767</v>
      </c>
      <c r="D28">
        <v>113.710502896702</v>
      </c>
      <c r="E28">
        <v>62.294225732532794</v>
      </c>
      <c r="F28">
        <v>65.738951218719066</v>
      </c>
      <c r="G28">
        <v>81.953847149928606</v>
      </c>
      <c r="H28">
        <v>41.1926983665983</v>
      </c>
      <c r="I28">
        <v>50.014345022090033</v>
      </c>
      <c r="J28">
        <v>72.387024745638499</v>
      </c>
      <c r="K28">
        <v>0.762586430794857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9.2271063782413995E-2</v>
      </c>
      <c r="P28">
        <v>-0.80713768198578595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72.539182312840808</v>
      </c>
      <c r="C29">
        <v>59.022039679803605</v>
      </c>
      <c r="D29">
        <v>113.06246638512467</v>
      </c>
      <c r="E29">
        <v>62.695488488984701</v>
      </c>
      <c r="F29">
        <v>65.547576525314227</v>
      </c>
      <c r="G29">
        <v>81.549251880034703</v>
      </c>
      <c r="H29">
        <v>43.499742188384197</v>
      </c>
      <c r="I29">
        <v>50.294131092576862</v>
      </c>
      <c r="J29">
        <v>72.576463345291202</v>
      </c>
      <c r="K29">
        <v>0.76328450502047396</v>
      </c>
      <c r="L29">
        <v>101.013821538462</v>
      </c>
      <c r="M29" s="15">
        <f>+'[3]VAR expectations'!C53</f>
        <v>2.480790509902373</v>
      </c>
      <c r="N29">
        <v>0.578228356186961</v>
      </c>
      <c r="O29">
        <v>6.4185673634936505E-2</v>
      </c>
      <c r="P29">
        <v>0.53258053428763796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72.707840576544129</v>
      </c>
      <c r="C30">
        <v>59.618307460283766</v>
      </c>
      <c r="D30">
        <v>111.70485772051568</v>
      </c>
      <c r="E30">
        <v>63.480786414582731</v>
      </c>
      <c r="F30">
        <v>66.47073313012659</v>
      </c>
      <c r="G30">
        <v>81.400383542290299</v>
      </c>
      <c r="H30">
        <v>44.1295169142021</v>
      </c>
      <c r="I30">
        <v>50.84854906035627</v>
      </c>
      <c r="J30">
        <v>72.758455319907299</v>
      </c>
      <c r="K30">
        <v>0.77965984346415595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0.321076211975517</v>
      </c>
      <c r="P30">
        <v>0.27187323175935202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73.058296991472858</v>
      </c>
      <c r="C31">
        <v>60.26187331766986</v>
      </c>
      <c r="D31">
        <v>111.14640687755268</v>
      </c>
      <c r="E31">
        <v>63.852768971112198</v>
      </c>
      <c r="F31">
        <v>66.715067260740469</v>
      </c>
      <c r="G31">
        <v>81.765643927485101</v>
      </c>
      <c r="H31">
        <v>44.729361748219503</v>
      </c>
      <c r="I31">
        <v>51.114811152102504</v>
      </c>
      <c r="J31">
        <v>73.060649787603296</v>
      </c>
      <c r="K31">
        <v>0.77852355599271506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-1.6390389462865099E-2</v>
      </c>
      <c r="P31">
        <v>0.70676579039904797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73.057199972195761</v>
      </c>
      <c r="C32">
        <v>60.743618510488368</v>
      </c>
      <c r="D32">
        <v>110.17048885714068</v>
      </c>
      <c r="E32">
        <v>64.304947564596333</v>
      </c>
      <c r="F32">
        <v>67.219576569639273</v>
      </c>
      <c r="G32">
        <v>81.956356251493773</v>
      </c>
      <c r="H32">
        <v>45.213764851084761</v>
      </c>
      <c r="I32">
        <v>49.776772698691836</v>
      </c>
      <c r="J32">
        <v>73.010126759481594</v>
      </c>
      <c r="K32">
        <v>0.77942063757219304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-0.227577979531076</v>
      </c>
      <c r="P32">
        <v>0.41767657153423499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73.64078284744123</v>
      </c>
      <c r="C33">
        <v>61.544420219881737</v>
      </c>
      <c r="D33">
        <v>109.89504456781033</v>
      </c>
      <c r="E33">
        <v>65.671562289779317</v>
      </c>
      <c r="F33">
        <v>69.291698510688263</v>
      </c>
      <c r="G33">
        <v>81.894722914902061</v>
      </c>
      <c r="H33">
        <v>45.475672672383929</v>
      </c>
      <c r="I33">
        <v>49.554685240286169</v>
      </c>
      <c r="J33">
        <v>73.683320929602502</v>
      </c>
      <c r="K33">
        <v>0.77409610264637996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0.14427868690463599</v>
      </c>
      <c r="P33">
        <v>0.27177292676166298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73.825368346702533</v>
      </c>
      <c r="C34">
        <v>62.223963784251872</v>
      </c>
      <c r="D34">
        <v>109.34835279540567</v>
      </c>
      <c r="E34">
        <v>65.641448713926664</v>
      </c>
      <c r="F34">
        <v>68.979536133855262</v>
      </c>
      <c r="G34">
        <v>82.063297447224542</v>
      </c>
      <c r="H34">
        <v>45.842531038045195</v>
      </c>
      <c r="I34">
        <v>49.541042554952206</v>
      </c>
      <c r="J34">
        <v>73.868483022716404</v>
      </c>
      <c r="K34">
        <v>0.76308701075961805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-0.145405425617782</v>
      </c>
      <c r="P34">
        <v>2.9689798564234399E-2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73.809976698467395</v>
      </c>
      <c r="C35">
        <v>62.586922212686396</v>
      </c>
      <c r="D35">
        <v>108.73663622537534</v>
      </c>
      <c r="E35">
        <v>65.828698669325959</v>
      </c>
      <c r="F35">
        <v>68.970945389881933</v>
      </c>
      <c r="G35">
        <v>82.057820785757499</v>
      </c>
      <c r="H35">
        <v>46.482425595689868</v>
      </c>
      <c r="I35">
        <v>48.008808713744003</v>
      </c>
      <c r="J35">
        <v>73.808021170079599</v>
      </c>
      <c r="K35">
        <v>0.752688098559118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-0.40207821981541297</v>
      </c>
      <c r="P35">
        <v>-0.639915850777378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74.172709547616705</v>
      </c>
      <c r="C36">
        <v>63.253448974812137</v>
      </c>
      <c r="D36">
        <v>108.25388781243664</v>
      </c>
      <c r="E36">
        <v>66.271856797835198</v>
      </c>
      <c r="F36">
        <v>69.566869099494497</v>
      </c>
      <c r="G36">
        <v>82.184032839115204</v>
      </c>
      <c r="H36">
        <v>46.712875199124198</v>
      </c>
      <c r="I36">
        <v>48.300000596939526</v>
      </c>
      <c r="J36">
        <v>74.136194943210498</v>
      </c>
      <c r="K36">
        <v>0.75002538651772099</v>
      </c>
      <c r="L36">
        <v>100.22180625</v>
      </c>
      <c r="M36" s="15">
        <f>+'[3]VAR expectations'!C60</f>
        <v>2.2636382290406152</v>
      </c>
      <c r="N36">
        <v>-0.19866515250366801</v>
      </c>
      <c r="O36">
        <v>0.181561700258596</v>
      </c>
      <c r="P36">
        <v>-0.63541897647370305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74.341060971648673</v>
      </c>
      <c r="C37">
        <v>64.098357828357905</v>
      </c>
      <c r="D37">
        <v>107.15975382368667</v>
      </c>
      <c r="E37">
        <v>65.841453783588506</v>
      </c>
      <c r="F37">
        <v>69.072767804122336</v>
      </c>
      <c r="G37">
        <v>82.070455378098231</v>
      </c>
      <c r="H37">
        <v>46.699129957054993</v>
      </c>
      <c r="I37">
        <v>48.83496827920866</v>
      </c>
      <c r="J37">
        <v>74.384977167291595</v>
      </c>
      <c r="K37">
        <v>0.75263952351151997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0.26583891266085302</v>
      </c>
      <c r="P37">
        <v>-0.84424428629728698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74.586828837527761</v>
      </c>
      <c r="C38">
        <v>64.806065670018995</v>
      </c>
      <c r="D38">
        <v>106.44583489622399</v>
      </c>
      <c r="E38">
        <v>66.101100807903421</v>
      </c>
      <c r="F38">
        <v>69.016510777410801</v>
      </c>
      <c r="G38">
        <v>82.393205064714934</v>
      </c>
      <c r="H38">
        <v>47.312363040451366</v>
      </c>
      <c r="I38">
        <v>48.810172757842302</v>
      </c>
      <c r="J38">
        <v>74.6226176746096</v>
      </c>
      <c r="K38">
        <v>0.75015550616674598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2.2118145407947602E-2</v>
      </c>
      <c r="P38">
        <v>-0.47312000974391899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74.941529851717021</v>
      </c>
      <c r="C39">
        <v>65.527580796862438</v>
      </c>
      <c r="D39">
        <v>105.92448921593332</v>
      </c>
      <c r="E39">
        <v>66.196126733280337</v>
      </c>
      <c r="F39">
        <v>69.020712791887092</v>
      </c>
      <c r="G39">
        <v>81.79540893927549</v>
      </c>
      <c r="H39">
        <v>47.821927966608904</v>
      </c>
      <c r="I39">
        <v>49.301431799704602</v>
      </c>
      <c r="J39">
        <v>74.935694437585695</v>
      </c>
      <c r="K39">
        <v>0.74797853098426004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-3.5729490300290101E-2</v>
      </c>
      <c r="P39">
        <v>-0.23494015387997499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75.254179637059067</v>
      </c>
      <c r="C40">
        <v>66.024472037739812</v>
      </c>
      <c r="D40">
        <v>105.57840811715567</v>
      </c>
      <c r="E40">
        <v>66.295937196047234</v>
      </c>
      <c r="F40">
        <v>69.109899366091767</v>
      </c>
      <c r="G40">
        <v>81.579240085430328</v>
      </c>
      <c r="H40">
        <v>48.150793170378101</v>
      </c>
      <c r="I40">
        <v>50.696241264326204</v>
      </c>
      <c r="J40">
        <v>75.222416663268305</v>
      </c>
      <c r="K40">
        <v>0.76305100676523396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-0.41248432355622899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75.297738816443641</v>
      </c>
      <c r="C41">
        <v>66.477450028330637</v>
      </c>
      <c r="D41">
        <v>104.82493353959801</v>
      </c>
      <c r="E41">
        <v>66.743553912155861</v>
      </c>
      <c r="F41">
        <v>69.746466956804355</v>
      </c>
      <c r="G41">
        <v>81.929888109538126</v>
      </c>
      <c r="H41">
        <v>48.454084823845001</v>
      </c>
      <c r="I41">
        <v>49.519114793182403</v>
      </c>
      <c r="J41">
        <v>75.346337475039505</v>
      </c>
      <c r="K41">
        <v>0.75829920985494004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-0.53373753999781803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75.612766959977634</v>
      </c>
      <c r="C42">
        <v>66.969781979914828</v>
      </c>
      <c r="D42">
        <v>104.57345498305834</v>
      </c>
      <c r="E42">
        <v>67.312969333912932</v>
      </c>
      <c r="F42">
        <v>70.264155678300639</v>
      </c>
      <c r="G42">
        <v>81.292515586182461</v>
      </c>
      <c r="H42">
        <v>49.190874965871103</v>
      </c>
      <c r="I42">
        <v>49.812423087501337</v>
      </c>
      <c r="J42">
        <v>75.644258795435306</v>
      </c>
      <c r="K42">
        <v>0.76314959952758699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-0.27588602853862099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75.930389741773197</v>
      </c>
      <c r="C43">
        <v>67.546972720676521</v>
      </c>
      <c r="D43">
        <v>104.00485126984699</v>
      </c>
      <c r="E43">
        <v>67.719275637185191</v>
      </c>
      <c r="F43">
        <v>70.752523647229367</v>
      </c>
      <c r="G43">
        <v>81.390202719684893</v>
      </c>
      <c r="H43">
        <v>49.438759816367231</v>
      </c>
      <c r="I43">
        <v>50.456696039768737</v>
      </c>
      <c r="J43">
        <v>75.921685517297206</v>
      </c>
      <c r="K43">
        <v>0.757347935788934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-0.53395229519699206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76.200272983096355</v>
      </c>
      <c r="C44">
        <v>68.106265290789636</v>
      </c>
      <c r="D44">
        <v>103.62955172459999</v>
      </c>
      <c r="E44">
        <v>67.701733001918328</v>
      </c>
      <c r="F44">
        <v>70.680623236879569</v>
      </c>
      <c r="G44">
        <v>81.372891220658857</v>
      </c>
      <c r="H44">
        <v>49.677802175785025</v>
      </c>
      <c r="I44">
        <v>51.504084269771305</v>
      </c>
      <c r="J44">
        <v>76.169544236319098</v>
      </c>
      <c r="K44">
        <v>0.750253061775353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0.26648293587474697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76.359143317035375</v>
      </c>
      <c r="C45">
        <v>68.631855807994</v>
      </c>
      <c r="D45">
        <v>102.87732125767734</v>
      </c>
      <c r="E45">
        <v>67.638280882703938</v>
      </c>
      <c r="F45">
        <v>70.476850085112503</v>
      </c>
      <c r="G45">
        <v>81.2871911300535</v>
      </c>
      <c r="H45">
        <v>50.250960580429563</v>
      </c>
      <c r="I45">
        <v>52.490029582145439</v>
      </c>
      <c r="J45">
        <v>76.412727570497296</v>
      </c>
      <c r="K45">
        <v>0.751272030828947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0.1786277925958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76.562231444940622</v>
      </c>
      <c r="C46">
        <v>69.203743095761226</v>
      </c>
      <c r="D46">
        <v>102.21000368949001</v>
      </c>
      <c r="E46">
        <v>67.646192047947466</v>
      </c>
      <c r="F46">
        <v>70.117000343366868</v>
      </c>
      <c r="G46">
        <v>81.074507645867541</v>
      </c>
      <c r="H46">
        <v>50.981515776723462</v>
      </c>
      <c r="I46">
        <v>53.359156405195101</v>
      </c>
      <c r="J46">
        <v>76.593108791191199</v>
      </c>
      <c r="K46">
        <v>0.75246452156788601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-2.5991940710735E-2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77.024679842316232</v>
      </c>
      <c r="C47">
        <v>69.904808950441051</v>
      </c>
      <c r="D47">
        <v>101.65395874770833</v>
      </c>
      <c r="E47">
        <v>67.923169332729358</v>
      </c>
      <c r="F47">
        <v>70.398557802278035</v>
      </c>
      <c r="G47">
        <v>81.151471154423959</v>
      </c>
      <c r="H47">
        <v>51.389293359171738</v>
      </c>
      <c r="I47">
        <v>55.645647706160766</v>
      </c>
      <c r="J47">
        <v>77.013253102119194</v>
      </c>
      <c r="K47">
        <v>0.76483927023953302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0.92815784020214298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77.519231176448599</v>
      </c>
      <c r="C48">
        <v>70.711753852246602</v>
      </c>
      <c r="D48">
        <v>101.22455081850266</v>
      </c>
      <c r="E48">
        <v>68.690840573701735</v>
      </c>
      <c r="F48">
        <v>71.390648860540026</v>
      </c>
      <c r="G48">
        <v>80.604662174779193</v>
      </c>
      <c r="H48">
        <v>52.151755180923402</v>
      </c>
      <c r="I48">
        <v>56.449023553237737</v>
      </c>
      <c r="J48">
        <v>77.483551945454394</v>
      </c>
      <c r="K48">
        <v>0.76454198904620496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0.47823727601545402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77.860319037594692</v>
      </c>
      <c r="C49">
        <v>71.482542495063569</v>
      </c>
      <c r="D49">
        <v>100.61472786090201</v>
      </c>
      <c r="E49">
        <v>68.823685140248145</v>
      </c>
      <c r="F49">
        <v>71.58467904652764</v>
      </c>
      <c r="G49">
        <v>80.155897014688989</v>
      </c>
      <c r="H49">
        <v>52.54189001642667</v>
      </c>
      <c r="I49">
        <v>57.440858347930664</v>
      </c>
      <c r="J49">
        <v>77.920522902739194</v>
      </c>
      <c r="K49">
        <v>0.76257283223897498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-0.14649886138969101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78.392641651499432</v>
      </c>
      <c r="C50">
        <v>72.329300986286924</v>
      </c>
      <c r="D50">
        <v>100.07117851035663</v>
      </c>
      <c r="E50">
        <v>68.937238067699596</v>
      </c>
      <c r="F50">
        <v>71.487850254952832</v>
      </c>
      <c r="G50">
        <v>80.839757365057309</v>
      </c>
      <c r="H50">
        <v>52.691778622890205</v>
      </c>
      <c r="I50">
        <v>60.297134307719539</v>
      </c>
      <c r="J50">
        <v>78.4258979546549</v>
      </c>
      <c r="K50">
        <v>0.78344370734360702</v>
      </c>
      <c r="L50">
        <v>99.734880303030295</v>
      </c>
      <c r="M50" s="15">
        <f>+'[3]VAR expectations'!C74</f>
        <v>2.2761535969954032</v>
      </c>
      <c r="N50">
        <v>0.70017615103754205</v>
      </c>
      <c r="O50">
        <v>0.242344274322987</v>
      </c>
      <c r="P50">
        <v>9.7494215027575507E-2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78.665010931988334</v>
      </c>
      <c r="C51">
        <v>72.762317029008599</v>
      </c>
      <c r="D51">
        <v>99.588196036988293</v>
      </c>
      <c r="E51">
        <v>69.148767011412204</v>
      </c>
      <c r="F51">
        <v>71.487766547146634</v>
      </c>
      <c r="G51">
        <v>80.757559257816297</v>
      </c>
      <c r="H51">
        <v>53.781965205097606</v>
      </c>
      <c r="I51">
        <v>62.213078939048366</v>
      </c>
      <c r="J51">
        <v>78.649900818565001</v>
      </c>
      <c r="K51">
        <v>0.78606232029668899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-2.13275836011632E-2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79.028056397803041</v>
      </c>
      <c r="C52">
        <v>73.385241780480087</v>
      </c>
      <c r="D52">
        <v>99.218511650769941</v>
      </c>
      <c r="E52">
        <v>69.456235726028794</v>
      </c>
      <c r="F52">
        <v>71.887123957438732</v>
      </c>
      <c r="G52">
        <v>80.784701214483832</v>
      </c>
      <c r="H52">
        <v>54.031494070321536</v>
      </c>
      <c r="I52">
        <v>63.50750281794614</v>
      </c>
      <c r="J52">
        <v>78.987928391122296</v>
      </c>
      <c r="K52">
        <v>0.79283103606381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-2.3869128172260699E-2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79.616100221302531</v>
      </c>
      <c r="C53">
        <v>74.00558747751586</v>
      </c>
      <c r="D53">
        <v>98.648450685847351</v>
      </c>
      <c r="E53">
        <v>69.890091456672565</v>
      </c>
      <c r="F53">
        <v>72.381509201984272</v>
      </c>
      <c r="G53">
        <v>80.348361068188169</v>
      </c>
      <c r="H53">
        <v>54.731568867946862</v>
      </c>
      <c r="I53">
        <v>67.671668114501699</v>
      </c>
      <c r="J53">
        <v>79.683019045253602</v>
      </c>
      <c r="K53">
        <v>0.79262437001629904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2.6065996636607101E-2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80.274543416956476</v>
      </c>
      <c r="C54">
        <v>74.554497785168024</v>
      </c>
      <c r="D54">
        <v>98.578686693763416</v>
      </c>
      <c r="E54">
        <v>71.285664196419631</v>
      </c>
      <c r="F54">
        <v>73.986476865755904</v>
      </c>
      <c r="G54">
        <v>80.810976632503596</v>
      </c>
      <c r="H54">
        <v>55.632163797207262</v>
      </c>
      <c r="I54">
        <v>70.050693840350334</v>
      </c>
      <c r="J54">
        <v>80.310641621755295</v>
      </c>
      <c r="K54">
        <v>0.79050596488411395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4.9794569166154497E-2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80.800427132246796</v>
      </c>
      <c r="C55">
        <v>75.456551234358471</v>
      </c>
      <c r="D55">
        <v>98.558511928221961</v>
      </c>
      <c r="E55">
        <v>72.05791183767694</v>
      </c>
      <c r="F55">
        <v>74.86955861025983</v>
      </c>
      <c r="G55">
        <v>81.596469086606234</v>
      </c>
      <c r="H55">
        <v>56.187332452634031</v>
      </c>
      <c r="I55">
        <v>69.842554670248759</v>
      </c>
      <c r="J55">
        <v>80.772917716978299</v>
      </c>
      <c r="K55">
        <v>0.78440213810936799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-8.0932616320032902E-2</v>
      </c>
      <c r="P55">
        <v>0.185573520441731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81.294136586485664</v>
      </c>
      <c r="C56">
        <v>76.0947396202601</v>
      </c>
      <c r="D56">
        <v>98.471297669477863</v>
      </c>
      <c r="E56">
        <v>72.551116068888021</v>
      </c>
      <c r="F56">
        <v>75.238861011407707</v>
      </c>
      <c r="G56">
        <v>81.66650662799394</v>
      </c>
      <c r="H56">
        <v>57.265355033597238</v>
      </c>
      <c r="I56">
        <v>71.130011954203937</v>
      </c>
      <c r="J56">
        <v>81.261092924538204</v>
      </c>
      <c r="K56">
        <v>0.77056695531315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0.40345245063278001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81.649031385951375</v>
      </c>
      <c r="C57">
        <v>76.642439406582696</v>
      </c>
      <c r="D57">
        <v>98.272229444536791</v>
      </c>
      <c r="E57">
        <v>73.298449265417801</v>
      </c>
      <c r="F57">
        <v>76.216291592878136</v>
      </c>
      <c r="G57">
        <v>81.349848786204703</v>
      </c>
      <c r="H57">
        <v>57.844587349291338</v>
      </c>
      <c r="I57">
        <v>71.155158862886836</v>
      </c>
      <c r="J57">
        <v>81.723601950174995</v>
      </c>
      <c r="K57">
        <v>0.78197424686750205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0.53149722132791299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81.704607703067538</v>
      </c>
      <c r="C58">
        <v>77.223121634577538</v>
      </c>
      <c r="D58">
        <v>97.540758028960525</v>
      </c>
      <c r="E58">
        <v>73.551211828610931</v>
      </c>
      <c r="F58">
        <v>76.301462757899628</v>
      </c>
      <c r="G58">
        <v>81.728890847308435</v>
      </c>
      <c r="H58">
        <v>58.326849109749162</v>
      </c>
      <c r="I58">
        <v>70.482015934770232</v>
      </c>
      <c r="J58">
        <v>81.738458421935206</v>
      </c>
      <c r="K58">
        <v>0.78616880688018398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0.48016313644160602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82.511309305777459</v>
      </c>
      <c r="C59">
        <v>77.976240410206756</v>
      </c>
      <c r="D59">
        <v>97.458073535415608</v>
      </c>
      <c r="E59">
        <v>75.219909918646763</v>
      </c>
      <c r="F59">
        <v>78.596896004729686</v>
      </c>
      <c r="G59">
        <v>81.927566844022294</v>
      </c>
      <c r="H59">
        <v>58.859086686559031</v>
      </c>
      <c r="I59">
        <v>73.077898081356395</v>
      </c>
      <c r="J59">
        <v>82.461783946729099</v>
      </c>
      <c r="K59">
        <v>0.80539397895258402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0.38278912589226799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83.213164949298928</v>
      </c>
      <c r="C60">
        <v>78.585583008546905</v>
      </c>
      <c r="D60">
        <v>96.951612471823395</v>
      </c>
      <c r="E60">
        <v>75.989538828071304</v>
      </c>
      <c r="F60">
        <v>79.533800147406694</v>
      </c>
      <c r="G60">
        <v>81.958761366615036</v>
      </c>
      <c r="H60">
        <v>59.544388288417771</v>
      </c>
      <c r="I60">
        <v>77.885302886492198</v>
      </c>
      <c r="J60">
        <v>83.209957763458902</v>
      </c>
      <c r="K60">
        <v>0.83281239963082399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0.55036510318335696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84.399628706503677</v>
      </c>
      <c r="C61">
        <v>79.538235048743459</v>
      </c>
      <c r="D61">
        <v>96.709638176637199</v>
      </c>
      <c r="E61">
        <v>78.381976088216732</v>
      </c>
      <c r="F61">
        <v>82.317852328869947</v>
      </c>
      <c r="G61">
        <v>84.883187529507168</v>
      </c>
      <c r="H61">
        <v>60.342091094770133</v>
      </c>
      <c r="I61">
        <v>82.676149131534473</v>
      </c>
      <c r="J61">
        <v>84.478804922014305</v>
      </c>
      <c r="K61">
        <v>0.873128797497844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-0.77297461816662505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85.622629632453553</v>
      </c>
      <c r="C62">
        <v>80.567897146769965</v>
      </c>
      <c r="D62">
        <v>96.458975195184735</v>
      </c>
      <c r="E62">
        <v>80.821169314069834</v>
      </c>
      <c r="F62">
        <v>85.573695979660002</v>
      </c>
      <c r="G62">
        <v>85.076922064118321</v>
      </c>
      <c r="H62">
        <v>60.969197728832533</v>
      </c>
      <c r="I62">
        <v>87.767598334180903</v>
      </c>
      <c r="J62">
        <v>85.6420971141455</v>
      </c>
      <c r="K62">
        <v>0.89464880484077103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-1.1297776898834899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85.715849422795827</v>
      </c>
      <c r="C63">
        <v>81.44776890269786</v>
      </c>
      <c r="D63">
        <v>95.356926764969714</v>
      </c>
      <c r="E63">
        <v>81.793418405484132</v>
      </c>
      <c r="F63">
        <v>86.792930832974434</v>
      </c>
      <c r="G63">
        <v>85.181241122403307</v>
      </c>
      <c r="H63">
        <v>61.653543489703765</v>
      </c>
      <c r="I63">
        <v>85.991092339031908</v>
      </c>
      <c r="J63">
        <v>85.642633339552305</v>
      </c>
      <c r="K63">
        <v>0.88610443846368403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-2.2975232530535599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85.677461764589737</v>
      </c>
      <c r="C64">
        <v>81.837361940271634</v>
      </c>
      <c r="D64">
        <v>94.827623958468635</v>
      </c>
      <c r="E64">
        <v>83.009859309810125</v>
      </c>
      <c r="F64">
        <v>87.992383825942511</v>
      </c>
      <c r="G64">
        <v>87.197953525597669</v>
      </c>
      <c r="H64">
        <v>62.259315043970673</v>
      </c>
      <c r="I64">
        <v>82.010220708875678</v>
      </c>
      <c r="J64">
        <v>85.711482956796203</v>
      </c>
      <c r="K64">
        <v>0.89017851329583897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-3.8884712609516199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86.159767577550312</v>
      </c>
      <c r="C65">
        <v>82.270939219642358</v>
      </c>
      <c r="D65">
        <v>95.654936148879472</v>
      </c>
      <c r="E65">
        <v>83.220861276987193</v>
      </c>
      <c r="F65">
        <v>88.30892538133827</v>
      </c>
      <c r="G65">
        <v>87.210677493335638</v>
      </c>
      <c r="H65">
        <v>62.310963377432735</v>
      </c>
      <c r="I65">
        <v>82.036390032374257</v>
      </c>
      <c r="J65">
        <v>86.237082250674902</v>
      </c>
      <c r="K65">
        <v>0.87062191557632695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-4.0054513646633803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86.924359079468999</v>
      </c>
      <c r="C66">
        <v>82.818969157152296</v>
      </c>
      <c r="D66">
        <v>96.748861135337833</v>
      </c>
      <c r="E66">
        <v>83.273957422481431</v>
      </c>
      <c r="F66">
        <v>87.773257228700075</v>
      </c>
      <c r="G66">
        <v>88.565654197719809</v>
      </c>
      <c r="H66">
        <v>63.38279067290339</v>
      </c>
      <c r="I66">
        <v>84.438222394778805</v>
      </c>
      <c r="J66">
        <v>86.917141342860901</v>
      </c>
      <c r="K66">
        <v>0.86672344747487295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-4.0528010025245704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87.534280294005839</v>
      </c>
      <c r="C67">
        <v>83.410497618327881</v>
      </c>
      <c r="D67">
        <v>97.120889121038815</v>
      </c>
      <c r="E67">
        <v>83.844234992377835</v>
      </c>
      <c r="F67">
        <v>88.32590748553163</v>
      </c>
      <c r="G67">
        <v>89.287866356114577</v>
      </c>
      <c r="H67">
        <v>64.125617679504671</v>
      </c>
      <c r="I67">
        <v>86.397374938276741</v>
      </c>
      <c r="J67">
        <v>87.449311714126196</v>
      </c>
      <c r="K67">
        <v>0.88236761145682796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-4.2009004292882901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88.431031632329379</v>
      </c>
      <c r="C68">
        <v>84.379844216896402</v>
      </c>
      <c r="D68">
        <v>97.46248724767338</v>
      </c>
      <c r="E68">
        <v>85.139204649323744</v>
      </c>
      <c r="F68">
        <v>89.453888930231173</v>
      </c>
      <c r="G68">
        <v>89.559490337835641</v>
      </c>
      <c r="H68">
        <v>66.656157978330626</v>
      </c>
      <c r="I68">
        <v>87.69943618772794</v>
      </c>
      <c r="J68">
        <v>88.500791008147004</v>
      </c>
      <c r="K68">
        <v>0.89044036808145799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-3.91857601174401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89.14993503678609</v>
      </c>
      <c r="C69">
        <v>85.197661166743998</v>
      </c>
      <c r="D69">
        <v>97.7948668841114</v>
      </c>
      <c r="E69">
        <v>85.883705035668001</v>
      </c>
      <c r="F69">
        <v>90.264510345118538</v>
      </c>
      <c r="G69">
        <v>90.181219407712433</v>
      </c>
      <c r="H69">
        <v>67.322786042022429</v>
      </c>
      <c r="I69">
        <v>88.993374746599201</v>
      </c>
      <c r="J69">
        <v>89.214820157998901</v>
      </c>
      <c r="K69">
        <v>0.90429356742429801</v>
      </c>
      <c r="L69">
        <v>79.899689230769198</v>
      </c>
      <c r="M69" s="15">
        <f>+'[3]VAR expectations'!C93</f>
        <v>2.6505886564059562</v>
      </c>
      <c r="N69">
        <v>0.580318036056505</v>
      </c>
      <c r="O69">
        <v>0.158164675972188</v>
      </c>
      <c r="P69">
        <v>-3.1723298303279601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89.638295403714764</v>
      </c>
      <c r="C70">
        <v>85.933672822201629</v>
      </c>
      <c r="D70">
        <v>97.975068946098347</v>
      </c>
      <c r="E70">
        <v>86.951848213337655</v>
      </c>
      <c r="F70">
        <v>91.446251650076135</v>
      </c>
      <c r="G70">
        <v>90.863379642539371</v>
      </c>
      <c r="H70">
        <v>68.001560728305677</v>
      </c>
      <c r="I70">
        <v>88.087481347781321</v>
      </c>
      <c r="J70">
        <v>89.6056450377923</v>
      </c>
      <c r="K70">
        <v>0.90164406265091901</v>
      </c>
      <c r="L70">
        <v>81.7654454545455</v>
      </c>
      <c r="M70" s="15">
        <f>+'[3]VAR expectations'!C94</f>
        <v>2.8352346264846378</v>
      </c>
      <c r="N70">
        <v>0.26076684740058298</v>
      </c>
      <c r="O70">
        <v>-0.12701395323713599</v>
      </c>
      <c r="P70">
        <v>-2.7289932423004801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90.489806662032137</v>
      </c>
      <c r="C71">
        <v>86.591555360536049</v>
      </c>
      <c r="D71">
        <v>98.369296884443557</v>
      </c>
      <c r="E71">
        <v>88.591671318596653</v>
      </c>
      <c r="F71">
        <v>93.134607816830126</v>
      </c>
      <c r="G71">
        <v>92.782203278589193</v>
      </c>
      <c r="H71">
        <v>69.334161479281974</v>
      </c>
      <c r="I71">
        <v>90.420089004350871</v>
      </c>
      <c r="J71">
        <v>90.401165186622194</v>
      </c>
      <c r="K71">
        <v>0.92051248220941195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-2.6316422331721299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92.028243851358909</v>
      </c>
      <c r="C72">
        <v>87.912954190697988</v>
      </c>
      <c r="D72">
        <v>99.17028642997461</v>
      </c>
      <c r="E72">
        <v>90.012390321345762</v>
      </c>
      <c r="F72">
        <v>94.438455165008989</v>
      </c>
      <c r="G72">
        <v>93.157886418016062</v>
      </c>
      <c r="H72">
        <v>71.802051745744436</v>
      </c>
      <c r="I72">
        <v>95.633502042661277</v>
      </c>
      <c r="J72">
        <v>92.119622915170297</v>
      </c>
      <c r="K72">
        <v>0.94026770544015403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-2.6650535845230201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93.071537300801808</v>
      </c>
      <c r="C73">
        <v>89.053926315777048</v>
      </c>
      <c r="D73">
        <v>99.269248853485166</v>
      </c>
      <c r="E73">
        <v>91.677963745904435</v>
      </c>
      <c r="F73">
        <v>95.451430928228035</v>
      </c>
      <c r="G73">
        <v>96.631551565537336</v>
      </c>
      <c r="H73">
        <v>74.990934828899597</v>
      </c>
      <c r="I73">
        <v>98.193884877279245</v>
      </c>
      <c r="J73">
        <v>93.117967889133197</v>
      </c>
      <c r="K73">
        <v>0.96289727569725403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-3.6943200198828601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93.884446772126466</v>
      </c>
      <c r="C74">
        <v>89.71294743915837</v>
      </c>
      <c r="D74">
        <v>99.557443969745933</v>
      </c>
      <c r="E74">
        <v>93.237255651103837</v>
      </c>
      <c r="F74">
        <v>97.154983559668224</v>
      </c>
      <c r="G74">
        <v>97.117752463062629</v>
      </c>
      <c r="H74">
        <v>76.509671396485274</v>
      </c>
      <c r="I74">
        <v>100.16045923939031</v>
      </c>
      <c r="J74">
        <v>93.836956123347903</v>
      </c>
      <c r="K74">
        <v>0.97514867270814498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-3.8120293223890198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94.672701627668843</v>
      </c>
      <c r="C75">
        <v>90.273241917518405</v>
      </c>
      <c r="D75">
        <v>99.98918519066433</v>
      </c>
      <c r="E75">
        <v>93.532432171000337</v>
      </c>
      <c r="F75">
        <v>97.130993072185063</v>
      </c>
      <c r="G75">
        <v>97.517211908711772</v>
      </c>
      <c r="H75">
        <v>77.876662061892262</v>
      </c>
      <c r="I75">
        <v>104.67339674082234</v>
      </c>
      <c r="J75">
        <v>94.592229969724599</v>
      </c>
      <c r="K75">
        <v>0.96433731069461104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-3.7258453786807899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95.220822452661238</v>
      </c>
      <c r="C76">
        <v>90.990421791725922</v>
      </c>
      <c r="D76">
        <v>100.26853137448165</v>
      </c>
      <c r="E76">
        <v>94.339793794349433</v>
      </c>
      <c r="F76">
        <v>98.059600872870746</v>
      </c>
      <c r="G76">
        <v>98.455343056451568</v>
      </c>
      <c r="H76">
        <v>78.297778744059997</v>
      </c>
      <c r="I76">
        <v>104.58865097375701</v>
      </c>
      <c r="J76">
        <v>95.306846592129602</v>
      </c>
      <c r="K76">
        <v>0.95983049332702097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-3.43778830624839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95.661802234260122</v>
      </c>
      <c r="C77">
        <v>91.874665942901018</v>
      </c>
      <c r="D77">
        <v>99.992918109112964</v>
      </c>
      <c r="E77">
        <v>95.203032225224888</v>
      </c>
      <c r="F77">
        <v>98.600138439055698</v>
      </c>
      <c r="G77">
        <v>98.344926271739268</v>
      </c>
      <c r="H77">
        <v>80.928815428070337</v>
      </c>
      <c r="I77">
        <v>104.38447553116167</v>
      </c>
      <c r="J77">
        <v>95.696119536298397</v>
      </c>
      <c r="K77">
        <v>0.94747856672231201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-4.3636593431138598E-2</v>
      </c>
      <c r="P77">
        <v>-2.9927688700571999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96.15976408067678</v>
      </c>
      <c r="C78">
        <v>92.663387557174303</v>
      </c>
      <c r="D78">
        <v>100.06946490952328</v>
      </c>
      <c r="E78">
        <v>96.120000365910812</v>
      </c>
      <c r="F78">
        <v>99.226068991467855</v>
      </c>
      <c r="G78">
        <v>98.889166173515221</v>
      </c>
      <c r="H78">
        <v>82.976612604507807</v>
      </c>
      <c r="I78">
        <v>103.683919027</v>
      </c>
      <c r="J78">
        <v>96.1163889809891</v>
      </c>
      <c r="K78">
        <v>0.94547650130598404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-2.5414513731602102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97.162655541143295</v>
      </c>
      <c r="C79">
        <v>93.826481750542158</v>
      </c>
      <c r="D79">
        <v>100.41599884806432</v>
      </c>
      <c r="E79">
        <v>97.577208656101433</v>
      </c>
      <c r="F79">
        <v>100.72039233072867</v>
      </c>
      <c r="G79">
        <v>99.479583945305365</v>
      </c>
      <c r="H79">
        <v>84.635093603999167</v>
      </c>
      <c r="I79">
        <v>105.58542346804133</v>
      </c>
      <c r="J79">
        <v>97.112714563620798</v>
      </c>
      <c r="K79">
        <v>0.94533886818945201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-2.57651501646236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97.878192774356535</v>
      </c>
      <c r="C80">
        <v>94.497556112689139</v>
      </c>
      <c r="D80">
        <v>100.25484961273268</v>
      </c>
      <c r="E80">
        <v>98.933195387726826</v>
      </c>
      <c r="F80">
        <v>101.83118631661667</v>
      </c>
      <c r="G80">
        <v>101.77764628734566</v>
      </c>
      <c r="H80">
        <v>85.719824730242863</v>
      </c>
      <c r="I80">
        <v>108.311517624288</v>
      </c>
      <c r="J80">
        <v>97.939286014293799</v>
      </c>
      <c r="K80">
        <v>0.97025854045161797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-2.8420726107474099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98.251377177781819</v>
      </c>
      <c r="C81">
        <v>95.046522585338039</v>
      </c>
      <c r="D81">
        <v>100.27978146485232</v>
      </c>
      <c r="E81">
        <v>99.859688693989995</v>
      </c>
      <c r="F81">
        <v>102.75501840368433</v>
      </c>
      <c r="G81">
        <v>101.83633719076465</v>
      </c>
      <c r="H81">
        <v>87.210971116915104</v>
      </c>
      <c r="I81">
        <v>107.83195784098565</v>
      </c>
      <c r="J81">
        <v>98.271526198891706</v>
      </c>
      <c r="K81">
        <v>0.96254607930812597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-2.8344589561067299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98.752869275179535</v>
      </c>
      <c r="C82">
        <v>95.573131511645059</v>
      </c>
      <c r="D82">
        <v>100.44639021773499</v>
      </c>
      <c r="E82">
        <v>100.64150055160833</v>
      </c>
      <c r="F82">
        <v>103.29673380505865</v>
      </c>
      <c r="G82">
        <v>102.71399152594967</v>
      </c>
      <c r="H82">
        <v>88.583392812172406</v>
      </c>
      <c r="I82">
        <v>108.30887134810068</v>
      </c>
      <c r="J82">
        <v>98.725318704597996</v>
      </c>
      <c r="K82">
        <v>0.96206292968870799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-1.9742831920135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99.166457735127338</v>
      </c>
      <c r="C83">
        <v>96.227817058059557</v>
      </c>
      <c r="D83">
        <v>100.783742740829</v>
      </c>
      <c r="E83">
        <v>101.17449893114934</v>
      </c>
      <c r="F83">
        <v>103.580933631626</v>
      </c>
      <c r="G83">
        <v>102.56859954598667</v>
      </c>
      <c r="H83">
        <v>90.446590822973803</v>
      </c>
      <c r="I83">
        <v>107.92716783751534</v>
      </c>
      <c r="J83">
        <v>99.146738753116196</v>
      </c>
      <c r="K83">
        <v>0.94258678216933001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-2.1932674852037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99.615947524014587</v>
      </c>
      <c r="C84">
        <v>96.761596207527347</v>
      </c>
      <c r="D84">
        <v>100.74126896682232</v>
      </c>
      <c r="E84">
        <v>101.51260460539</v>
      </c>
      <c r="F84">
        <v>103.69929709232368</v>
      </c>
      <c r="G84">
        <v>102.60404229375433</v>
      </c>
      <c r="H84">
        <v>91.971359113856735</v>
      </c>
      <c r="I84">
        <v>109.70613479879067</v>
      </c>
      <c r="J84">
        <v>99.636207435035601</v>
      </c>
      <c r="K84">
        <v>0.93181462991006003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-1.8826407462063099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99.965836372955081</v>
      </c>
      <c r="C85">
        <v>97.447448998765196</v>
      </c>
      <c r="D85">
        <v>101.19553007850067</v>
      </c>
      <c r="E85">
        <v>101.10273331279234</v>
      </c>
      <c r="F85">
        <v>102.71216420323299</v>
      </c>
      <c r="G85">
        <v>102.60684268663567</v>
      </c>
      <c r="H85">
        <v>93.614324808801697</v>
      </c>
      <c r="I85">
        <v>108.99811948591133</v>
      </c>
      <c r="J85">
        <v>99.975641653757904</v>
      </c>
      <c r="K85">
        <v>0.92660557261258103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-1.38128303613152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100.15680021155235</v>
      </c>
      <c r="C86">
        <v>97.959957606644764</v>
      </c>
      <c r="D86">
        <v>101.00937226451667</v>
      </c>
      <c r="E86">
        <v>101.199929716624</v>
      </c>
      <c r="F86">
        <v>102.32978196170667</v>
      </c>
      <c r="G86">
        <v>102.08053107698733</v>
      </c>
      <c r="H86">
        <v>95.728486132839421</v>
      </c>
      <c r="I86">
        <v>108.44593654805867</v>
      </c>
      <c r="J86">
        <v>100.153953875947</v>
      </c>
      <c r="K86">
        <v>0.91380926837552501</v>
      </c>
      <c r="L86">
        <v>88.037404545454606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-1.33620784186764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100.07191147532841</v>
      </c>
      <c r="C87">
        <v>98.542820081365036</v>
      </c>
      <c r="D87">
        <v>100.498599926456</v>
      </c>
      <c r="E87">
        <v>101.34937293171966</v>
      </c>
      <c r="F87">
        <v>101.90279592211367</v>
      </c>
      <c r="G87">
        <v>102.87833825132134</v>
      </c>
      <c r="H87">
        <v>97.583026844075391</v>
      </c>
      <c r="I87">
        <v>105.70698232937802</v>
      </c>
      <c r="J87">
        <v>100.072783330707</v>
      </c>
      <c r="K87">
        <v>0.90323157621595296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-1.25002526213317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99.755610222116459</v>
      </c>
      <c r="C88">
        <v>99.110776405444582</v>
      </c>
      <c r="D88">
        <v>100.21632865066947</v>
      </c>
      <c r="E88">
        <v>100.36839163159533</v>
      </c>
      <c r="F88">
        <v>100.68584824732933</v>
      </c>
      <c r="G88">
        <v>100.86670053063267</v>
      </c>
      <c r="H88">
        <v>98.715554058142814</v>
      </c>
      <c r="I88">
        <v>100.83070177645733</v>
      </c>
      <c r="J88">
        <v>99.737538850141803</v>
      </c>
      <c r="K88">
        <v>0.87885515922245505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-1.30733275958332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99.962616134945804</v>
      </c>
      <c r="C89">
        <v>99.576411098645295</v>
      </c>
      <c r="D89">
        <v>100.00526997374634</v>
      </c>
      <c r="E89">
        <v>100.17239811241232</v>
      </c>
      <c r="F89">
        <v>100.356645554243</v>
      </c>
      <c r="G89">
        <v>100.543141237619</v>
      </c>
      <c r="H89">
        <v>99.288251245420838</v>
      </c>
      <c r="I89">
        <v>101.88327510288333</v>
      </c>
      <c r="J89">
        <v>99.968549435056701</v>
      </c>
      <c r="K89">
        <v>0.87334294424922998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-1.4647002398396201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100.13007729655932</v>
      </c>
      <c r="C90">
        <v>100.26343339987601</v>
      </c>
      <c r="D90">
        <v>100.00278622263716</v>
      </c>
      <c r="E90">
        <v>99.895522480235755</v>
      </c>
      <c r="F90">
        <v>99.795508719164403</v>
      </c>
      <c r="G90">
        <v>99.804361228313041</v>
      </c>
      <c r="H90">
        <v>100.32768612318834</v>
      </c>
      <c r="I90">
        <v>99.958480997713934</v>
      </c>
      <c r="J90">
        <v>100.1471300728</v>
      </c>
      <c r="K90">
        <v>0.86162665883296397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-1.2747421782467601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100.13176139974733</v>
      </c>
      <c r="C91">
        <v>101.03705939890166</v>
      </c>
      <c r="D91">
        <v>99.774265068658565</v>
      </c>
      <c r="E91">
        <v>99.558780363950234</v>
      </c>
      <c r="F91">
        <v>99.150822212543673</v>
      </c>
      <c r="G91">
        <v>98.665187289007704</v>
      </c>
      <c r="H91">
        <v>101.75018880921867</v>
      </c>
      <c r="I91">
        <v>97.165015096901229</v>
      </c>
      <c r="J91">
        <v>100.146781642002</v>
      </c>
      <c r="K91">
        <v>0.85110991350774401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-0.81574917739286301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100.13344409752365</v>
      </c>
      <c r="C92">
        <v>101.63049295746968</v>
      </c>
      <c r="D92">
        <v>99.608841729099538</v>
      </c>
      <c r="E92">
        <v>98.872415315815431</v>
      </c>
      <c r="F92">
        <v>98.163835930550803</v>
      </c>
      <c r="G92">
        <v>97.543989239543563</v>
      </c>
      <c r="H92">
        <v>102.86978686550201</v>
      </c>
      <c r="I92">
        <v>95.367685725257388</v>
      </c>
      <c r="J92">
        <v>100.085675179928</v>
      </c>
      <c r="K92">
        <v>0.86850347615406098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-0.67088505986163505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100.31951459716201</v>
      </c>
      <c r="C93">
        <v>102.17236824200101</v>
      </c>
      <c r="D93">
        <v>99.216914202376429</v>
      </c>
      <c r="E93">
        <v>98.485343765813241</v>
      </c>
      <c r="F93">
        <v>97.581945113809923</v>
      </c>
      <c r="G93">
        <v>96.320948532208149</v>
      </c>
      <c r="H93">
        <v>104.017335428428</v>
      </c>
      <c r="I93">
        <v>96.848822798115705</v>
      </c>
      <c r="J93">
        <v>100.330706210044</v>
      </c>
      <c r="K93">
        <v>0.88843752965302603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-0.952309010574661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100.82493876264067</v>
      </c>
      <c r="C94">
        <v>102.981119782401</v>
      </c>
      <c r="D94">
        <v>99.172489254715671</v>
      </c>
      <c r="E94">
        <v>98.706911814238836</v>
      </c>
      <c r="F94">
        <v>97.43987898695606</v>
      </c>
      <c r="G94">
        <v>96.299375763967973</v>
      </c>
      <c r="H94">
        <v>105.93735742487833</v>
      </c>
      <c r="I94">
        <v>97.781621359793533</v>
      </c>
      <c r="J94">
        <v>100.852766302592</v>
      </c>
      <c r="K94">
        <v>0.92673576098927701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-0.74176939534255604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101.35169131852068</v>
      </c>
      <c r="C95">
        <v>103.43065916977933</v>
      </c>
      <c r="D95">
        <v>99.72986468206723</v>
      </c>
      <c r="E95">
        <v>98.871962144218472</v>
      </c>
      <c r="F95">
        <v>97.339252793263242</v>
      </c>
      <c r="G95">
        <v>97.005860029809028</v>
      </c>
      <c r="H95">
        <v>106.75755223832867</v>
      </c>
      <c r="I95">
        <v>100.00782968493964</v>
      </c>
      <c r="J95">
        <v>101.371026660685</v>
      </c>
      <c r="K95">
        <v>0.94768492962638395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-0.67478306772361896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102.29059496089299</v>
      </c>
      <c r="C96">
        <v>104.16472847666734</v>
      </c>
      <c r="D96">
        <v>100.32480338110356</v>
      </c>
      <c r="E96">
        <v>100.01671861935334</v>
      </c>
      <c r="F96">
        <v>98.467795137992127</v>
      </c>
      <c r="G96">
        <v>97.891993114894944</v>
      </c>
      <c r="H96">
        <v>108.389924601264</v>
      </c>
      <c r="I96">
        <v>103.56120883228567</v>
      </c>
      <c r="J96">
        <v>102.225726777904</v>
      </c>
      <c r="K96">
        <v>0.95971239660198604</v>
      </c>
      <c r="L96">
        <v>77.053801538461499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-0.56431528853057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103.07817212515033</v>
      </c>
      <c r="C97">
        <v>105.06236032371334</v>
      </c>
      <c r="D97">
        <v>101.168711990286</v>
      </c>
      <c r="E97">
        <v>101.233897169344</v>
      </c>
      <c r="F97">
        <v>99.495368702499078</v>
      </c>
      <c r="G97">
        <v>99.081310206258294</v>
      </c>
      <c r="H97">
        <v>110.41521706884333</v>
      </c>
      <c r="I97">
        <v>102.40421732572634</v>
      </c>
      <c r="J97">
        <v>103.097588878363</v>
      </c>
      <c r="K97">
        <v>0.95647260780480703</v>
      </c>
      <c r="L97">
        <v>77.968176923076896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-0.63519953431376597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103.64343050464799</v>
      </c>
      <c r="C98">
        <v>105.71509997152266</v>
      </c>
      <c r="D98">
        <v>101.616717254557</v>
      </c>
      <c r="E98">
        <v>101.81731689803367</v>
      </c>
      <c r="F98">
        <v>99.909228184811823</v>
      </c>
      <c r="G98">
        <v>99.590146995285593</v>
      </c>
      <c r="H98">
        <v>111.821390411384</v>
      </c>
      <c r="I98">
        <v>102.437233192235</v>
      </c>
      <c r="J98">
        <v>103.675072340648</v>
      </c>
      <c r="K98">
        <v>0.96509224987089204</v>
      </c>
      <c r="L98">
        <v>76.548027692307699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-0.80360708494998301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104.424871656932</v>
      </c>
      <c r="C99">
        <v>106.23503919639033</v>
      </c>
      <c r="D99">
        <v>102.23912104493365</v>
      </c>
      <c r="E99">
        <v>103.07827190641233</v>
      </c>
      <c r="F99">
        <v>101.25669160906534</v>
      </c>
      <c r="G99">
        <v>99.757020543508375</v>
      </c>
      <c r="H99">
        <v>113.50531925058966</v>
      </c>
      <c r="I99">
        <v>105.16475994086632</v>
      </c>
      <c r="J99">
        <v>104.442189556904</v>
      </c>
      <c r="K99">
        <v>0.97205100015429002</v>
      </c>
      <c r="L99">
        <v>77.708216923076904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-0.83009864760030805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105.07791590352765</v>
      </c>
      <c r="C100">
        <v>106.84086385678434</v>
      </c>
      <c r="D100">
        <v>102.60504121557067</v>
      </c>
      <c r="E100">
        <v>103.73899478875933</v>
      </c>
      <c r="F100">
        <v>101.67240843898099</v>
      </c>
      <c r="G100">
        <v>99.92193123499392</v>
      </c>
      <c r="H100">
        <v>116.020325139791</v>
      </c>
      <c r="I100">
        <v>107.59543774821367</v>
      </c>
      <c r="J100">
        <v>105.000849658606</v>
      </c>
      <c r="K100">
        <v>0.97611841956968204</v>
      </c>
      <c r="L100">
        <v>79.033741538461499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-0.90531947051949302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105.56526584926333</v>
      </c>
      <c r="C101">
        <v>107.41441819492034</v>
      </c>
      <c r="D101">
        <v>102.91889259176099</v>
      </c>
      <c r="E101">
        <v>104.06554767532468</v>
      </c>
      <c r="F101">
        <v>101.77669014948698</v>
      </c>
      <c r="G101">
        <v>99.731193191432794</v>
      </c>
      <c r="H101">
        <v>118.06174428405801</v>
      </c>
      <c r="I101">
        <v>108.68811391858867</v>
      </c>
      <c r="J101">
        <v>105.602395415046</v>
      </c>
      <c r="K101">
        <v>0.986092014210877</v>
      </c>
      <c r="L101">
        <v>79.101027692307696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-0.74790025734454202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106.24118998721501</v>
      </c>
      <c r="C102">
        <v>108.26195669748267</v>
      </c>
      <c r="D102">
        <v>102.850178899735</v>
      </c>
      <c r="E102">
        <v>104.473766566392</v>
      </c>
      <c r="F102">
        <v>101.967441146372</v>
      </c>
      <c r="G102">
        <v>99.952070266800078</v>
      </c>
      <c r="H102">
        <v>119.75465198188567</v>
      </c>
      <c r="I102">
        <v>111.72246236461335</v>
      </c>
      <c r="J102">
        <v>106.268977063614</v>
      </c>
      <c r="K102">
        <v>0.99638673401549804</v>
      </c>
      <c r="L102">
        <v>77.813970769230806</v>
      </c>
      <c r="M102" s="15">
        <f>+'[3]VAR expectations'!C126</f>
        <v>2.6759360893479318</v>
      </c>
      <c r="N102">
        <v>0.59026787322204299</v>
      </c>
      <c r="O102">
        <v>0.21968415645398701</v>
      </c>
      <c r="P102">
        <v>-0.56254020837855201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106.79733077962966</v>
      </c>
      <c r="C103">
        <v>108.86149874451201</v>
      </c>
      <c r="D103">
        <v>103.181424096368</v>
      </c>
      <c r="E103">
        <v>104.96317077372233</v>
      </c>
      <c r="F103">
        <v>101.96313814912101</v>
      </c>
      <c r="G103">
        <v>100.27537337344832</v>
      </c>
      <c r="H103">
        <v>122.71090254281866</v>
      </c>
      <c r="I103">
        <v>113.99515878566633</v>
      </c>
      <c r="J103">
        <v>106.81132361471199</v>
      </c>
      <c r="K103">
        <v>0.99157593162403501</v>
      </c>
      <c r="L103">
        <v>77.843365151515201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-0.54888891726445499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107.07004441506099</v>
      </c>
      <c r="C104">
        <v>109.49712045441834</v>
      </c>
      <c r="D104">
        <v>103.55059025287733</v>
      </c>
      <c r="E104">
        <v>105.882134264775</v>
      </c>
      <c r="F104">
        <v>102.65594096657166</v>
      </c>
      <c r="G104">
        <v>100.901469343789</v>
      </c>
      <c r="H104">
        <v>125.21929979223501</v>
      </c>
      <c r="I104">
        <v>109.36914829673033</v>
      </c>
      <c r="J104">
        <v>106.975439379612</v>
      </c>
      <c r="K104">
        <v>0.99141183150394996</v>
      </c>
      <c r="L104">
        <v>78.730262499999995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-0.12737372568924499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107.70307440063034</v>
      </c>
      <c r="C105">
        <v>110.25242121368501</v>
      </c>
      <c r="D105">
        <v>103.32859652329567</v>
      </c>
      <c r="E105">
        <v>105.962492306223</v>
      </c>
      <c r="F105">
        <v>102.90990496620235</v>
      </c>
      <c r="G105">
        <v>100.40921539271467</v>
      </c>
      <c r="H105">
        <v>125.29539116612466</v>
      </c>
      <c r="I105">
        <v>115.30838401808501</v>
      </c>
      <c r="J105">
        <v>107.77250053712299</v>
      </c>
      <c r="K105">
        <v>0.99936638442185</v>
      </c>
      <c r="L105">
        <v>78.4577861538462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-0.56532865928738796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108.18885639554067</v>
      </c>
      <c r="C106">
        <v>110.89286915920333</v>
      </c>
      <c r="D106">
        <v>103.48749069539433</v>
      </c>
      <c r="E106">
        <v>106.69583662972768</v>
      </c>
      <c r="F106">
        <v>103.62121328272701</v>
      </c>
      <c r="G106">
        <v>100.88548714548433</v>
      </c>
      <c r="H106">
        <v>126.24850409337733</v>
      </c>
      <c r="I106">
        <v>114.83044592782333</v>
      </c>
      <c r="J106">
        <v>108.202954073904</v>
      </c>
      <c r="K106">
        <v>1.0140568289313101</v>
      </c>
      <c r="L106">
        <v>75.796048484848498</v>
      </c>
      <c r="M106" s="15">
        <f>+'[3]VAR expectations'!C130</f>
        <v>2.9781745842670815</v>
      </c>
      <c r="N106">
        <v>0.17462163035891701</v>
      </c>
      <c r="O106">
        <v>-8.21163442679727E-3</v>
      </c>
      <c r="P106">
        <v>-0.449076074707774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108.30054960046398</v>
      </c>
      <c r="C107">
        <v>111.42619202889666</v>
      </c>
      <c r="D107">
        <v>103.63403605615666</v>
      </c>
      <c r="E107">
        <v>106.918089946655</v>
      </c>
      <c r="F107">
        <v>103.70611590482032</v>
      </c>
      <c r="G107">
        <v>101.57937370500299</v>
      </c>
      <c r="H107">
        <v>126.29975389962999</v>
      </c>
      <c r="I107">
        <v>112.09502665372332</v>
      </c>
      <c r="J107">
        <v>108.31412690145</v>
      </c>
      <c r="K107">
        <v>0.99576582870709296</v>
      </c>
      <c r="L107">
        <v>79.404298484848496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-0.54951317064833105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108.908253395605</v>
      </c>
      <c r="C108">
        <v>112.19164583816034</v>
      </c>
      <c r="D108">
        <v>103.99263568989068</v>
      </c>
      <c r="E108">
        <v>107.27842914656433</v>
      </c>
      <c r="F108">
        <v>104.040283802762</v>
      </c>
      <c r="G108">
        <v>101.87712145790367</v>
      </c>
      <c r="H108">
        <v>126.685716509751</v>
      </c>
      <c r="I108">
        <v>112.95217218237701</v>
      </c>
      <c r="J108">
        <v>108.784366009005</v>
      </c>
      <c r="K108">
        <v>0.98921837596373596</v>
      </c>
      <c r="L108">
        <v>79.231909230769205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-0.62816482316322497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108.31019152343201</v>
      </c>
      <c r="C109">
        <v>112.33523477592701</v>
      </c>
      <c r="D109">
        <v>103.82429783438602</v>
      </c>
      <c r="E109">
        <v>107.74844719489533</v>
      </c>
      <c r="F109">
        <v>104.35570304388666</v>
      </c>
      <c r="G109">
        <v>102.47094022530767</v>
      </c>
      <c r="H109">
        <v>128.629572594216</v>
      </c>
      <c r="I109">
        <v>102.56762511924201</v>
      </c>
      <c r="J109">
        <v>108.43009561822799</v>
      </c>
      <c r="K109">
        <v>0.97634496414970795</v>
      </c>
      <c r="L109">
        <v>77.417078461538495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-2.7952897707186399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108.84207719471334</v>
      </c>
      <c r="C110">
        <v>112.46691454064268</v>
      </c>
      <c r="D110">
        <v>104.62213344108534</v>
      </c>
      <c r="E110">
        <v>107.63686892457299</v>
      </c>
      <c r="F110">
        <v>103.95941520417966</v>
      </c>
      <c r="G110">
        <v>101.73835548414569</v>
      </c>
      <c r="H110">
        <v>130.60620522251466</v>
      </c>
      <c r="I110">
        <v>104.894260010167</v>
      </c>
      <c r="J110">
        <v>108.832571849719</v>
      </c>
      <c r="K110">
        <v>0.97883095395886899</v>
      </c>
      <c r="L110">
        <v>77.453536363636402</v>
      </c>
      <c r="M110" s="15">
        <f>+'[3]VAR expectations'!C134</f>
        <v>3.1319434989789481</v>
      </c>
      <c r="N110">
        <v>-0.57563884899936602</v>
      </c>
      <c r="O110">
        <v>0.118900887754049</v>
      </c>
      <c r="P110">
        <v>-1.9685648119861801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108.87397125491866</v>
      </c>
      <c r="C111">
        <v>113.00507721937868</v>
      </c>
      <c r="D111">
        <v>104.86580978747867</v>
      </c>
      <c r="E111">
        <v>107.30157428060734</v>
      </c>
      <c r="F111">
        <v>103.20252232937401</v>
      </c>
      <c r="G111">
        <v>101.94719672532334</v>
      </c>
      <c r="H111">
        <v>131.89344607448632</v>
      </c>
      <c r="I111">
        <v>102.03305148997266</v>
      </c>
      <c r="J111">
        <v>108.88469767803301</v>
      </c>
      <c r="K111">
        <v>1.0012800496960601</v>
      </c>
      <c r="L111">
        <v>77.966816666666702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-1.68883356808434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109.63106944606066</v>
      </c>
      <c r="C112">
        <v>113.98941066704701</v>
      </c>
      <c r="D112">
        <v>104.757126438193</v>
      </c>
      <c r="E112">
        <v>107.48640648365767</v>
      </c>
      <c r="F112">
        <v>103.14489360101267</v>
      </c>
      <c r="G112">
        <v>102.21045439532367</v>
      </c>
      <c r="H112">
        <v>133.18929431838436</v>
      </c>
      <c r="I112">
        <v>106.47494594308067</v>
      </c>
      <c r="J112">
        <v>109.489389774814</v>
      </c>
      <c r="K112">
        <v>1.0066611537263499</v>
      </c>
      <c r="L112">
        <v>80.482731250000001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-0.91089864582077995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110.46685842114567</v>
      </c>
      <c r="C113">
        <v>114.40762962661567</v>
      </c>
      <c r="D113">
        <v>105.87936483197467</v>
      </c>
      <c r="E113">
        <v>107.77702175705599</v>
      </c>
      <c r="F113">
        <v>103.55327502919033</v>
      </c>
      <c r="G113">
        <v>103.36242074205067</v>
      </c>
      <c r="H113">
        <v>132.48889018162234</v>
      </c>
      <c r="I113">
        <v>111.56647585487201</v>
      </c>
      <c r="J113">
        <v>110.635185689511</v>
      </c>
      <c r="K113">
        <v>1.0023594354094001</v>
      </c>
      <c r="L113">
        <v>81.786427692307697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0.127100546674869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111.86618767918401</v>
      </c>
      <c r="C114">
        <v>115.180887410191</v>
      </c>
      <c r="D114">
        <v>107.74429719233568</v>
      </c>
      <c r="E114">
        <v>108.41296629462867</v>
      </c>
      <c r="F114">
        <v>104.09722458996799</v>
      </c>
      <c r="G114">
        <v>103.32297483274067</v>
      </c>
      <c r="H114">
        <v>134.070184491974</v>
      </c>
      <c r="I114">
        <v>115.12615494701799</v>
      </c>
      <c r="J114">
        <v>111.82802942773201</v>
      </c>
      <c r="K114">
        <v>1.0314278958522201</v>
      </c>
      <c r="L114">
        <v>81.769348484848507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0.25815461368186399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114.21722267507066</v>
      </c>
      <c r="C115">
        <v>116.72641314929534</v>
      </c>
      <c r="D115">
        <v>109.641589208176</v>
      </c>
      <c r="E115">
        <v>110.38750901185499</v>
      </c>
      <c r="F115">
        <v>105.92738118546167</v>
      </c>
      <c r="G115">
        <v>104.129303175749</v>
      </c>
      <c r="H115">
        <v>138.24846035514966</v>
      </c>
      <c r="I115">
        <v>126.81310867341934</v>
      </c>
      <c r="J115">
        <v>114.222148587928</v>
      </c>
      <c r="K115">
        <v>1.0869456815638701</v>
      </c>
      <c r="L115">
        <v>81.601331818181805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0.774883425303596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116.51023019298067</v>
      </c>
      <c r="C116">
        <v>118.12607837728034</v>
      </c>
      <c r="D116">
        <v>112.138224621633</v>
      </c>
      <c r="E116">
        <v>112.64370550216933</v>
      </c>
      <c r="F116">
        <v>108.431139209579</v>
      </c>
      <c r="G116">
        <v>104.06611146981101</v>
      </c>
      <c r="H116">
        <v>141.29463309492465</v>
      </c>
      <c r="I116">
        <v>132.24121340002168</v>
      </c>
      <c r="J116">
        <v>116.34681099891699</v>
      </c>
      <c r="K116">
        <v>1.1275989580293799</v>
      </c>
      <c r="L116">
        <v>82.320465624997198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1.76836581167985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120.52017469038067</v>
      </c>
      <c r="C117">
        <v>120.03308622966433</v>
      </c>
      <c r="D117">
        <v>113.46566730448366</v>
      </c>
      <c r="E117">
        <v>115.568521993071</v>
      </c>
      <c r="F117">
        <v>112.17912726724434</v>
      </c>
      <c r="G117">
        <v>104.851013099767</v>
      </c>
      <c r="H117">
        <v>143.05063220162</v>
      </c>
      <c r="I117">
        <v>171.54587797159732</v>
      </c>
      <c r="J117">
        <v>120.74776996646899</v>
      </c>
      <c r="K117">
        <v>1.1794334174449199</v>
      </c>
      <c r="L117">
        <v>80.190636866096895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1.7230898542269899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123.09220627101833</v>
      </c>
      <c r="C118">
        <v>121.99927061415434</v>
      </c>
      <c r="D118">
        <v>114.96651413695633</v>
      </c>
      <c r="E118">
        <v>120.34412346209734</v>
      </c>
      <c r="F118">
        <v>118.04102815651333</v>
      </c>
      <c r="G118">
        <v>106.27064515833065</v>
      </c>
      <c r="H118">
        <v>144.92721768343299</v>
      </c>
      <c r="I118">
        <v>177.00439790175369</v>
      </c>
      <c r="J118">
        <v>123.019914675343</v>
      </c>
      <c r="K118">
        <v>1.26246662763152</v>
      </c>
      <c r="L118">
        <v>78.205745454544996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1.43730148732707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126.495195363289</v>
      </c>
      <c r="C119">
        <v>124.25785672201732</v>
      </c>
      <c r="D119">
        <v>116.55367912083365</v>
      </c>
      <c r="E119">
        <v>124.62740413213699</v>
      </c>
      <c r="F119">
        <v>123.37650786706301</v>
      </c>
      <c r="G119">
        <v>108.013975665953</v>
      </c>
      <c r="H119">
        <v>145.91438427664298</v>
      </c>
      <c r="I119">
        <v>197.66792971291633</v>
      </c>
      <c r="J119">
        <v>126.502265512256</v>
      </c>
      <c r="K119">
        <v>1.2310286407533499</v>
      </c>
      <c r="L119">
        <v>78.037909230769202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1.24244862428622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128.41527037512566</v>
      </c>
      <c r="C120">
        <v>125.74243292768733</v>
      </c>
      <c r="D120">
        <v>118.53962788277867</v>
      </c>
      <c r="E120">
        <v>128.64905475652165</v>
      </c>
      <c r="F120">
        <v>127.93356308314601</v>
      </c>
      <c r="G120">
        <v>110.12826936698367</v>
      </c>
      <c r="H120">
        <v>148.40795844657433</v>
      </c>
      <c r="I120">
        <v>193.30647261173235</v>
      </c>
      <c r="J120">
        <v>128.22346114437599</v>
      </c>
      <c r="K120">
        <v>1.2323476813857099</v>
      </c>
      <c r="L120">
        <v>78.1068492307692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0.98520080045761005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130.61947126611199</v>
      </c>
      <c r="C121">
        <v>128.607859068571</v>
      </c>
      <c r="D121">
        <v>120.89269019314968</v>
      </c>
      <c r="E121">
        <v>133.47541823783502</v>
      </c>
      <c r="F121">
        <v>132.58755197142401</v>
      </c>
      <c r="G121">
        <v>112.15631159662068</v>
      </c>
      <c r="H121">
        <v>159.03867066217435</v>
      </c>
      <c r="I121">
        <v>184.30093805913202</v>
      </c>
      <c r="J121">
        <v>130.89608210786099</v>
      </c>
      <c r="K121">
        <v>1.20247350198602</v>
      </c>
      <c r="L121">
        <v>80.384953846153806</v>
      </c>
      <c r="M121" s="15">
        <f>+'[3]VAR expectations'!C145</f>
        <v>4.9659010810981856</v>
      </c>
      <c r="N121">
        <v>0.70170723997551099</v>
      </c>
      <c r="O121">
        <v>-0.231251350162267</v>
      </c>
      <c r="P121">
        <v>0.73819934325006398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131.36649438855264</v>
      </c>
      <c r="C122">
        <v>130.59424657194199</v>
      </c>
      <c r="D122">
        <v>121.02061762230868</v>
      </c>
      <c r="E122">
        <v>135.41959243760434</v>
      </c>
      <c r="F122">
        <v>133.96597053745032</v>
      </c>
      <c r="G122">
        <v>115.64791484854534</v>
      </c>
      <c r="H122">
        <v>162.02612933571666</v>
      </c>
      <c r="I122">
        <v>170.94249679276732</v>
      </c>
      <c r="J122">
        <v>131.26723028230199</v>
      </c>
      <c r="K122">
        <v>1.19177734037031</v>
      </c>
      <c r="L122">
        <v>82.125763076923107</v>
      </c>
      <c r="M122" s="15">
        <f>+'[3]VAR expectations'!C146</f>
        <v>4.3007323969777262</v>
      </c>
      <c r="N122">
        <v>-0.16340187781012599</v>
      </c>
      <c r="O122">
        <v>-0.673433352934243</v>
      </c>
      <c r="P122">
        <v>0.397347121379718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131.77346590563499</v>
      </c>
      <c r="C123">
        <v>132.20836456406232</v>
      </c>
      <c r="D123">
        <v>120.74003953580568</v>
      </c>
      <c r="E123">
        <v>136.66936323488633</v>
      </c>
      <c r="F123">
        <v>134.61020050070701</v>
      </c>
      <c r="G123">
        <v>118.13234738783068</v>
      </c>
      <c r="H123">
        <v>165.54382529253436</v>
      </c>
      <c r="I123">
        <v>164.76415368125132</v>
      </c>
      <c r="J123">
        <v>131.79277302609401</v>
      </c>
      <c r="K123">
        <v>1.20929980313573</v>
      </c>
      <c r="L123">
        <v>81.116464615384601</v>
      </c>
      <c r="M123" s="15">
        <f>+'[3]VAR expectations'!C147</f>
        <v>3.8582721147576735</v>
      </c>
      <c r="N123">
        <v>-1.3678165112816401</v>
      </c>
      <c r="O123">
        <v>-0.21694556148073699</v>
      </c>
      <c r="P123">
        <v>-3.3447870882347998E-2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B124">
        <v>132.99675746947</v>
      </c>
      <c r="C124">
        <v>133.585633006634</v>
      </c>
      <c r="D124">
        <v>120.94486712129134</v>
      </c>
      <c r="E124">
        <v>137.69899228021333</v>
      </c>
      <c r="F124">
        <v>134.71209103698399</v>
      </c>
      <c r="G124">
        <v>118.88081520458566</v>
      </c>
      <c r="H124">
        <v>172.40575780958633</v>
      </c>
      <c r="I124">
        <v>166.05961849379267</v>
      </c>
      <c r="J124">
        <v>132.790835510953</v>
      </c>
      <c r="K124">
        <v>1.1842765638231001</v>
      </c>
      <c r="L124">
        <v>82.494893846153801</v>
      </c>
      <c r="M124" s="15">
        <f>+'[3]VAR expectations'!C148</f>
        <v>3.6255376960251078</v>
      </c>
      <c r="N124">
        <v>-1.0717785266822</v>
      </c>
      <c r="O124">
        <v>4.3541846025459997E-2</v>
      </c>
      <c r="P124">
        <v>-0.18547633350135501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B125">
        <v>133.18932446117265</v>
      </c>
      <c r="C125">
        <v>135.41289002432532</v>
      </c>
      <c r="D125">
        <v>121.22385975699233</v>
      </c>
      <c r="E125">
        <v>138.11283339672568</v>
      </c>
      <c r="F125">
        <v>134.914526165105</v>
      </c>
      <c r="G125">
        <v>118.64066504351568</v>
      </c>
      <c r="H125">
        <v>174.50879091617435</v>
      </c>
      <c r="I125">
        <v>156.92452935120232</v>
      </c>
      <c r="J125">
        <v>133.48887826535901</v>
      </c>
      <c r="K125">
        <v>1.1931830903258001</v>
      </c>
      <c r="L125">
        <v>82.296410513909294</v>
      </c>
      <c r="M125" s="15">
        <f>+'[3]VAR expectations'!C149</f>
        <v>2.979353541970323</v>
      </c>
      <c r="N125">
        <v>-1.1251237234014799</v>
      </c>
      <c r="O125">
        <v>-0.40443614577732501</v>
      </c>
      <c r="P125">
        <v>-0.188813622682038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B126">
        <v>134.27892635618866</v>
      </c>
      <c r="C126">
        <v>136.97043762923101</v>
      </c>
      <c r="D126">
        <v>121.37087228769201</v>
      </c>
      <c r="E126">
        <v>139.02935078268266</v>
      </c>
      <c r="F126">
        <v>135.453923208948</v>
      </c>
      <c r="G126">
        <v>118.70867322419167</v>
      </c>
      <c r="H126">
        <v>177.10423794875101</v>
      </c>
      <c r="I126">
        <v>155.32442248053732</v>
      </c>
      <c r="J126">
        <v>134.16404946912499</v>
      </c>
      <c r="K126">
        <v>1.1792207619116899</v>
      </c>
      <c r="L126">
        <v>82.141361927050497</v>
      </c>
      <c r="M126" s="15">
        <f>+'[3]VAR expectations'!C150</f>
        <v>2.9717312535901965</v>
      </c>
      <c r="N126">
        <v>-0.656583404509122</v>
      </c>
      <c r="O126">
        <v>-0.3982860759479</v>
      </c>
      <c r="P126">
        <v>-0.23426317320895701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I127">
        <v>157.50778189223334</v>
      </c>
      <c r="J127">
        <v>135.19734190831201</v>
      </c>
      <c r="K127">
        <v>1.17472776714147</v>
      </c>
      <c r="L127">
        <v>82.0471513321082</v>
      </c>
      <c r="M127" s="15">
        <f>+'[3]VAR expectations'!C151</f>
        <v>3.468785277541127</v>
      </c>
      <c r="N127">
        <v>-0.30665098711737099</v>
      </c>
      <c r="O127">
        <v>0.16500605812999999</v>
      </c>
      <c r="P127">
        <v>-0.368575323990255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I128">
        <v>159.509927119808</v>
      </c>
      <c r="J128">
        <v>136.273231940302</v>
      </c>
      <c r="K128">
        <v>1.17335150742423</v>
      </c>
      <c r="L128">
        <v>81.950735613412405</v>
      </c>
      <c r="M128" s="15">
        <f>+'[3]VAR expectations'!C152</f>
        <v>3.8021957884789486</v>
      </c>
      <c r="N128">
        <v>-0.24970972820440601</v>
      </c>
      <c r="O128">
        <v>0.107917584062745</v>
      </c>
      <c r="P128">
        <v>-0.60645427516970396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I129">
        <v>161.05201215417634</v>
      </c>
      <c r="J129">
        <v>136.92692762958799</v>
      </c>
      <c r="K129">
        <v>1.1734467909739901</v>
      </c>
      <c r="L129">
        <v>81.852891654240196</v>
      </c>
      <c r="M129" s="15">
        <f>+'[3]VAR expectations'!C153</f>
        <v>4.011042611251681</v>
      </c>
      <c r="N129">
        <v>0.17582766479418499</v>
      </c>
      <c r="O129">
        <v>3.5632547105975999E-2</v>
      </c>
      <c r="P129">
        <v>-0.83369999999998101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I130">
        <v>163.26199134447668</v>
      </c>
      <c r="J130">
        <v>137.51578122481101</v>
      </c>
      <c r="K130">
        <v>1.1749300094156401</v>
      </c>
      <c r="L130">
        <v>81.751855909512301</v>
      </c>
      <c r="M130" s="15">
        <f>+'[3]VAR expectations'!C154</f>
        <v>3.9691108090385026</v>
      </c>
      <c r="N130">
        <v>0.34711443065428699</v>
      </c>
      <c r="O130">
        <v>-0.17429903529735599</v>
      </c>
      <c r="P130">
        <v>-1.0145999999999999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I131">
        <v>162.038364056739</v>
      </c>
      <c r="J131">
        <v>138.30564830467699</v>
      </c>
      <c r="K131">
        <v>1.1751694745290999</v>
      </c>
      <c r="L131">
        <v>81.649013092665896</v>
      </c>
      <c r="M131" s="15">
        <f>+'[3]VAR expectations'!C155</f>
        <v>3.8470567349792795</v>
      </c>
      <c r="N131">
        <v>0.198061531823013</v>
      </c>
      <c r="O131">
        <v>-7.0369201187523399E-3</v>
      </c>
      <c r="P131">
        <v>-1.1676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I132">
        <v>159.99821917164266</v>
      </c>
      <c r="J132">
        <v>139.168250031068</v>
      </c>
      <c r="K132">
        <v>1.17336504992483</v>
      </c>
      <c r="L132">
        <v>81.547250265345696</v>
      </c>
      <c r="M132" s="15">
        <f>+'[3]VAR expectations'!C156</f>
        <v>4.1639091291217634</v>
      </c>
      <c r="N132">
        <v>3.8115172044307602E-2</v>
      </c>
      <c r="O132">
        <v>-1.6535476013773E-2</v>
      </c>
      <c r="P132">
        <v>-1.2748999999999999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I133">
        <v>158.27733964523932</v>
      </c>
      <c r="J133">
        <v>139.46968534627601</v>
      </c>
      <c r="K133">
        <v>1.1708230692510699</v>
      </c>
      <c r="L133">
        <v>81.448754713480895</v>
      </c>
      <c r="M133" s="15">
        <f>+'[3]VAR expectations'!C157</f>
        <v>5.4104651194166893</v>
      </c>
      <c r="N133">
        <v>-0.13561988846669101</v>
      </c>
      <c r="O133">
        <v>0.19389058082222399</v>
      </c>
      <c r="P133">
        <v>-1.3067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I134">
        <v>160.37621795615067</v>
      </c>
      <c r="J134">
        <v>139.93356860901099</v>
      </c>
      <c r="K134">
        <v>1.1697231818182501</v>
      </c>
      <c r="L134">
        <v>81.354332336861603</v>
      </c>
      <c r="M134" s="15">
        <f>+'[3]VAR expectations'!C158</f>
        <v>4.9139696600199789</v>
      </c>
      <c r="N134">
        <v>-0.12562988486578699</v>
      </c>
      <c r="O134">
        <v>-5.4901279743138999E-2</v>
      </c>
      <c r="P134">
        <v>-1.2561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I135">
        <v>159.19871608437833</v>
      </c>
      <c r="J135">
        <v>140.55018193124101</v>
      </c>
      <c r="K135">
        <v>1.16862190484769</v>
      </c>
      <c r="L135">
        <v>81.264269352860694</v>
      </c>
      <c r="M135" s="15">
        <f>+'[3]VAR expectations'!C159</f>
        <v>4.0011512098701685</v>
      </c>
      <c r="N135">
        <v>-0.124692183401984</v>
      </c>
      <c r="O135">
        <v>-4.4310271174268602E-4</v>
      </c>
      <c r="P135">
        <v>-1.1818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J136">
        <v>141.315756268435</v>
      </c>
      <c r="K136">
        <v>1.1671959365506299</v>
      </c>
      <c r="L136">
        <v>81.178484926004501</v>
      </c>
      <c r="M136" s="15">
        <f>+'[3]VAR expectations'!C160</f>
        <v>3.3715300668176842</v>
      </c>
      <c r="N136">
        <v>-0.101058005525797</v>
      </c>
      <c r="O136">
        <v>-1.27151534663672E-2</v>
      </c>
      <c r="P136">
        <v>-1.1074999999999999</v>
      </c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J137">
        <v>141.64060608251901</v>
      </c>
      <c r="K137">
        <v>1.16562213457666</v>
      </c>
      <c r="L137">
        <v>81.096549312067395</v>
      </c>
      <c r="M137" s="15">
        <f>+'[3]VAR expectations'!C161</f>
        <v>2.9319715449134089</v>
      </c>
      <c r="N137">
        <v>-2.9515509330344102E-2</v>
      </c>
      <c r="O137">
        <v>1.60999570243111E-2</v>
      </c>
      <c r="P137">
        <v>-0.996</v>
      </c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M138" s="15">
        <f>+'[3]VAR expectations'!C162</f>
        <v>2.624058833894372</v>
      </c>
      <c r="O138">
        <v>-6.7701651851022695E-4</v>
      </c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M139" s="15">
        <f>+'[3]VAR expectations'!C163</f>
        <v>2.4687156565697737</v>
      </c>
      <c r="O139">
        <v>-4.15752015621643E-3</v>
      </c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M140" s="15">
        <f>+'[3]VAR expectations'!C164</f>
        <v>2.4272584547421974</v>
      </c>
      <c r="O140">
        <v>-6.4730736789887404E-3</v>
      </c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M141" s="15">
        <f>+'[3]VAR expectations'!C165</f>
        <v>2.4505337246023733</v>
      </c>
      <c r="O141">
        <v>1.1817117236994201E-2</v>
      </c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M142" s="15">
        <f>+'[3]VAR expectations'!C166</f>
        <v>2.4399426350808717</v>
      </c>
      <c r="O142">
        <v>3.8775680770001202E-2</v>
      </c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M143" s="15">
        <f>+'[3]VAR expectations'!C167</f>
        <v>2.4724757454078841</v>
      </c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M144" s="15">
        <f>+'[3]VAR expectations'!C168</f>
        <v>2.5381252562448622</v>
      </c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/>
      <c r="M145" s="15">
        <f>+'[3]VAR expectations'!C169</f>
        <v>2.6576871518365146</v>
      </c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C2F3-0DD5-4B10-B566-94AC2684E60A}">
  <dimension ref="A1:W172"/>
  <sheetViews>
    <sheetView topLeftCell="A3" zoomScaleNormal="100" workbookViewId="0">
      <selection activeCell="Q12" sqref="Q12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I3" s="1" t="s">
        <v>7</v>
      </c>
      <c r="J3" s="2" t="s">
        <v>5</v>
      </c>
      <c r="K3" s="2"/>
      <c r="L3" t="s">
        <v>106</v>
      </c>
    </row>
    <row r="4" spans="1:23" x14ac:dyDescent="0.25">
      <c r="A4" t="s">
        <v>250</v>
      </c>
      <c r="B4" s="2" t="s">
        <v>8</v>
      </c>
      <c r="C4" s="2"/>
      <c r="D4" s="3" t="s">
        <v>248</v>
      </c>
      <c r="I4" t="s">
        <v>186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187</v>
      </c>
      <c r="J5" s="2" t="s">
        <v>9</v>
      </c>
      <c r="K5" s="2"/>
    </row>
    <row r="6" spans="1:23" x14ac:dyDescent="0.25">
      <c r="A6" t="s">
        <v>249</v>
      </c>
      <c r="I6" t="s">
        <v>186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conv2qa(X12(stifidx_jul2024.m,MULT,1996m1,2024m12))</v>
      </c>
      <c r="C10" s="11" t="str">
        <f t="shared" ref="C10:D10" si="0">"conv2qa(X12("&amp;$D$5&amp;$D$3&amp;C9&amp;$D$4&amp;",MULT," &amp; TEXT($A$3,"yyyy""m""m") &amp; "," &amp; TEXT($A$4,"yyyy""m""m") &amp; "))"</f>
        <v>conv2qa(X12(stif_srv_jul2024.m,MULT,1996m1,2024m12))</v>
      </c>
      <c r="D10" s="11" t="str">
        <f t="shared" si="0"/>
        <v>conv2qa(X12(stif_gds_xeatfnab_jul2024.m,MULT,1996m1,2024m12))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booze.m,fags.m,#,#,#,#,#,#,#,#,#,#,#,#,#,#,#,#,#),MULT,1996m1,2024m12))</v>
      </c>
      <c r="F10" s="11" t="str">
        <f>"conv2qa(X12("&amp;$D$5&amp;$D$3&amp;F9&amp;$D$4&amp;",MULT," &amp; TEXT($A$3,"yyyy""m""m") &amp; "," &amp; TEXT($A$4,"yyyy""m""m") &amp; "))"</f>
        <v>conv2qa(X12(stif_fnab_jul2024.m,MULT,1996m1,2024m12))</v>
      </c>
      <c r="G10" s="11" t="str">
        <f>"conv2qa(X12("&amp;G9&amp;",MULT," &amp; TEXT($A$3,"yyyy""m""m") &amp; "," &amp; TEXT($A$4,"yyyy""m""m") &amp; "))"</f>
        <v>conv2qa(X12(booze.m,MULT,1996m1,2024m12))</v>
      </c>
      <c r="H10" s="11" t="str">
        <f>"conv2qa(X12("&amp;H9&amp;",MULT," &amp; TEXT($A$3,"yyyy""m""m") &amp; "," &amp; TEXT($A$4,"yyyy""m""m") &amp; "))"</f>
        <v>conv2qa(X12(fags.m,MULT,1996m1,2024m12))</v>
      </c>
      <c r="I10" s="11" t="str">
        <f>"conv2qa(X12("&amp;$D$5&amp;$D$3&amp;I9&amp;$D$4&amp;",MULT," &amp; TEXT($A$3,"yyyy""m""m") &amp; "," &amp; TEXT($I$5,"yyyy""m""m") &amp; "))"</f>
        <v>conv2qa(X12(stif_pu_jul2024.m,MULT,1996m1,2026m12))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68.336249781639438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58.553707089085371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77.833862631324365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 t="str">
        <f>[2]!FAMEData($L$5&amp;$L$3&amp;J9&amp;$L$4, $I$3, $I$4, 0,"Quarterly", "Down", "No Heading", "Normal")</f>
        <v>Refresh</v>
      </c>
      <c r="K12" t="str">
        <f>[2]!FAMEData($L$5&amp;$L$3&amp;K9&amp;$L$4, $I$3, $I$4, 0,"Quarterly", "Down", "No Heading", "Normal")</f>
        <v>Refresh</v>
      </c>
      <c r="L12" t="str">
        <f>[2]!FAMEData($L$5&amp;$L$3&amp;L9&amp;$L$4, $I$3, $I$4, 0,"Quarterly", "Down", "No Heading", "Normal")</f>
        <v>Refresh</v>
      </c>
      <c r="M12" s="15">
        <f>+'[3]VAR expectations'!C36</f>
        <v>2.8151174291133074</v>
      </c>
      <c r="N12" t="str">
        <f>[2]!FAMEData($L$5&amp;$L$3&amp;N9&amp;$L$4, $I$3, $I$4, 0,"Quarterly", "Down", "No Heading", "Normal")</f>
        <v>Refresh</v>
      </c>
      <c r="O12" t="str">
        <f>[2]!FAMEData($L$5&amp;$L$3&amp;O9&amp;$L$4, $I$3, $I$4, 0,"Quarterly", "Down", "No Heading", "Normal")</f>
        <v>Refresh</v>
      </c>
      <c r="P12">
        <f>[2]!FAMEData($L$5&amp;$L$3&amp;P9&amp;$L$4, $I$3, $I$4, 0,"Quarterly", "Down", "No Heading", "Normal")</f>
        <v>-0.67179061870602896</v>
      </c>
      <c r="Q12">
        <f>[2]!FAMEData(Q10, $I$3, $I$4, 0,"Quarterly", "Down", "No Heading", "Normal")</f>
        <v>330</v>
      </c>
      <c r="R12" t="str">
        <f>[2]!FAMEData(R10, $I$3, $I$4, 0,"Quarterly", "Down", "No Heading", "Normal")</f>
        <v>Refresh</v>
      </c>
      <c r="S12" t="str">
        <f>[2]!FAMEData(S10, $I$3, $I$4, 0,"Quarterly", "Down", "No Heading", "Normal")</f>
        <v>Refresh</v>
      </c>
      <c r="T12" t="str">
        <f>[2]!FAMEData(T10, $I$3, $I$4, 0,"Quarterly", "Down", "No Heading", "Normal")</f>
        <v>Refresh</v>
      </c>
      <c r="U12" t="str">
        <f>[2]!FAMEData(U10, $I$3, $I$4, 0,"Quarterly", "Down", "No Heading", "Normal")</f>
        <v>Refresh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68.723480942931303</v>
      </c>
      <c r="C13">
        <v>51.436217115422501</v>
      </c>
      <c r="D13">
        <v>120.55767761245134</v>
      </c>
      <c r="E13">
        <v>59.150835037210499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68.743738983723205</v>
      </c>
      <c r="K13">
        <v>0.86509042373751399</v>
      </c>
      <c r="L13">
        <v>81.882196923076904</v>
      </c>
      <c r="M13" s="15">
        <f>+'[3]VAR expectations'!C37</f>
        <v>2.6154884948264598</v>
      </c>
      <c r="N13">
        <v>0.3</v>
      </c>
      <c r="O13">
        <v>-0.16120155703172701</v>
      </c>
      <c r="P13">
        <v>-0.90951432292161405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78.989247520031924</v>
      </c>
      <c r="H14">
        <v>30.929830737469164</v>
      </c>
      <c r="I14">
        <v>43.346266616041838</v>
      </c>
      <c r="J14">
        <v>68.996204236666102</v>
      </c>
      <c r="K14">
        <v>0.84647798199442004</v>
      </c>
      <c r="L14">
        <v>82.869486363636398</v>
      </c>
      <c r="M14" s="15">
        <f>+'[3]VAR expectations'!C38</f>
        <v>2.6428562485995646</v>
      </c>
      <c r="N14">
        <v>0.3</v>
      </c>
      <c r="O14">
        <v>0.32912444162450999</v>
      </c>
      <c r="P14">
        <v>-0.98499009782691505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69.259947297382666</v>
      </c>
      <c r="C15">
        <v>52.311071312771929</v>
      </c>
      <c r="D15">
        <v>120.63002394083701</v>
      </c>
      <c r="E15">
        <v>58.834792121222769</v>
      </c>
      <c r="F15">
        <v>65.084105610473657</v>
      </c>
      <c r="G15">
        <v>79.125642753287181</v>
      </c>
      <c r="H15">
        <v>31.483583173415866</v>
      </c>
      <c r="I15">
        <v>44.7267749910337</v>
      </c>
      <c r="J15">
        <v>69.279228145449295</v>
      </c>
      <c r="K15">
        <v>0.83585006467577705</v>
      </c>
      <c r="L15">
        <v>88.333556060606099</v>
      </c>
      <c r="M15" s="15">
        <f>+'[3]VAR expectations'!C39</f>
        <v>2.8292929206876933</v>
      </c>
      <c r="N15">
        <v>0.3</v>
      </c>
      <c r="O15">
        <v>-2.2510150918334201E-3</v>
      </c>
      <c r="P15">
        <v>-0.94538049261986201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69.656172144574199</v>
      </c>
      <c r="C16">
        <v>52.833527081934534</v>
      </c>
      <c r="D16">
        <v>120.51831953602668</v>
      </c>
      <c r="E16">
        <v>59.076250344490298</v>
      </c>
      <c r="F16">
        <v>65.240899062162541</v>
      </c>
      <c r="G16">
        <v>78.957703138344911</v>
      </c>
      <c r="H16">
        <v>32.032941374691468</v>
      </c>
      <c r="I16">
        <v>45.328295668909</v>
      </c>
      <c r="J16">
        <v>69.607810895724995</v>
      </c>
      <c r="K16">
        <v>0.80638842850685599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-0.262290558696672</v>
      </c>
      <c r="P16">
        <v>-8.1624431823459492E-3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69.818827320614531</v>
      </c>
      <c r="C17">
        <v>53.33140458401607</v>
      </c>
      <c r="D17">
        <v>120.31018836209466</v>
      </c>
      <c r="E17">
        <v>59.375031266633805</v>
      </c>
      <c r="F17">
        <v>65.408499895120499</v>
      </c>
      <c r="G17">
        <v>79.267965073223294</v>
      </c>
      <c r="H17">
        <v>32.549626728659469</v>
      </c>
      <c r="I17">
        <v>44.445946493019299</v>
      </c>
      <c r="J17">
        <v>69.841233558596798</v>
      </c>
      <c r="K17">
        <v>0.79144008450373604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-0.18076935065413899</v>
      </c>
      <c r="P17">
        <v>7.8353326752550898E-2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70.281779806161396</v>
      </c>
      <c r="C18">
        <v>53.831610222106036</v>
      </c>
      <c r="D18">
        <v>120.33884823031001</v>
      </c>
      <c r="E18">
        <v>59.894854455189403</v>
      </c>
      <c r="F18">
        <v>65.91284178230616</v>
      </c>
      <c r="G18">
        <v>79.394793740428668</v>
      </c>
      <c r="H18">
        <v>33.304621200313029</v>
      </c>
      <c r="I18">
        <v>45.375545582595635</v>
      </c>
      <c r="J18">
        <v>70.330868945969598</v>
      </c>
      <c r="K18">
        <v>0.78760770032590499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0.135072712526874</v>
      </c>
      <c r="P18">
        <v>5.2405776642112101E-3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79.329518514698464</v>
      </c>
      <c r="H19">
        <v>34.107615541725302</v>
      </c>
      <c r="I19">
        <v>45.165943591837333</v>
      </c>
      <c r="J19">
        <v>70.553210973415204</v>
      </c>
      <c r="K19">
        <v>0.78369600102702397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-0.18038836269067801</v>
      </c>
      <c r="P19">
        <v>-0.113323844964001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70.7608317169408</v>
      </c>
      <c r="C20">
        <v>54.867317852625668</v>
      </c>
      <c r="D20">
        <v>119.84603007593834</v>
      </c>
      <c r="E20">
        <v>60.324796116075596</v>
      </c>
      <c r="F20">
        <v>65.556439010962194</v>
      </c>
      <c r="G20">
        <v>80.31482927370287</v>
      </c>
      <c r="H20">
        <v>35.043737560232664</v>
      </c>
      <c r="I20">
        <v>45.066788167537396</v>
      </c>
      <c r="J20">
        <v>70.707666447575306</v>
      </c>
      <c r="K20">
        <v>0.77299084499104498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-0.40106993870267899</v>
      </c>
      <c r="P20">
        <v>0.35224228077810998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71.100692129748765</v>
      </c>
      <c r="C21">
        <v>55.376840634027502</v>
      </c>
      <c r="D21">
        <v>119.471764844226</v>
      </c>
      <c r="E21">
        <v>60.759837540213304</v>
      </c>
      <c r="F21">
        <v>65.968165559058164</v>
      </c>
      <c r="G21">
        <v>80.697417805776368</v>
      </c>
      <c r="H21">
        <v>35.534825019560465</v>
      </c>
      <c r="I21">
        <v>45.512400795735168</v>
      </c>
      <c r="J21">
        <v>71.126489465226001</v>
      </c>
      <c r="K21">
        <v>0.76206216868059895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-0.121959828355084</v>
      </c>
      <c r="P21">
        <v>0.18539483915357599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71.255609421750606</v>
      </c>
      <c r="C22">
        <v>55.8344940627168</v>
      </c>
      <c r="D22">
        <v>118.95366575846867</v>
      </c>
      <c r="E22">
        <v>61.32656451816981</v>
      </c>
      <c r="F22">
        <v>66.599884378909394</v>
      </c>
      <c r="G22">
        <v>81.111237273142706</v>
      </c>
      <c r="H22">
        <v>36.009377724458737</v>
      </c>
      <c r="I22">
        <v>45.240117527977439</v>
      </c>
      <c r="J22">
        <v>71.308124668098003</v>
      </c>
      <c r="K22">
        <v>0.75688592171026203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0.148148898493562</v>
      </c>
      <c r="P22">
        <v>0.15782016310379501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71.539883561847134</v>
      </c>
      <c r="C23">
        <v>56.342645165224035</v>
      </c>
      <c r="D23">
        <v>118.50979090512165</v>
      </c>
      <c r="E23">
        <v>61.798219499311834</v>
      </c>
      <c r="F23">
        <v>66.931585635713873</v>
      </c>
      <c r="G23">
        <v>81.345598400718529</v>
      </c>
      <c r="H23">
        <v>36.768433546814968</v>
      </c>
      <c r="I23">
        <v>45.182611283651035</v>
      </c>
      <c r="J23">
        <v>71.555499356384203</v>
      </c>
      <c r="K23">
        <v>0.75976655115812497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-0.44461325206669999</v>
      </c>
      <c r="P23">
        <v>-0.51318827171661696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71.869448362918874</v>
      </c>
      <c r="C24">
        <v>56.820337302049865</v>
      </c>
      <c r="D24">
        <v>117.91126120930566</v>
      </c>
      <c r="E24">
        <v>62.464147948596434</v>
      </c>
      <c r="F24">
        <v>67.238659277963379</v>
      </c>
      <c r="G24">
        <v>81.576404148117902</v>
      </c>
      <c r="H24">
        <v>38.383741142270331</v>
      </c>
      <c r="I24">
        <v>45.605839036949732</v>
      </c>
      <c r="J24">
        <v>71.812353189441893</v>
      </c>
      <c r="K24">
        <v>0.75674034386786804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0.52782221066476598</v>
      </c>
      <c r="P24">
        <v>-0.37213479345497502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72.089045435709679</v>
      </c>
      <c r="C25">
        <v>57.315645524915197</v>
      </c>
      <c r="D25">
        <v>117.102020370133</v>
      </c>
      <c r="E25">
        <v>62.327610240975297</v>
      </c>
      <c r="F25">
        <v>66.571844762680371</v>
      </c>
      <c r="G25">
        <v>81.622908379806333</v>
      </c>
      <c r="H25">
        <v>39.566559269052895</v>
      </c>
      <c r="I25">
        <v>46.924886016739926</v>
      </c>
      <c r="J25">
        <v>72.121649160878206</v>
      </c>
      <c r="K25">
        <v>0.75164895250617403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0.48725261916995399</v>
      </c>
      <c r="P25">
        <v>4.5377826031508001E-2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72.1253950788048</v>
      </c>
      <c r="C26">
        <v>57.725891052137605</v>
      </c>
      <c r="D26">
        <v>116.21646773960333</v>
      </c>
      <c r="E26">
        <v>62.26600590101333</v>
      </c>
      <c r="F26">
        <v>65.966078638823205</v>
      </c>
      <c r="G26">
        <v>81.700276436855503</v>
      </c>
      <c r="H26">
        <v>40.694457856543927</v>
      </c>
      <c r="I26">
        <v>47.676146770894832</v>
      </c>
      <c r="J26">
        <v>72.178553102709898</v>
      </c>
      <c r="K26">
        <v>0.75365215365925997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0.67076862974608797</v>
      </c>
      <c r="P26">
        <v>0.16253141469964599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72.359803406135839</v>
      </c>
      <c r="C27">
        <v>58.260597172429208</v>
      </c>
      <c r="D27">
        <v>115.11724534960399</v>
      </c>
      <c r="E27">
        <v>62.425190149027095</v>
      </c>
      <c r="F27">
        <v>66.000462650335194</v>
      </c>
      <c r="G27">
        <v>81.89991749801014</v>
      </c>
      <c r="H27">
        <v>41.070297940002803</v>
      </c>
      <c r="I27">
        <v>48.744128850988602</v>
      </c>
      <c r="J27">
        <v>72.369558644769199</v>
      </c>
      <c r="K27">
        <v>0.75528714880922598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0.25537877518103203</v>
      </c>
      <c r="P27">
        <v>0.81449639672755603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72.440743283146062</v>
      </c>
      <c r="C28">
        <v>58.772737337574398</v>
      </c>
      <c r="D28">
        <v>113.71050289670001</v>
      </c>
      <c r="E28">
        <v>62.294225732533427</v>
      </c>
      <c r="F28">
        <v>65.738951218719095</v>
      </c>
      <c r="G28">
        <v>81.953847149939961</v>
      </c>
      <c r="H28">
        <v>41.192698366621563</v>
      </c>
      <c r="I28">
        <v>50.014345022098304</v>
      </c>
      <c r="J28">
        <v>72.387008384610596</v>
      </c>
      <c r="K28">
        <v>0.762586430794857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9.2271063782413995E-2</v>
      </c>
      <c r="P28">
        <v>-0.80713768198578595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72.539182312840438</v>
      </c>
      <c r="C29">
        <v>59.022039679803669</v>
      </c>
      <c r="D29">
        <v>113.062466385126</v>
      </c>
      <c r="E29">
        <v>62.69548848898453</v>
      </c>
      <c r="F29">
        <v>65.547576525314128</v>
      </c>
      <c r="G29">
        <v>81.549251880039478</v>
      </c>
      <c r="H29">
        <v>43.499742188362994</v>
      </c>
      <c r="I29">
        <v>50.294131092570602</v>
      </c>
      <c r="J29">
        <v>72.576446941444303</v>
      </c>
      <c r="K29">
        <v>0.76328450502047396</v>
      </c>
      <c r="L29">
        <v>101.013821538462</v>
      </c>
      <c r="M29" s="15">
        <f>+'[3]VAR expectations'!C53</f>
        <v>2.480790509902373</v>
      </c>
      <c r="N29">
        <v>0.578228356186961</v>
      </c>
      <c r="O29">
        <v>6.4185673634936505E-2</v>
      </c>
      <c r="P29">
        <v>0.53258053428763796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72.707840576544072</v>
      </c>
      <c r="C30">
        <v>59.618307460284825</v>
      </c>
      <c r="D30">
        <v>111.70485772051801</v>
      </c>
      <c r="E30">
        <v>63.480786414583768</v>
      </c>
      <c r="F30">
        <v>66.470733130126305</v>
      </c>
      <c r="G30">
        <v>81.400383542260528</v>
      </c>
      <c r="H30">
        <v>44.129516914182538</v>
      </c>
      <c r="I30">
        <v>50.8485490603586</v>
      </c>
      <c r="J30">
        <v>72.758438874924707</v>
      </c>
      <c r="K30">
        <v>0.77965984346415595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0.321076211975517</v>
      </c>
      <c r="P30">
        <v>0.27187323175935202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73.058296991474933</v>
      </c>
      <c r="C31">
        <v>60.261873317668169</v>
      </c>
      <c r="D31">
        <v>111.14640687755167</v>
      </c>
      <c r="E31">
        <v>63.852768971107963</v>
      </c>
      <c r="F31">
        <v>66.715067260741392</v>
      </c>
      <c r="G31">
        <v>81.765643927491439</v>
      </c>
      <c r="H31">
        <v>44.729361748249033</v>
      </c>
      <c r="I31">
        <v>51.11481115205887</v>
      </c>
      <c r="J31">
        <v>73.0606332743194</v>
      </c>
      <c r="K31">
        <v>0.77852355599271506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-1.6390389462865099E-2</v>
      </c>
      <c r="P31">
        <v>0.70676579039904797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73.057199972194098</v>
      </c>
      <c r="C32">
        <v>60.743618510492603</v>
      </c>
      <c r="D32">
        <v>110.17048885713467</v>
      </c>
      <c r="E32">
        <v>64.304947564598407</v>
      </c>
      <c r="F32">
        <v>67.219576569638875</v>
      </c>
      <c r="G32">
        <v>81.956356251543198</v>
      </c>
      <c r="H32">
        <v>45.213764851122768</v>
      </c>
      <c r="I32">
        <v>49.776772698751607</v>
      </c>
      <c r="J32">
        <v>73.010110257623097</v>
      </c>
      <c r="K32">
        <v>0.77942063757219304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-0.227577979531076</v>
      </c>
      <c r="P32">
        <v>0.41767657153423499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73.640782847439596</v>
      </c>
      <c r="C33">
        <v>61.544420219877672</v>
      </c>
      <c r="D33">
        <v>109.89504456781499</v>
      </c>
      <c r="E33">
        <v>65.671562289783637</v>
      </c>
      <c r="F33">
        <v>69.291698510684952</v>
      </c>
      <c r="G33">
        <v>81.894722914874933</v>
      </c>
      <c r="H33">
        <v>45.475672672144206</v>
      </c>
      <c r="I33">
        <v>49.554685240328801</v>
      </c>
      <c r="J33">
        <v>73.683304275580497</v>
      </c>
      <c r="K33">
        <v>0.77409610264637996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0.14427868690463599</v>
      </c>
      <c r="P33">
        <v>0.27177292676166298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73.825368346701751</v>
      </c>
      <c r="C34">
        <v>62.223963784242805</v>
      </c>
      <c r="D34">
        <v>109.34835279541433</v>
      </c>
      <c r="E34">
        <v>65.641448713928298</v>
      </c>
      <c r="F34">
        <v>68.979536133860705</v>
      </c>
      <c r="G34">
        <v>82.063297447197002</v>
      </c>
      <c r="H34">
        <v>45.842531038354473</v>
      </c>
      <c r="I34">
        <v>49.541042554865335</v>
      </c>
      <c r="J34">
        <v>73.868466326841002</v>
      </c>
      <c r="K34">
        <v>0.76308701075961805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-0.145405425617782</v>
      </c>
      <c r="P34">
        <v>2.9689798564234399E-2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73.809976698476305</v>
      </c>
      <c r="C35">
        <v>62.586922212704032</v>
      </c>
      <c r="D35">
        <v>108.73663622536667</v>
      </c>
      <c r="E35">
        <v>65.828698669310796</v>
      </c>
      <c r="F35">
        <v>68.97094538988523</v>
      </c>
      <c r="G35">
        <v>82.057820785683333</v>
      </c>
      <c r="H35">
        <v>46.482425595712101</v>
      </c>
      <c r="I35">
        <v>48.008808713632135</v>
      </c>
      <c r="J35">
        <v>73.808004487872196</v>
      </c>
      <c r="K35">
        <v>0.752688098559118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-0.40207821981541297</v>
      </c>
      <c r="P35">
        <v>-0.639915850777378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74.172709547611177</v>
      </c>
      <c r="C36">
        <v>63.253448974816628</v>
      </c>
      <c r="D36">
        <v>108.25388781241934</v>
      </c>
      <c r="E36">
        <v>66.27185679784003</v>
      </c>
      <c r="F36">
        <v>69.56686909948067</v>
      </c>
      <c r="G36">
        <v>82.184032839292556</v>
      </c>
      <c r="H36">
        <v>46.712875198716233</v>
      </c>
      <c r="I36">
        <v>48.300000597134897</v>
      </c>
      <c r="J36">
        <v>74.136178186843196</v>
      </c>
      <c r="K36">
        <v>0.75002538651772099</v>
      </c>
      <c r="L36">
        <v>100.22180625</v>
      </c>
      <c r="M36" s="15">
        <f>+'[3]VAR expectations'!C60</f>
        <v>2.2636382290406152</v>
      </c>
      <c r="N36">
        <v>-0.19866515250366801</v>
      </c>
      <c r="O36">
        <v>0.181561700258596</v>
      </c>
      <c r="P36">
        <v>-0.63541897647370305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74.341060971641539</v>
      </c>
      <c r="C37">
        <v>64.098357828346963</v>
      </c>
      <c r="D37">
        <v>107.15975382369567</v>
      </c>
      <c r="E37">
        <v>65.841453783606369</v>
      </c>
      <c r="F37">
        <v>69.072767804121369</v>
      </c>
      <c r="G37">
        <v>82.0704553781692</v>
      </c>
      <c r="H37">
        <v>46.699129956846633</v>
      </c>
      <c r="I37">
        <v>48.834968279357327</v>
      </c>
      <c r="J37">
        <v>74.384960354680203</v>
      </c>
      <c r="K37">
        <v>0.75263952351151997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0.26583891266085302</v>
      </c>
      <c r="P37">
        <v>-0.84424428629728698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74.586828837528913</v>
      </c>
      <c r="C38">
        <v>64.806065669971133</v>
      </c>
      <c r="D38">
        <v>106.44583489626068</v>
      </c>
      <c r="E38">
        <v>66.101100807904643</v>
      </c>
      <c r="F38">
        <v>69.016510777434505</v>
      </c>
      <c r="G38">
        <v>82.393205064377284</v>
      </c>
      <c r="H38">
        <v>47.3123630417493</v>
      </c>
      <c r="I38">
        <v>48.810172757462603</v>
      </c>
      <c r="J38">
        <v>74.6226008082796</v>
      </c>
      <c r="K38">
        <v>0.75015550616674598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2.2118145407947602E-2</v>
      </c>
      <c r="P38">
        <v>-0.47312000974391899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74.941529851733392</v>
      </c>
      <c r="C39">
        <v>65.527580796930195</v>
      </c>
      <c r="D39">
        <v>105.92448921584999</v>
      </c>
      <c r="E39">
        <v>66.196126733257302</v>
      </c>
      <c r="F39">
        <v>69.020712791888698</v>
      </c>
      <c r="G39">
        <v>81.795408939038239</v>
      </c>
      <c r="H39">
        <v>47.821927966075634</v>
      </c>
      <c r="I39">
        <v>49.301431799628695</v>
      </c>
      <c r="J39">
        <v>74.935677500485298</v>
      </c>
      <c r="K39">
        <v>0.74797853098426004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-3.5729490300290101E-2</v>
      </c>
      <c r="P39">
        <v>-0.23494015387997499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75.25417963703471</v>
      </c>
      <c r="C40">
        <v>66.024472037746577</v>
      </c>
      <c r="D40">
        <v>105.57840811719768</v>
      </c>
      <c r="E40">
        <v>66.295937196001077</v>
      </c>
      <c r="F40">
        <v>69.10989936604841</v>
      </c>
      <c r="G40">
        <v>81.579240086594098</v>
      </c>
      <c r="H40">
        <v>48.150793168732264</v>
      </c>
      <c r="I40">
        <v>50.696241265352661</v>
      </c>
      <c r="J40">
        <v>75.222399661412297</v>
      </c>
      <c r="K40">
        <v>0.76305100676523396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-0.41248432355622899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75.297738816447563</v>
      </c>
      <c r="C41">
        <v>66.477450028311864</v>
      </c>
      <c r="D41">
        <v>104.82493353970301</v>
      </c>
      <c r="E41">
        <v>66.743553912217507</v>
      </c>
      <c r="F41">
        <v>69.746466956814189</v>
      </c>
      <c r="G41">
        <v>81.929888109141402</v>
      </c>
      <c r="H41">
        <v>48.454084824538292</v>
      </c>
      <c r="I41">
        <v>49.51911479261247</v>
      </c>
      <c r="J41">
        <v>75.346320445171699</v>
      </c>
      <c r="K41">
        <v>0.75829920985494004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-0.53373753999781803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75.612766959979993</v>
      </c>
      <c r="C42">
        <v>66.969781979753535</v>
      </c>
      <c r="D42">
        <v>104.573454983015</v>
      </c>
      <c r="E42">
        <v>67.312969333912662</v>
      </c>
      <c r="F42">
        <v>70.264155678356133</v>
      </c>
      <c r="G42">
        <v>81.292515585065885</v>
      </c>
      <c r="H42">
        <v>49.190874969922469</v>
      </c>
      <c r="I42">
        <v>49.812423085797867</v>
      </c>
      <c r="J42">
        <v>75.644241698174696</v>
      </c>
      <c r="K42">
        <v>0.76314959952758699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-0.27588602853862099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75.930389741807133</v>
      </c>
      <c r="C43">
        <v>67.546972720929929</v>
      </c>
      <c r="D43">
        <v>104.00485126922733</v>
      </c>
      <c r="E43">
        <v>67.719275637237502</v>
      </c>
      <c r="F43">
        <v>70.752523647271531</v>
      </c>
      <c r="G43">
        <v>81.390202719174198</v>
      </c>
      <c r="H43">
        <v>49.438759812458166</v>
      </c>
      <c r="I43">
        <v>50.456696041969565</v>
      </c>
      <c r="J43">
        <v>75.921668357081401</v>
      </c>
      <c r="K43">
        <v>0.757347935788934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-0.53395229519699206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76.200272983042638</v>
      </c>
      <c r="C44">
        <v>68.106265290663032</v>
      </c>
      <c r="D44">
        <v>103.629551725312</v>
      </c>
      <c r="E44">
        <v>67.701733001774471</v>
      </c>
      <c r="F44">
        <v>70.68062323672514</v>
      </c>
      <c r="G44">
        <v>81.372891223297671</v>
      </c>
      <c r="H44">
        <v>49.67780217204853</v>
      </c>
      <c r="I44">
        <v>51.504084271535767</v>
      </c>
      <c r="J44">
        <v>76.169527020819601</v>
      </c>
      <c r="K44">
        <v>0.750253061775353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0.26648293587474697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76.359143317026664</v>
      </c>
      <c r="C45">
        <v>68.631855807995166</v>
      </c>
      <c r="D45">
        <v>102.87732125875367</v>
      </c>
      <c r="E45">
        <v>67.638280882669264</v>
      </c>
      <c r="F45">
        <v>70.476850085263763</v>
      </c>
      <c r="G45">
        <v>81.287191131386308</v>
      </c>
      <c r="H45">
        <v>50.250960585265908</v>
      </c>
      <c r="I45">
        <v>52.490029578654891</v>
      </c>
      <c r="J45">
        <v>76.412710299739004</v>
      </c>
      <c r="K45">
        <v>0.751272030828947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0.1786277925958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76.562231444976547</v>
      </c>
      <c r="C46">
        <v>69.203743095804697</v>
      </c>
      <c r="D46">
        <v>102.21000368738633</v>
      </c>
      <c r="E46">
        <v>67.646192048066737</v>
      </c>
      <c r="F46">
        <v>70.117000343427861</v>
      </c>
      <c r="G46">
        <v>81.074507640387708</v>
      </c>
      <c r="H46">
        <v>50.981515783537795</v>
      </c>
      <c r="I46">
        <v>53.359156401424968</v>
      </c>
      <c r="J46">
        <v>76.593091478878605</v>
      </c>
      <c r="K46">
        <v>0.75246452156788601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-2.5991940710735E-2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77.024679842470036</v>
      </c>
      <c r="C47">
        <v>69.904808950714568</v>
      </c>
      <c r="D47">
        <v>101.65395874647167</v>
      </c>
      <c r="E47">
        <v>67.923169332871794</v>
      </c>
      <c r="F47">
        <v>70.398557801776874</v>
      </c>
      <c r="G47">
        <v>81.151471150797974</v>
      </c>
      <c r="H47">
        <v>51.389293347551039</v>
      </c>
      <c r="I47">
        <v>55.645647715114571</v>
      </c>
      <c r="J47">
        <v>77.013235695043605</v>
      </c>
      <c r="K47">
        <v>0.76483927023953302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0.92815784020214298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77.519231176275539</v>
      </c>
      <c r="C48">
        <v>70.711753850295437</v>
      </c>
      <c r="D48">
        <v>101.224550821634</v>
      </c>
      <c r="E48">
        <v>68.69084057344196</v>
      </c>
      <c r="F48">
        <v>71.390648861408536</v>
      </c>
      <c r="G48">
        <v>80.604662187644365</v>
      </c>
      <c r="H48">
        <v>52.151755175130972</v>
      </c>
      <c r="I48">
        <v>56.449023555306269</v>
      </c>
      <c r="J48">
        <v>77.483534433449293</v>
      </c>
      <c r="K48">
        <v>0.76454198904620496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0.47823727601545402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77.860319036991697</v>
      </c>
      <c r="C49">
        <v>71.482542497913997</v>
      </c>
      <c r="D49">
        <v>100.61472786653466</v>
      </c>
      <c r="E49">
        <v>68.823685140575776</v>
      </c>
      <c r="F49">
        <v>71.58467904626383</v>
      </c>
      <c r="G49">
        <v>80.15589701443713</v>
      </c>
      <c r="H49">
        <v>52.541890023619324</v>
      </c>
      <c r="I49">
        <v>57.440858338246407</v>
      </c>
      <c r="J49">
        <v>77.920505291241696</v>
      </c>
      <c r="K49">
        <v>0.76257283223897498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-0.14649886138969101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78.392641652700476</v>
      </c>
      <c r="C50">
        <v>72.329300989162519</v>
      </c>
      <c r="D50">
        <v>100.07117850192078</v>
      </c>
      <c r="E50">
        <v>68.937238066798059</v>
      </c>
      <c r="F50">
        <v>71.487850254467801</v>
      </c>
      <c r="G50">
        <v>80.839757347544136</v>
      </c>
      <c r="H50">
        <v>52.691778652225366</v>
      </c>
      <c r="I50">
        <v>60.29713429827774</v>
      </c>
      <c r="J50">
        <v>78.425880230501093</v>
      </c>
      <c r="K50">
        <v>0.78344370734360702</v>
      </c>
      <c r="L50">
        <v>99.734880303030295</v>
      </c>
      <c r="M50" s="15">
        <f>+'[3]VAR expectations'!C74</f>
        <v>2.2761535969954032</v>
      </c>
      <c r="N50">
        <v>0.70017615103754105</v>
      </c>
      <c r="O50">
        <v>0.242344274322987</v>
      </c>
      <c r="P50">
        <v>9.7494215027575507E-2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78.665010932584138</v>
      </c>
      <c r="C51">
        <v>72.762317022237468</v>
      </c>
      <c r="D51">
        <v>99.588196021207864</v>
      </c>
      <c r="E51">
        <v>69.1487670113533</v>
      </c>
      <c r="F51">
        <v>71.487766546518728</v>
      </c>
      <c r="G51">
        <v>80.757559260609426</v>
      </c>
      <c r="H51">
        <v>53.7819651843744</v>
      </c>
      <c r="I51">
        <v>62.213078975386367</v>
      </c>
      <c r="J51">
        <v>78.649883036398506</v>
      </c>
      <c r="K51">
        <v>0.78606232029668899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-2.13275836011632E-2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79.028056395285873</v>
      </c>
      <c r="C52">
        <v>73.385241767492232</v>
      </c>
      <c r="D52">
        <v>99.218511676921764</v>
      </c>
      <c r="E52">
        <v>69.456235728589633</v>
      </c>
      <c r="F52">
        <v>71.887123960222269</v>
      </c>
      <c r="G52">
        <v>80.784701223728163</v>
      </c>
      <c r="H52">
        <v>54.031494016671161</v>
      </c>
      <c r="I52">
        <v>63.5075028096851</v>
      </c>
      <c r="J52">
        <v>78.987910538247405</v>
      </c>
      <c r="K52">
        <v>0.79283103606381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-2.3869128172260699E-2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79.616100220374804</v>
      </c>
      <c r="C53">
        <v>74.0055875067101</v>
      </c>
      <c r="D53">
        <v>98.648450711126017</v>
      </c>
      <c r="E53">
        <v>69.890091457047262</v>
      </c>
      <c r="F53">
        <v>72.381509200186656</v>
      </c>
      <c r="G53">
        <v>80.348361069718564</v>
      </c>
      <c r="H53">
        <v>54.731568816127435</v>
      </c>
      <c r="I53">
        <v>67.67166807520853</v>
      </c>
      <c r="J53">
        <v>79.683001044266803</v>
      </c>
      <c r="K53">
        <v>0.79262437001629904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2.6065996636607101E-2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80.274543422590128</v>
      </c>
      <c r="C54">
        <v>74.554497803271033</v>
      </c>
      <c r="D54">
        <v>98.578686662398738</v>
      </c>
      <c r="E54">
        <v>71.285664191431792</v>
      </c>
      <c r="F54">
        <v>73.986476864444128</v>
      </c>
      <c r="G54">
        <v>80.810976596520959</v>
      </c>
      <c r="H54">
        <v>55.632164106505769</v>
      </c>
      <c r="I54">
        <v>70.050693806905329</v>
      </c>
      <c r="J54">
        <v>80.310623474846693</v>
      </c>
      <c r="K54">
        <v>0.79050596488411395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4.9794569166154497E-2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80.800427132560586</v>
      </c>
      <c r="C55">
        <v>75.4565511679222</v>
      </c>
      <c r="D55">
        <v>98.558511826035328</v>
      </c>
      <c r="E55">
        <v>72.05791183452088</v>
      </c>
      <c r="F55">
        <v>74.869558611106129</v>
      </c>
      <c r="G55">
        <v>81.59646915113224</v>
      </c>
      <c r="H55">
        <v>56.187332368859607</v>
      </c>
      <c r="I55">
        <v>69.842554904255095</v>
      </c>
      <c r="J55">
        <v>80.772899437409905</v>
      </c>
      <c r="K55">
        <v>0.78440213810936799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-8.0932616320032902E-2</v>
      </c>
      <c r="P55">
        <v>0.185573520441731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81.294136576406231</v>
      </c>
      <c r="C56">
        <v>76.094739593740869</v>
      </c>
      <c r="D56">
        <v>98.471297788844595</v>
      </c>
      <c r="E56">
        <v>72.551116082910667</v>
      </c>
      <c r="F56">
        <v>75.238861009984575</v>
      </c>
      <c r="G56">
        <v>81.666506597445107</v>
      </c>
      <c r="H56">
        <v>57.265354522986165</v>
      </c>
      <c r="I56">
        <v>71.130011790069105</v>
      </c>
      <c r="J56">
        <v>81.261074557236398</v>
      </c>
      <c r="K56">
        <v>0.77056695531315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0.40345245063278001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81.649031387207032</v>
      </c>
      <c r="C57">
        <v>76.642439543522741</v>
      </c>
      <c r="D57">
        <v>98.272229611226862</v>
      </c>
      <c r="E57">
        <v>73.298449273432638</v>
      </c>
      <c r="F57">
        <v>76.216291585883468</v>
      </c>
      <c r="G57">
        <v>81.349848703031128</v>
      </c>
      <c r="H57">
        <v>57.844587394169764</v>
      </c>
      <c r="I57">
        <v>71.15515849767614</v>
      </c>
      <c r="J57">
        <v>81.723583514440705</v>
      </c>
      <c r="K57">
        <v>0.78197424686750205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0.53149722132791299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81.704607717117256</v>
      </c>
      <c r="C58">
        <v>77.223121706113062</v>
      </c>
      <c r="D58">
        <v>97.540757790718843</v>
      </c>
      <c r="E58">
        <v>73.551211786530601</v>
      </c>
      <c r="F58">
        <v>76.301462760591107</v>
      </c>
      <c r="G58">
        <v>81.728890836355902</v>
      </c>
      <c r="H58">
        <v>58.326850213572129</v>
      </c>
      <c r="I58">
        <v>70.482016139507763</v>
      </c>
      <c r="J58">
        <v>81.738439949709502</v>
      </c>
      <c r="K58">
        <v>0.78616880688018398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0.48016313644160602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82.511309314926891</v>
      </c>
      <c r="C59">
        <v>77.976240054578724</v>
      </c>
      <c r="D59">
        <v>97.458073238751624</v>
      </c>
      <c r="E59">
        <v>75.219909912973705</v>
      </c>
      <c r="F59">
        <v>78.596896012407498</v>
      </c>
      <c r="G59">
        <v>81.927567130867601</v>
      </c>
      <c r="H59">
        <v>58.85908652415177</v>
      </c>
      <c r="I59">
        <v>73.077899454512661</v>
      </c>
      <c r="J59">
        <v>82.461765207584193</v>
      </c>
      <c r="K59">
        <v>0.80539397895258402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0.38278912589226799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83.213164912843936</v>
      </c>
      <c r="C60">
        <v>78.585582973335306</v>
      </c>
      <c r="D60">
        <v>96.951612837261749</v>
      </c>
      <c r="E60">
        <v>75.989538912446733</v>
      </c>
      <c r="F60">
        <v>79.533800154204485</v>
      </c>
      <c r="G60">
        <v>81.958761212434425</v>
      </c>
      <c r="H60">
        <v>59.5443863903972</v>
      </c>
      <c r="I60">
        <v>77.885301073751108</v>
      </c>
      <c r="J60">
        <v>83.209939008521999</v>
      </c>
      <c r="K60">
        <v>0.83281239963082399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0.55036510318335696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84.399628717325442</v>
      </c>
      <c r="C61">
        <v>79.538235639185231</v>
      </c>
      <c r="D61">
        <v>96.709639008009546</v>
      </c>
      <c r="E61">
        <v>78.381976065479435</v>
      </c>
      <c r="F61">
        <v>82.317852295697875</v>
      </c>
      <c r="G61">
        <v>84.883187125068332</v>
      </c>
      <c r="H61">
        <v>60.342091621814269</v>
      </c>
      <c r="I61">
        <v>82.676147962709166</v>
      </c>
      <c r="J61">
        <v>84.478785935063996</v>
      </c>
      <c r="K61">
        <v>0.873128797497844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-0.77297461816662505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85.622629659174834</v>
      </c>
      <c r="C62">
        <v>80.567897286547705</v>
      </c>
      <c r="D62">
        <v>96.458973749107557</v>
      </c>
      <c r="E62">
        <v>80.82116920309727</v>
      </c>
      <c r="F62">
        <v>85.57369598698051</v>
      </c>
      <c r="G62">
        <v>85.076922356630973</v>
      </c>
      <c r="H62">
        <v>60.969200159025966</v>
      </c>
      <c r="I62">
        <v>87.767599907370638</v>
      </c>
      <c r="J62">
        <v>85.642077695316203</v>
      </c>
      <c r="K62">
        <v>0.89464880484077103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-1.1297776898834899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85.715849437252359</v>
      </c>
      <c r="C63">
        <v>81.447767637283803</v>
      </c>
      <c r="D63">
        <v>95.356926306421542</v>
      </c>
      <c r="E63">
        <v>81.793418430096509</v>
      </c>
      <c r="F63">
        <v>86.792930844042303</v>
      </c>
      <c r="G63">
        <v>85.181241987151438</v>
      </c>
      <c r="H63">
        <v>61.653545429326762</v>
      </c>
      <c r="I63">
        <v>85.991097402408357</v>
      </c>
      <c r="J63">
        <v>85.642613775411704</v>
      </c>
      <c r="K63">
        <v>0.88610443846368403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-2.2975232530535599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85.677461690118548</v>
      </c>
      <c r="C64">
        <v>81.837362155654091</v>
      </c>
      <c r="D64">
        <v>94.827625531657148</v>
      </c>
      <c r="E64">
        <v>83.009859470799725</v>
      </c>
      <c r="F64">
        <v>87.992383774455035</v>
      </c>
      <c r="G64">
        <v>87.197951655782958</v>
      </c>
      <c r="H64">
        <v>62.259308648684076</v>
      </c>
      <c r="I64">
        <v>82.010215683403814</v>
      </c>
      <c r="J64">
        <v>85.711463766503798</v>
      </c>
      <c r="K64">
        <v>0.89017851329583897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-3.8884712609516199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86.159767620204875</v>
      </c>
      <c r="C65">
        <v>82.270940914984394</v>
      </c>
      <c r="D65">
        <v>95.654937704834268</v>
      </c>
      <c r="E65">
        <v>83.220861215091304</v>
      </c>
      <c r="F65">
        <v>88.308925532521997</v>
      </c>
      <c r="G65">
        <v>87.210677613801764</v>
      </c>
      <c r="H65">
        <v>62.310965281248365</v>
      </c>
      <c r="I65">
        <v>82.036385614081738</v>
      </c>
      <c r="J65">
        <v>86.2370628598851</v>
      </c>
      <c r="K65">
        <v>0.87062191557632695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-4.0054513646633803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86.92435910573289</v>
      </c>
      <c r="C66">
        <v>82.81896878772956</v>
      </c>
      <c r="D66">
        <v>96.748856492315568</v>
      </c>
      <c r="E66">
        <v>83.273957411046197</v>
      </c>
      <c r="F66">
        <v>87.77325721419686</v>
      </c>
      <c r="G66">
        <v>88.565655851887968</v>
      </c>
      <c r="H66">
        <v>63.382794249871772</v>
      </c>
      <c r="I66">
        <v>84.438229265659771</v>
      </c>
      <c r="J66">
        <v>86.917121574445105</v>
      </c>
      <c r="K66">
        <v>0.86672344747487295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-4.0528010025245704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87.534280268566661</v>
      </c>
      <c r="C67">
        <v>83.410495172261577</v>
      </c>
      <c r="D67">
        <v>97.120889212596879</v>
      </c>
      <c r="E67">
        <v>83.844234576125487</v>
      </c>
      <c r="F67">
        <v>88.325907143824267</v>
      </c>
      <c r="G67">
        <v>89.287869951105293</v>
      </c>
      <c r="H67">
        <v>64.125621638785105</v>
      </c>
      <c r="I67">
        <v>86.397388261410285</v>
      </c>
      <c r="J67">
        <v>87.449291697821295</v>
      </c>
      <c r="K67">
        <v>0.88236761145682796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-4.2009004292882901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88.43103162143818</v>
      </c>
      <c r="C68">
        <v>84.379843762752955</v>
      </c>
      <c r="D68">
        <v>97.462492803799591</v>
      </c>
      <c r="E68">
        <v>85.139204616244555</v>
      </c>
      <c r="F68">
        <v>89.453888916702866</v>
      </c>
      <c r="G68">
        <v>89.559481791941479</v>
      </c>
      <c r="H68">
        <v>66.656145620892289</v>
      </c>
      <c r="I68">
        <v>87.699409254423088</v>
      </c>
      <c r="J68">
        <v>88.500771372213705</v>
      </c>
      <c r="K68">
        <v>0.89044036808145799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-3.91857601174401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89.149935132964231</v>
      </c>
      <c r="C69">
        <v>85.197665962542473</v>
      </c>
      <c r="D69">
        <v>97.794868263365672</v>
      </c>
      <c r="E69">
        <v>85.883705592326166</v>
      </c>
      <c r="F69">
        <v>90.264511011963904</v>
      </c>
      <c r="G69">
        <v>90.181221584259518</v>
      </c>
      <c r="H69">
        <v>67.322791298001036</v>
      </c>
      <c r="I69">
        <v>88.993373295319955</v>
      </c>
      <c r="J69">
        <v>89.2148000032998</v>
      </c>
      <c r="K69">
        <v>0.90429356742429801</v>
      </c>
      <c r="L69">
        <v>79.899689230769198</v>
      </c>
      <c r="M69" s="15">
        <f>+'[3]VAR expectations'!C93</f>
        <v>2.6505886564059562</v>
      </c>
      <c r="N69">
        <v>0.58031803605650401</v>
      </c>
      <c r="O69">
        <v>0.158164675972188</v>
      </c>
      <c r="P69">
        <v>-3.1723298303279601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89.638295205815552</v>
      </c>
      <c r="C70">
        <v>85.933670428703763</v>
      </c>
      <c r="D70">
        <v>97.9750578765276</v>
      </c>
      <c r="E70">
        <v>86.951848891196235</v>
      </c>
      <c r="F70">
        <v>91.44625167812336</v>
      </c>
      <c r="G70">
        <v>90.863385932358099</v>
      </c>
      <c r="H70">
        <v>68.001564358935113</v>
      </c>
      <c r="I70">
        <v>88.087503771824345</v>
      </c>
      <c r="J70">
        <v>89.605624426774099</v>
      </c>
      <c r="K70">
        <v>0.90164406265091901</v>
      </c>
      <c r="L70">
        <v>81.7654454545455</v>
      </c>
      <c r="M70" s="15">
        <f>+'[3]VAR expectations'!C94</f>
        <v>2.8352346264846378</v>
      </c>
      <c r="N70">
        <v>0.26076684740058198</v>
      </c>
      <c r="O70">
        <v>-0.12701395323713599</v>
      </c>
      <c r="P70">
        <v>-2.7289932423004801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90.489806623946265</v>
      </c>
      <c r="C71">
        <v>86.591552150816241</v>
      </c>
      <c r="D71">
        <v>98.369290821028088</v>
      </c>
      <c r="E71">
        <v>88.591669255745899</v>
      </c>
      <c r="F71">
        <v>93.134606356933617</v>
      </c>
      <c r="G71">
        <v>92.78220876733657</v>
      </c>
      <c r="H71">
        <v>69.334166403591297</v>
      </c>
      <c r="I71">
        <v>90.420114172324475</v>
      </c>
      <c r="J71">
        <v>90.401144579232295</v>
      </c>
      <c r="K71">
        <v>0.92051248220941195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-2.6316422331721299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92.028244327215745</v>
      </c>
      <c r="C72">
        <v>87.912952780275575</v>
      </c>
      <c r="D72">
        <v>99.170309238363359</v>
      </c>
      <c r="E72">
        <v>90.012389800413601</v>
      </c>
      <c r="F72">
        <v>94.43845530668618</v>
      </c>
      <c r="G72">
        <v>93.157864452288834</v>
      </c>
      <c r="H72">
        <v>71.802037841850606</v>
      </c>
      <c r="I72">
        <v>95.633429342100712</v>
      </c>
      <c r="J72">
        <v>92.119603250955606</v>
      </c>
      <c r="K72">
        <v>0.94026770544015403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-2.6650535845230201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93.071537286037497</v>
      </c>
      <c r="C73">
        <v>89.053936398970691</v>
      </c>
      <c r="D73">
        <v>99.269248807312366</v>
      </c>
      <c r="E73">
        <v>91.677966186515107</v>
      </c>
      <c r="F73">
        <v>95.45143285927206</v>
      </c>
      <c r="G73">
        <v>96.631551702905497</v>
      </c>
      <c r="H73">
        <v>74.990942280995895</v>
      </c>
      <c r="I73">
        <v>98.193895267588616</v>
      </c>
      <c r="J73">
        <v>93.117946819997002</v>
      </c>
      <c r="K73">
        <v>0.96289727569725403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-3.6943200198828601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93.884445804497304</v>
      </c>
      <c r="C74">
        <v>89.712942480701713</v>
      </c>
      <c r="D74">
        <v>99.55741503016587</v>
      </c>
      <c r="E74">
        <v>93.237257755433006</v>
      </c>
      <c r="F74">
        <v>97.154986255475578</v>
      </c>
      <c r="G74">
        <v>97.1177794970137</v>
      </c>
      <c r="H74">
        <v>76.509665346380004</v>
      </c>
      <c r="I74">
        <v>100.16050236590642</v>
      </c>
      <c r="J74">
        <v>93.836930789422098</v>
      </c>
      <c r="K74">
        <v>0.97514867270814498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-3.8120293223890198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94.672701849878976</v>
      </c>
      <c r="C75">
        <v>90.273232295784894</v>
      </c>
      <c r="D75">
        <v>99.989178167769765</v>
      </c>
      <c r="E75">
        <v>93.532426206167017</v>
      </c>
      <c r="F75">
        <v>97.130986848854533</v>
      </c>
      <c r="G75">
        <v>97.517220100547163</v>
      </c>
      <c r="H75">
        <v>77.876676122636638</v>
      </c>
      <c r="I75">
        <v>104.67349635207567</v>
      </c>
      <c r="J75">
        <v>94.592211785538794</v>
      </c>
      <c r="K75">
        <v>0.96433731069461104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-3.7258453786807899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95.220824055304874</v>
      </c>
      <c r="C76">
        <v>90.990427025195572</v>
      </c>
      <c r="D76">
        <v>100.26858211968666</v>
      </c>
      <c r="E76">
        <v>94.339793033049204</v>
      </c>
      <c r="F76">
        <v>98.059600439419754</v>
      </c>
      <c r="G76">
        <v>98.45529197674216</v>
      </c>
      <c r="H76">
        <v>78.297771007943368</v>
      </c>
      <c r="I76">
        <v>104.58845979696933</v>
      </c>
      <c r="J76">
        <v>95.306828855876205</v>
      </c>
      <c r="K76">
        <v>0.95983049332702097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-3.43778830624839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95.661802746672535</v>
      </c>
      <c r="C77">
        <v>91.874684071660894</v>
      </c>
      <c r="D77">
        <v>99.992916989131913</v>
      </c>
      <c r="E77">
        <v>95.203039773721741</v>
      </c>
      <c r="F77">
        <v>98.600147078338111</v>
      </c>
      <c r="G77">
        <v>98.344904036144371</v>
      </c>
      <c r="H77">
        <v>80.928813073641706</v>
      </c>
      <c r="I77">
        <v>104.384513520246</v>
      </c>
      <c r="J77">
        <v>95.696096334037193</v>
      </c>
      <c r="K77">
        <v>0.94747856672231201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-4.3636593431138598E-2</v>
      </c>
      <c r="P77">
        <v>-2.9927688700571999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96.159760436164802</v>
      </c>
      <c r="C78">
        <v>92.663375722908199</v>
      </c>
      <c r="D78">
        <v>100.06939766413807</v>
      </c>
      <c r="E78">
        <v>96.120002517522536</v>
      </c>
      <c r="F78">
        <v>99.226077354804715</v>
      </c>
      <c r="G78">
        <v>98.889254948287018</v>
      </c>
      <c r="H78">
        <v>82.976587765402329</v>
      </c>
      <c r="I78">
        <v>103.68396197663269</v>
      </c>
      <c r="J78">
        <v>96.116353661911702</v>
      </c>
      <c r="K78">
        <v>0.94547650130598404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-2.5414513731602102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97.162656385609907</v>
      </c>
      <c r="C79">
        <v>93.82644002305635</v>
      </c>
      <c r="D79">
        <v>100.41599231624834</v>
      </c>
      <c r="E79">
        <v>97.577201079590736</v>
      </c>
      <c r="F79">
        <v>100.72035124193799</v>
      </c>
      <c r="G79">
        <v>99.479592738162026</v>
      </c>
      <c r="H79">
        <v>84.635151818603205</v>
      </c>
      <c r="I79">
        <v>105.58561640855334</v>
      </c>
      <c r="J79">
        <v>97.112703383841094</v>
      </c>
      <c r="K79">
        <v>0.94533886818945201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-2.57651501646236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97.878195319717733</v>
      </c>
      <c r="C80">
        <v>94.497616466508575</v>
      </c>
      <c r="D80">
        <v>100.25494245022134</v>
      </c>
      <c r="E80">
        <v>98.933196820306804</v>
      </c>
      <c r="F80">
        <v>101.83121315429634</v>
      </c>
      <c r="G80">
        <v>101.77753275408668</v>
      </c>
      <c r="H80">
        <v>85.719825367603292</v>
      </c>
      <c r="I80">
        <v>108.31121771925832</v>
      </c>
      <c r="J80">
        <v>97.939281331758707</v>
      </c>
      <c r="K80">
        <v>0.97025854045161797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-2.8420726107474099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98.251380926968693</v>
      </c>
      <c r="C81">
        <v>95.046557770087063</v>
      </c>
      <c r="D81">
        <v>100.27977561333832</v>
      </c>
      <c r="E81">
        <v>99.859674792223601</v>
      </c>
      <c r="F81">
        <v>102.75505224734302</v>
      </c>
      <c r="G81">
        <v>101.83629320629301</v>
      </c>
      <c r="H81">
        <v>87.2109231004506</v>
      </c>
      <c r="I81">
        <v>107.83201386008534</v>
      </c>
      <c r="J81">
        <v>98.271491907884894</v>
      </c>
      <c r="K81">
        <v>0.96254607930812597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-2.8344589561067299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98.752860375579601</v>
      </c>
      <c r="C82">
        <v>95.573052142217534</v>
      </c>
      <c r="D82">
        <v>100.44626594254466</v>
      </c>
      <c r="E82">
        <v>100.64151920177733</v>
      </c>
      <c r="F82">
        <v>103.29672898446734</v>
      </c>
      <c r="G82">
        <v>102.71417874820001</v>
      </c>
      <c r="H82">
        <v>88.583267017818912</v>
      </c>
      <c r="I82">
        <v>108.30888305803866</v>
      </c>
      <c r="J82">
        <v>98.725256275680096</v>
      </c>
      <c r="K82">
        <v>0.96206292968870799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-1.9742831920135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99.166459991903324</v>
      </c>
      <c r="C83">
        <v>96.22776798934926</v>
      </c>
      <c r="D83">
        <v>100.78379006726966</v>
      </c>
      <c r="E83">
        <v>101.17456267738699</v>
      </c>
      <c r="F83">
        <v>103.58080449112201</v>
      </c>
      <c r="G83">
        <v>102.56866561041333</v>
      </c>
      <c r="H83">
        <v>90.446879897405879</v>
      </c>
      <c r="I83">
        <v>107.92761017355532</v>
      </c>
      <c r="J83">
        <v>99.146775416235499</v>
      </c>
      <c r="K83">
        <v>0.94258678216933001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-2.1932674852037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99.615949856226962</v>
      </c>
      <c r="C84">
        <v>96.761799799065173</v>
      </c>
      <c r="D84">
        <v>100.74136792629666</v>
      </c>
      <c r="E84">
        <v>101.51248831036234</v>
      </c>
      <c r="F84">
        <v>103.69941576194201</v>
      </c>
      <c r="G84">
        <v>102.60372101866834</v>
      </c>
      <c r="H84">
        <v>91.971330881739888</v>
      </c>
      <c r="I84">
        <v>109.705617602445</v>
      </c>
      <c r="J84">
        <v>99.636204078681899</v>
      </c>
      <c r="K84">
        <v>0.93181462991006003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-1.8826407462063099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99.965841628580435</v>
      </c>
      <c r="C85">
        <v>97.447438467919497</v>
      </c>
      <c r="D85">
        <v>101.19545440954499</v>
      </c>
      <c r="E85">
        <v>101.10269167495198</v>
      </c>
      <c r="F85">
        <v>102.71224835343033</v>
      </c>
      <c r="G85">
        <v>102.60684340678434</v>
      </c>
      <c r="H85">
        <v>93.614135558542898</v>
      </c>
      <c r="I85">
        <v>108.998148756372</v>
      </c>
      <c r="J85">
        <v>99.975578190249095</v>
      </c>
      <c r="K85">
        <v>0.92660557261258103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-1.38128303613152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100.15679964062234</v>
      </c>
      <c r="C86">
        <v>97.959741385837262</v>
      </c>
      <c r="D86">
        <v>101.00925776781735</v>
      </c>
      <c r="E86">
        <v>101.20003915167933</v>
      </c>
      <c r="F86">
        <v>102.32970115912701</v>
      </c>
      <c r="G86">
        <v>102.08084055418699</v>
      </c>
      <c r="H86">
        <v>95.728153401372467</v>
      </c>
      <c r="I86">
        <v>108.44588267906533</v>
      </c>
      <c r="J86">
        <v>100.15384248529099</v>
      </c>
      <c r="K86">
        <v>0.91380926837552501</v>
      </c>
      <c r="L86">
        <v>88.037404545454606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-1.33620784186764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100.07190547553479</v>
      </c>
      <c r="C87">
        <v>98.542768251107702</v>
      </c>
      <c r="D87">
        <v>100.49872274209567</v>
      </c>
      <c r="E87">
        <v>101.34962685483266</v>
      </c>
      <c r="F87">
        <v>101.902564811056</v>
      </c>
      <c r="G87">
        <v>102.87858191854268</v>
      </c>
      <c r="H87">
        <v>97.583825183133058</v>
      </c>
      <c r="I87">
        <v>105.70777869540332</v>
      </c>
      <c r="J87">
        <v>100.072908475009</v>
      </c>
      <c r="K87">
        <v>0.90323157621595296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-1.25002526213317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99.755577318039329</v>
      </c>
      <c r="C88">
        <v>99.111240898954804</v>
      </c>
      <c r="D88">
        <v>100.21664844676739</v>
      </c>
      <c r="E88">
        <v>100.36792348279432</v>
      </c>
      <c r="F88">
        <v>100.68628855026499</v>
      </c>
      <c r="G88">
        <v>100.86600213012467</v>
      </c>
      <c r="H88">
        <v>98.715357809866603</v>
      </c>
      <c r="I88">
        <v>100.83007925986932</v>
      </c>
      <c r="J88">
        <v>99.737559069701703</v>
      </c>
      <c r="K88">
        <v>0.87885515922245505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-1.30733275958332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99.962685152501763</v>
      </c>
      <c r="C89">
        <v>99.576406852932791</v>
      </c>
      <c r="D89">
        <v>100.00484029364554</v>
      </c>
      <c r="E89">
        <v>100.17237507870699</v>
      </c>
      <c r="F89">
        <v>100.35650777517134</v>
      </c>
      <c r="G89">
        <v>100.54278321902467</v>
      </c>
      <c r="H89">
        <v>99.287872184422554</v>
      </c>
      <c r="I89">
        <v>101.882673815248</v>
      </c>
      <c r="J89">
        <v>99.968447882785</v>
      </c>
      <c r="K89">
        <v>0.87334294424922998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-1.4647002398396201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100.13007603806466</v>
      </c>
      <c r="C90">
        <v>100.262778853597</v>
      </c>
      <c r="D90">
        <v>100.00245823702994</v>
      </c>
      <c r="E90">
        <v>99.895823552012999</v>
      </c>
      <c r="F90">
        <v>99.795320813785295</v>
      </c>
      <c r="G90">
        <v>99.805436387975988</v>
      </c>
      <c r="H90">
        <v>100.326972257262</v>
      </c>
      <c r="I90">
        <v>99.958917060923838</v>
      </c>
      <c r="J90">
        <v>100.146759616263</v>
      </c>
      <c r="K90">
        <v>0.86162665883296397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-1.2747421782467601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100.13170898668368</v>
      </c>
      <c r="C91">
        <v>101.03705264670566</v>
      </c>
      <c r="D91">
        <v>99.775115837285668</v>
      </c>
      <c r="E91">
        <v>99.559359826343965</v>
      </c>
      <c r="F91">
        <v>99.150608552914207</v>
      </c>
      <c r="G91">
        <v>98.66574372381568</v>
      </c>
      <c r="H91">
        <v>101.752063305547</v>
      </c>
      <c r="I91">
        <v>97.166474470765266</v>
      </c>
      <c r="J91">
        <v>100.147233431251</v>
      </c>
      <c r="K91">
        <v>0.85110991350774401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-0.81574917739286301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100.13333476297566</v>
      </c>
      <c r="C92">
        <v>101.63189048400368</v>
      </c>
      <c r="D92">
        <v>99.609265503316934</v>
      </c>
      <c r="E92">
        <v>98.87099904393763</v>
      </c>
      <c r="F92">
        <v>98.164764849996672</v>
      </c>
      <c r="G92">
        <v>97.542334266732226</v>
      </c>
      <c r="H92">
        <v>102.86911993797067</v>
      </c>
      <c r="I92">
        <v>95.366472654391259</v>
      </c>
      <c r="J92">
        <v>100.08574795472801</v>
      </c>
      <c r="K92">
        <v>0.86850347615406098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-0.67088505986163505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100.31979473277234</v>
      </c>
      <c r="C93">
        <v>102.17191003363166</v>
      </c>
      <c r="D93">
        <v>99.21543163161482</v>
      </c>
      <c r="E93">
        <v>98.485767877873386</v>
      </c>
      <c r="F93">
        <v>97.581269524106673</v>
      </c>
      <c r="G93">
        <v>96.319976374456246</v>
      </c>
      <c r="H93">
        <v>104.01662271518167</v>
      </c>
      <c r="I93">
        <v>96.846572510049313</v>
      </c>
      <c r="J93">
        <v>100.33039080297701</v>
      </c>
      <c r="K93">
        <v>0.88843752965302603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-0.952309010574661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100.82484516775567</v>
      </c>
      <c r="C94">
        <v>102.979842608669</v>
      </c>
      <c r="D94">
        <v>99.171886992639244</v>
      </c>
      <c r="E94">
        <v>98.707434718344118</v>
      </c>
      <c r="F94">
        <v>97.439615555574889</v>
      </c>
      <c r="G94">
        <v>96.302160542522188</v>
      </c>
      <c r="H94">
        <v>105.93619813947167</v>
      </c>
      <c r="I94">
        <v>97.78393242915179</v>
      </c>
      <c r="J94">
        <v>100.85211829072399</v>
      </c>
      <c r="K94">
        <v>0.92673576098927701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-0.74176939534255604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101.35157347241767</v>
      </c>
      <c r="C95">
        <v>103.43041977555733</v>
      </c>
      <c r="D95">
        <v>99.732692925596567</v>
      </c>
      <c r="E95">
        <v>98.872786970661835</v>
      </c>
      <c r="F95">
        <v>97.339212165443939</v>
      </c>
      <c r="G95">
        <v>97.006636787266089</v>
      </c>
      <c r="H95">
        <v>106.76080336904933</v>
      </c>
      <c r="I95">
        <v>100.0107294843973</v>
      </c>
      <c r="J95">
        <v>101.372014999361</v>
      </c>
      <c r="K95">
        <v>0.94768492962638395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-0.67478306772361896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102.29024308293367</v>
      </c>
      <c r="C96">
        <v>104.167967085412</v>
      </c>
      <c r="D96">
        <v>100.32502564335471</v>
      </c>
      <c r="E96">
        <v>100.01429117037044</v>
      </c>
      <c r="F96">
        <v>98.469628624722631</v>
      </c>
      <c r="G96">
        <v>97.889171546179043</v>
      </c>
      <c r="H96">
        <v>108.38852094502199</v>
      </c>
      <c r="I96">
        <v>103.55879347849732</v>
      </c>
      <c r="J96">
        <v>102.22590469712</v>
      </c>
      <c r="K96">
        <v>0.95971239660198604</v>
      </c>
      <c r="L96">
        <v>77.053801538461499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-0.56431528853057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103.07909840949434</v>
      </c>
      <c r="C97">
        <v>105.06095314888034</v>
      </c>
      <c r="D97">
        <v>101.164991396853</v>
      </c>
      <c r="E97">
        <v>101.234926411598</v>
      </c>
      <c r="F97">
        <v>99.493277167064306</v>
      </c>
      <c r="G97">
        <v>99.077320560229552</v>
      </c>
      <c r="H97">
        <v>110.41423215586867</v>
      </c>
      <c r="I97">
        <v>102.39757129312267</v>
      </c>
      <c r="J97">
        <v>103.09683601647799</v>
      </c>
      <c r="K97">
        <v>0.95647260780480703</v>
      </c>
      <c r="L97">
        <v>77.968176923076896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-0.63519953431376597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103.64298055262667</v>
      </c>
      <c r="C98">
        <v>105.713348667397</v>
      </c>
      <c r="D98">
        <v>101.61477693784633</v>
      </c>
      <c r="E98">
        <v>101.81839603511266</v>
      </c>
      <c r="F98">
        <v>99.909183931706835</v>
      </c>
      <c r="G98">
        <v>99.60131621413467</v>
      </c>
      <c r="H98">
        <v>111.82010862705199</v>
      </c>
      <c r="I98">
        <v>102.44841194602367</v>
      </c>
      <c r="J98">
        <v>103.673949106268</v>
      </c>
      <c r="K98">
        <v>0.96509224987089204</v>
      </c>
      <c r="L98">
        <v>76.548027692307699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-0.80360708494998301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104.42448811475033</v>
      </c>
      <c r="C99">
        <v>106.23327433839967</v>
      </c>
      <c r="D99">
        <v>102.24732058847235</v>
      </c>
      <c r="E99">
        <v>103.078885817941</v>
      </c>
      <c r="F99">
        <v>101.25713524345133</v>
      </c>
      <c r="G99">
        <v>99.753424254290664</v>
      </c>
      <c r="H99">
        <v>113.50951465759999</v>
      </c>
      <c r="I99">
        <v>105.16585048235599</v>
      </c>
      <c r="J99">
        <v>104.443974888494</v>
      </c>
      <c r="K99">
        <v>0.97205100015429002</v>
      </c>
      <c r="L99">
        <v>77.708216923076904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-0.83009864760030805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105.07763174643766</v>
      </c>
      <c r="C100">
        <v>106.84697507281633</v>
      </c>
      <c r="D100">
        <v>102.60644691226265</v>
      </c>
      <c r="E100">
        <v>103.735861937698</v>
      </c>
      <c r="F100">
        <v>101.67596234241334</v>
      </c>
      <c r="G100">
        <v>99.917031825171435</v>
      </c>
      <c r="H100">
        <v>116.01815547968165</v>
      </c>
      <c r="I100">
        <v>107.58944539225065</v>
      </c>
      <c r="J100">
        <v>105.001920911851</v>
      </c>
      <c r="K100">
        <v>0.97611841956968204</v>
      </c>
      <c r="L100">
        <v>79.033741538461499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-0.90531947051949302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105.56681560689735</v>
      </c>
      <c r="C101">
        <v>107.41189866897633</v>
      </c>
      <c r="D101">
        <v>102.90827869402767</v>
      </c>
      <c r="E101">
        <v>104.06710682132801</v>
      </c>
      <c r="F101">
        <v>101.771900770117</v>
      </c>
      <c r="G101">
        <v>99.724862409460613</v>
      </c>
      <c r="H101">
        <v>118.06088736077966</v>
      </c>
      <c r="I101">
        <v>108.67428051990198</v>
      </c>
      <c r="J101">
        <v>105.60004847179999</v>
      </c>
      <c r="K101">
        <v>0.986092014210877</v>
      </c>
      <c r="L101">
        <v>79.101027692307696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-0.74790025734454202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106.23953475107601</v>
      </c>
      <c r="C102">
        <v>108.26076695573933</v>
      </c>
      <c r="D102">
        <v>102.84785148395532</v>
      </c>
      <c r="E102">
        <v>104.47502848888267</v>
      </c>
      <c r="F102">
        <v>101.96781333408933</v>
      </c>
      <c r="G102">
        <v>99.974750742370702</v>
      </c>
      <c r="H102">
        <v>119.75332512166135</v>
      </c>
      <c r="I102">
        <v>111.752145627367</v>
      </c>
      <c r="J102">
        <v>106.26766203299</v>
      </c>
      <c r="K102">
        <v>0.99638673401549804</v>
      </c>
      <c r="L102">
        <v>77.813970769230806</v>
      </c>
      <c r="M102" s="15">
        <f>+'[3]VAR expectations'!C126</f>
        <v>2.6759360893479318</v>
      </c>
      <c r="N102">
        <v>0.59026787322204399</v>
      </c>
      <c r="O102">
        <v>0.21968415645398701</v>
      </c>
      <c r="P102">
        <v>-0.56254020837855201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106.797890157795</v>
      </c>
      <c r="C103">
        <v>108.85695039704633</v>
      </c>
      <c r="D103">
        <v>103.19739078614801</v>
      </c>
      <c r="E103">
        <v>104.96334312930533</v>
      </c>
      <c r="F103">
        <v>101.96425267541933</v>
      </c>
      <c r="G103">
        <v>100.26301407310366</v>
      </c>
      <c r="H103">
        <v>122.71503478154034</v>
      </c>
      <c r="I103">
        <v>113.99367876091033</v>
      </c>
      <c r="J103">
        <v>106.814099123273</v>
      </c>
      <c r="K103">
        <v>0.99157593162403501</v>
      </c>
      <c r="L103">
        <v>77.843365151515201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-0.54888891726445499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107.069443756336</v>
      </c>
      <c r="C104">
        <v>109.50611710470001</v>
      </c>
      <c r="D104">
        <v>103.55186101654567</v>
      </c>
      <c r="E104">
        <v>105.87895099910533</v>
      </c>
      <c r="F104">
        <v>102.661913189107</v>
      </c>
      <c r="G104">
        <v>100.89552605684167</v>
      </c>
      <c r="H104">
        <v>125.21782921719098</v>
      </c>
      <c r="I104">
        <v>109.350587652474</v>
      </c>
      <c r="J104">
        <v>106.977864822963</v>
      </c>
      <c r="K104">
        <v>0.99141183150394996</v>
      </c>
      <c r="L104">
        <v>78.730262499999995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-0.12737372568924499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107.70512550605001</v>
      </c>
      <c r="C105">
        <v>110.24882029080466</v>
      </c>
      <c r="D105">
        <v>103.30903114218135</v>
      </c>
      <c r="E105">
        <v>105.96487984695733</v>
      </c>
      <c r="F105">
        <v>102.90138903182201</v>
      </c>
      <c r="G105">
        <v>100.40159649274399</v>
      </c>
      <c r="H105">
        <v>125.293605632888</v>
      </c>
      <c r="I105">
        <v>115.28478149392534</v>
      </c>
      <c r="J105">
        <v>107.767672419824</v>
      </c>
      <c r="K105">
        <v>0.99936638442185</v>
      </c>
      <c r="L105">
        <v>78.4577861538462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-0.56532865928738796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108.18587479163934</v>
      </c>
      <c r="C106">
        <v>110.893327270509</v>
      </c>
      <c r="D106">
        <v>103.48554339952666</v>
      </c>
      <c r="E106">
        <v>106.69658021561499</v>
      </c>
      <c r="F106">
        <v>103.621062170082</v>
      </c>
      <c r="G106">
        <v>100.91993677378498</v>
      </c>
      <c r="H106">
        <v>126.24805956328733</v>
      </c>
      <c r="I106">
        <v>114.89986414988398</v>
      </c>
      <c r="J106">
        <v>108.20098568636099</v>
      </c>
      <c r="K106">
        <v>1.0140568289313101</v>
      </c>
      <c r="L106">
        <v>75.796048484848498</v>
      </c>
      <c r="M106" s="15">
        <f>+'[3]VAR expectations'!C130</f>
        <v>2.9781745842670815</v>
      </c>
      <c r="N106">
        <v>0.17462163035891601</v>
      </c>
      <c r="O106">
        <v>-8.21163442679727E-3</v>
      </c>
      <c r="P106">
        <v>-0.449076074707774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108.30352089452566</v>
      </c>
      <c r="C107">
        <v>111.41531164965734</v>
      </c>
      <c r="D107">
        <v>103.66060057358168</v>
      </c>
      <c r="E107">
        <v>106.91781395496101</v>
      </c>
      <c r="F107">
        <v>103.70984082947867</v>
      </c>
      <c r="G107">
        <v>101.55691021196434</v>
      </c>
      <c r="H107">
        <v>126.30285577131268</v>
      </c>
      <c r="I107">
        <v>112.08019932355633</v>
      </c>
      <c r="J107">
        <v>108.31888049271301</v>
      </c>
      <c r="K107">
        <v>0.99576582870709296</v>
      </c>
      <c r="L107">
        <v>79.404298484848496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-0.54951317064833105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108.90600696720735</v>
      </c>
      <c r="C108">
        <v>112.20691145461767</v>
      </c>
      <c r="D108">
        <v>103.99593939126498</v>
      </c>
      <c r="E108">
        <v>107.2764589296</v>
      </c>
      <c r="F108">
        <v>104.04999975114465</v>
      </c>
      <c r="G108">
        <v>101.86877103922366</v>
      </c>
      <c r="H108">
        <v>126.68696130724733</v>
      </c>
      <c r="I108">
        <v>112.90264744581766</v>
      </c>
      <c r="J108">
        <v>108.791895661211</v>
      </c>
      <c r="K108">
        <v>0.98921837596373596</v>
      </c>
      <c r="L108">
        <v>79.231909230769205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-0.62816482316322497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108.312000029114</v>
      </c>
      <c r="C109">
        <v>112.32883044453332</v>
      </c>
      <c r="D109">
        <v>103.78937829213767</v>
      </c>
      <c r="E109">
        <v>107.74928923882469</v>
      </c>
      <c r="F109">
        <v>104.339247920758</v>
      </c>
      <c r="G109">
        <v>102.46802834629166</v>
      </c>
      <c r="H109">
        <v>128.62274121926635</v>
      </c>
      <c r="I109">
        <v>102.54274587975466</v>
      </c>
      <c r="J109">
        <v>108.418046209124</v>
      </c>
      <c r="K109">
        <v>0.97634496414970795</v>
      </c>
      <c r="L109">
        <v>77.417078461538495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-2.7952897707186399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108.836395648074</v>
      </c>
      <c r="C110">
        <v>112.47056049897867</v>
      </c>
      <c r="D110">
        <v>104.62202149789134</v>
      </c>
      <c r="E110">
        <v>107.63676258845165</v>
      </c>
      <c r="F110">
        <v>103.958308877931</v>
      </c>
      <c r="G110">
        <v>101.77852592356999</v>
      </c>
      <c r="H110">
        <v>130.60823488900999</v>
      </c>
      <c r="I110">
        <v>105.01997000709234</v>
      </c>
      <c r="J110">
        <v>108.829305887182</v>
      </c>
      <c r="K110">
        <v>0.97883095395886899</v>
      </c>
      <c r="L110">
        <v>77.453536363636402</v>
      </c>
      <c r="M110" s="15">
        <f>+'[3]VAR expectations'!C134</f>
        <v>3.1319434989789481</v>
      </c>
      <c r="N110">
        <v>-0.57563884899936701</v>
      </c>
      <c r="O110">
        <v>0.118900887754049</v>
      </c>
      <c r="P110">
        <v>-1.9685648119861801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108.88385074800999</v>
      </c>
      <c r="C111">
        <v>112.98520264382967</v>
      </c>
      <c r="D111">
        <v>104.90733773358166</v>
      </c>
      <c r="E111">
        <v>107.303448456422</v>
      </c>
      <c r="F111">
        <v>103.21252629518767</v>
      </c>
      <c r="G111">
        <v>101.914785885757</v>
      </c>
      <c r="H111">
        <v>131.90070583748602</v>
      </c>
      <c r="I111">
        <v>101.99589374978633</v>
      </c>
      <c r="J111">
        <v>108.893925924626</v>
      </c>
      <c r="K111">
        <v>1.0012800496960601</v>
      </c>
      <c r="L111">
        <v>77.966816666666702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-1.68883356808434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109.62404906431067</v>
      </c>
      <c r="C112">
        <v>114.01745701944333</v>
      </c>
      <c r="D112">
        <v>104.76064449420834</v>
      </c>
      <c r="E112">
        <v>107.48798031541533</v>
      </c>
      <c r="F112">
        <v>103.16382600707699</v>
      </c>
      <c r="G112">
        <v>102.199240472298</v>
      </c>
      <c r="H112">
        <v>133.19641856133234</v>
      </c>
      <c r="I112">
        <v>106.381967441423</v>
      </c>
      <c r="J112">
        <v>109.506102642889</v>
      </c>
      <c r="K112">
        <v>1.0066611537263499</v>
      </c>
      <c r="L112">
        <v>80.482731250000001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-0.91089864582077995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110.468233475395</v>
      </c>
      <c r="C113">
        <v>114.39343793734933</v>
      </c>
      <c r="D113">
        <v>105.82408648919034</v>
      </c>
      <c r="E113">
        <v>107.77025404783933</v>
      </c>
      <c r="F113">
        <v>103.519837815058</v>
      </c>
      <c r="G113">
        <v>103.36873680848566</v>
      </c>
      <c r="H113">
        <v>132.46149987359934</v>
      </c>
      <c r="I113">
        <v>111.53401076425867</v>
      </c>
      <c r="J113">
        <v>110.60875258213601</v>
      </c>
      <c r="K113">
        <v>1.0023594354094001</v>
      </c>
      <c r="L113">
        <v>81.786427692307697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0.127100546674869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111.85794532484333</v>
      </c>
      <c r="C114">
        <v>115.18865518331533</v>
      </c>
      <c r="D114">
        <v>107.74459799649766</v>
      </c>
      <c r="E114">
        <v>108.41456059667301</v>
      </c>
      <c r="F114">
        <v>104.09374489816001</v>
      </c>
      <c r="G114">
        <v>103.37986824103568</v>
      </c>
      <c r="H114">
        <v>134.081111960724</v>
      </c>
      <c r="I114">
        <v>115.39071705360033</v>
      </c>
      <c r="J114">
        <v>111.822223213621</v>
      </c>
      <c r="K114">
        <v>1.0314278958522201</v>
      </c>
      <c r="L114">
        <v>81.769348484848507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0.25815461368186399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114.23628982260966</v>
      </c>
      <c r="C115">
        <v>116.69347327886834</v>
      </c>
      <c r="D115">
        <v>109.71136417811266</v>
      </c>
      <c r="E115">
        <v>110.39371025901566</v>
      </c>
      <c r="F115">
        <v>105.94904910050532</v>
      </c>
      <c r="G115">
        <v>104.06463615024434</v>
      </c>
      <c r="H115">
        <v>138.26813064899034</v>
      </c>
      <c r="I115">
        <v>126.67393665847634</v>
      </c>
      <c r="J115">
        <v>114.240549218567</v>
      </c>
      <c r="K115">
        <v>1.0869456815638701</v>
      </c>
      <c r="L115">
        <v>81.601331818181805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0.774883425303596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116.49679782574033</v>
      </c>
      <c r="C116">
        <v>118.17148221010068</v>
      </c>
      <c r="D116">
        <v>112.14060556867832</v>
      </c>
      <c r="E116">
        <v>112.64887465375432</v>
      </c>
      <c r="F116">
        <v>108.46201632953201</v>
      </c>
      <c r="G116">
        <v>104.055527509672</v>
      </c>
      <c r="H116">
        <v>141.31561699526233</v>
      </c>
      <c r="I116">
        <v>132.05985925346133</v>
      </c>
      <c r="J116">
        <v>116.375642533207</v>
      </c>
      <c r="K116">
        <v>1.1275989580293799</v>
      </c>
      <c r="L116">
        <v>82.320465624997198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1.76836581167985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120.52064606065666</v>
      </c>
      <c r="C117">
        <v>120.01015765061733</v>
      </c>
      <c r="D117">
        <v>113.37912768262932</v>
      </c>
      <c r="E117">
        <v>115.54998019506</v>
      </c>
      <c r="F117">
        <v>112.12154397208833</v>
      </c>
      <c r="G117">
        <v>104.87495363778834</v>
      </c>
      <c r="H117">
        <v>142.96462600668698</v>
      </c>
      <c r="I117">
        <v>171.499911087285</v>
      </c>
      <c r="J117">
        <v>120.70079793711299</v>
      </c>
      <c r="K117">
        <v>1.1794334174449199</v>
      </c>
      <c r="L117">
        <v>80.190636866096895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1.7230898542269899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123.08032853740333</v>
      </c>
      <c r="C118">
        <v>122.01234170978</v>
      </c>
      <c r="D118">
        <v>114.96669578624034</v>
      </c>
      <c r="E118">
        <v>120.34880353665865</v>
      </c>
      <c r="F118">
        <v>118.03470824002932</v>
      </c>
      <c r="G118">
        <v>106.34353419869068</v>
      </c>
      <c r="H118">
        <v>144.97089486999496</v>
      </c>
      <c r="I118">
        <v>177.65311548983632</v>
      </c>
      <c r="J118">
        <v>123.011022151719</v>
      </c>
      <c r="K118">
        <v>1.26246662763152</v>
      </c>
      <c r="L118">
        <v>78.205745454544996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1.43730148732707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126.52622079361434</v>
      </c>
      <c r="C119">
        <v>124.210020969232</v>
      </c>
      <c r="D119">
        <v>116.65931605151367</v>
      </c>
      <c r="E119">
        <v>124.640312210839</v>
      </c>
      <c r="F119">
        <v>123.41533462456134</v>
      </c>
      <c r="G119">
        <v>107.90816851906133</v>
      </c>
      <c r="H119">
        <v>145.96944580888234</v>
      </c>
      <c r="I119">
        <v>197.27977015828901</v>
      </c>
      <c r="J119">
        <v>126.53335999117</v>
      </c>
      <c r="K119">
        <v>1.2310286407533499</v>
      </c>
      <c r="L119">
        <v>78.037909230769202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1.24244862428622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128.39423130209934</v>
      </c>
      <c r="C120">
        <v>125.80704833012099</v>
      </c>
      <c r="D120">
        <v>118.534874992909</v>
      </c>
      <c r="E120">
        <v>128.65804998334298</v>
      </c>
      <c r="F120">
        <v>127.98283299545801</v>
      </c>
      <c r="G120">
        <v>110.12204542033966</v>
      </c>
      <c r="H120">
        <v>148.43214229891933</v>
      </c>
      <c r="I120">
        <v>192.93420378696669</v>
      </c>
      <c r="J120">
        <v>128.264245046441</v>
      </c>
      <c r="K120">
        <v>1.2323476813857099</v>
      </c>
      <c r="L120">
        <v>78.1068492307692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0.98520080045761005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130.61844178263766</v>
      </c>
      <c r="C121">
        <v>128.57545586966202</v>
      </c>
      <c r="D121">
        <v>120.77712137186067</v>
      </c>
      <c r="E121">
        <v>133.44221914235064</v>
      </c>
      <c r="F121">
        <v>132.49669873884099</v>
      </c>
      <c r="G121">
        <v>112.20203402468167</v>
      </c>
      <c r="H121">
        <v>158.85951060391832</v>
      </c>
      <c r="I121">
        <v>184.24983227634667</v>
      </c>
      <c r="J121">
        <v>130.82881800797901</v>
      </c>
      <c r="K121">
        <v>1.20247350198602</v>
      </c>
      <c r="L121">
        <v>80.384953846153806</v>
      </c>
      <c r="M121" s="15">
        <f>+'[3]VAR expectations'!C145</f>
        <v>4.9659010810981856</v>
      </c>
      <c r="N121">
        <v>0.70170723997551099</v>
      </c>
      <c r="O121">
        <v>-0.231251350162267</v>
      </c>
      <c r="P121">
        <v>0.73819934325006398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131.35142713338033</v>
      </c>
      <c r="C122">
        <v>130.61229417504035</v>
      </c>
      <c r="D122">
        <v>121.017965070264</v>
      </c>
      <c r="E122">
        <v>135.42858256394231</v>
      </c>
      <c r="F122">
        <v>133.95656674408167</v>
      </c>
      <c r="G122">
        <v>115.746720760953</v>
      </c>
      <c r="H122">
        <v>162.11653692532067</v>
      </c>
      <c r="I122">
        <v>171.81692414620269</v>
      </c>
      <c r="J122">
        <v>131.255320964128</v>
      </c>
      <c r="K122">
        <v>1.19177734037031</v>
      </c>
      <c r="L122">
        <v>82.125763076923107</v>
      </c>
      <c r="M122" s="15">
        <f>+'[3]VAR expectations'!C146</f>
        <v>4.3007323969777262</v>
      </c>
      <c r="N122">
        <v>-0.16340187781012599</v>
      </c>
      <c r="O122">
        <v>-0.673433352934243</v>
      </c>
      <c r="P122">
        <v>0.397347121379718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131.81624442764499</v>
      </c>
      <c r="C123">
        <v>132.14708594635931</v>
      </c>
      <c r="D123">
        <v>120.882547101756</v>
      </c>
      <c r="E123">
        <v>136.68926525655232</v>
      </c>
      <c r="F123">
        <v>134.66267344706066</v>
      </c>
      <c r="G123">
        <v>117.965952940497</v>
      </c>
      <c r="H123">
        <v>165.65764948888466</v>
      </c>
      <c r="I123">
        <v>164.27306405779268</v>
      </c>
      <c r="J123">
        <v>131.83480673690499</v>
      </c>
      <c r="K123">
        <v>1.20929980313573</v>
      </c>
      <c r="L123">
        <v>81.116464615384601</v>
      </c>
      <c r="M123" s="15">
        <f>+'[3]VAR expectations'!C147</f>
        <v>3.8582721147576735</v>
      </c>
      <c r="N123">
        <v>-1.3678165112816401</v>
      </c>
      <c r="O123">
        <v>-0.21694556148073699</v>
      </c>
      <c r="P123">
        <v>-3.3447870882347998E-2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B124">
        <v>132.97017691377533</v>
      </c>
      <c r="C124">
        <v>133.663397364605</v>
      </c>
      <c r="D124">
        <v>120.92972209995833</v>
      </c>
      <c r="E124">
        <v>137.70812606827965</v>
      </c>
      <c r="F124">
        <v>134.76876940417466</v>
      </c>
      <c r="G124">
        <v>118.88501240212501</v>
      </c>
      <c r="H124">
        <v>172.42440661845799</v>
      </c>
      <c r="I124">
        <v>165.665686223883</v>
      </c>
      <c r="J124">
        <v>132.83680161261199</v>
      </c>
      <c r="K124">
        <v>1.2067624343872201</v>
      </c>
      <c r="L124">
        <v>82.494893846153801</v>
      </c>
      <c r="M124" s="15">
        <f>+'[3]VAR expectations'!C148</f>
        <v>3.6255376960251078</v>
      </c>
      <c r="N124">
        <v>-1.0717785266822</v>
      </c>
      <c r="O124">
        <v>4.3541846025459997E-2</v>
      </c>
      <c r="P124">
        <v>-0.11047626638347501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B125">
        <v>133.32064195436968</v>
      </c>
      <c r="C125">
        <v>135.96444031921865</v>
      </c>
      <c r="D125">
        <v>120.90892622612733</v>
      </c>
      <c r="E125">
        <v>138.07424961152103</v>
      </c>
      <c r="F125">
        <v>135.18826550956601</v>
      </c>
      <c r="G125">
        <v>118.70849707110567</v>
      </c>
      <c r="H125">
        <v>174.23554646374433</v>
      </c>
      <c r="I125">
        <v>154.625632440121</v>
      </c>
      <c r="J125">
        <v>133.54583898298199</v>
      </c>
      <c r="K125">
        <v>1.20888070563772</v>
      </c>
      <c r="L125">
        <v>82.864006153846105</v>
      </c>
      <c r="M125" s="15">
        <f>+'[3]VAR expectations'!C149</f>
        <v>2.979353541970323</v>
      </c>
      <c r="N125">
        <v>-1.2261098957021399</v>
      </c>
      <c r="O125">
        <v>-0.40443614577732501</v>
      </c>
      <c r="P125">
        <v>-0.11204254598876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B126">
        <v>134.34863834716867</v>
      </c>
      <c r="C126">
        <v>137.97089214747166</v>
      </c>
      <c r="D126">
        <v>121.014054147249</v>
      </c>
      <c r="E126">
        <v>139.04225170322366</v>
      </c>
      <c r="F126">
        <v>135.65454433854731</v>
      </c>
      <c r="G126">
        <v>118.81471889707568</v>
      </c>
      <c r="H126">
        <v>177.23499587219067</v>
      </c>
      <c r="I126">
        <v>151.73790817786733</v>
      </c>
      <c r="J126">
        <v>134.23650122736601</v>
      </c>
      <c r="K126">
        <v>1.19432227482909</v>
      </c>
      <c r="L126">
        <v>84.232649857504597</v>
      </c>
      <c r="M126" s="15">
        <f>+'[3]VAR expectations'!C150</f>
        <v>2.9717312535901965</v>
      </c>
      <c r="N126">
        <v>-0.85316365746949197</v>
      </c>
      <c r="O126">
        <v>-0.3982860759479</v>
      </c>
      <c r="P126">
        <v>-0.11524431152284199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B127">
        <v>135.41041213939869</v>
      </c>
      <c r="C127">
        <v>139.26714658279568</v>
      </c>
      <c r="D127">
        <v>121.22848357937865</v>
      </c>
      <c r="E127">
        <v>140.70381167752831</v>
      </c>
      <c r="F127">
        <v>135.74951287715234</v>
      </c>
      <c r="G127">
        <v>119.71120089465832</v>
      </c>
      <c r="H127">
        <v>182.93973475038101</v>
      </c>
      <c r="I127">
        <v>156.52565900505098</v>
      </c>
      <c r="J127">
        <v>135.431480436165</v>
      </c>
      <c r="K127">
        <v>1.18844856860662</v>
      </c>
      <c r="L127">
        <v>84.1046729304217</v>
      </c>
      <c r="M127" s="15">
        <f>+'[3]VAR expectations'!C151</f>
        <v>3.468785277541127</v>
      </c>
      <c r="N127">
        <v>-0.32387211000136901</v>
      </c>
      <c r="O127">
        <v>0.16500605812999999</v>
      </c>
      <c r="P127">
        <v>-0.243348347807572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I128">
        <v>157.241150364449</v>
      </c>
      <c r="J128">
        <v>136.38340653864199</v>
      </c>
      <c r="K128">
        <v>1.1833343898183299</v>
      </c>
      <c r="L128">
        <v>84.002293570144104</v>
      </c>
      <c r="M128" s="15">
        <f>+'[3]VAR expectations'!C152</f>
        <v>3.8021957884789486</v>
      </c>
      <c r="N128">
        <v>-0.33452065592027302</v>
      </c>
      <c r="O128">
        <v>0.107917584062745</v>
      </c>
      <c r="P128">
        <v>-0.56527436256247998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I129">
        <v>158.37665525325366</v>
      </c>
      <c r="J129">
        <v>137.05557382465801</v>
      </c>
      <c r="K129">
        <v>1.1802723319388599</v>
      </c>
      <c r="L129">
        <v>83.899093276112595</v>
      </c>
      <c r="M129" s="15">
        <f>+'[3]VAR expectations'!C153</f>
        <v>4.011042611251681</v>
      </c>
      <c r="N129">
        <v>0.15426356535152699</v>
      </c>
      <c r="O129">
        <v>3.5632547105975999E-2</v>
      </c>
      <c r="P129">
        <v>-0.80601035203733296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I130">
        <v>159.79486166560767</v>
      </c>
      <c r="J130">
        <v>137.52240833841199</v>
      </c>
      <c r="K130">
        <v>1.1790385515947801</v>
      </c>
      <c r="L130">
        <v>83.796272177421898</v>
      </c>
      <c r="M130" s="15">
        <f>+'[3]VAR expectations'!C154</f>
        <v>3.9691108090385026</v>
      </c>
      <c r="N130">
        <v>0.33371618266403602</v>
      </c>
      <c r="O130">
        <v>-0.17429903529735599</v>
      </c>
      <c r="P130">
        <v>-0.99014289599893601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I131">
        <v>157.03182436684531</v>
      </c>
      <c r="J131">
        <v>138.35669310829601</v>
      </c>
      <c r="K131">
        <v>1.1773891858616601</v>
      </c>
      <c r="L131">
        <v>83.692680888943499</v>
      </c>
      <c r="M131" s="15">
        <f>+'[3]VAR expectations'!C155</f>
        <v>3.8470567349792795</v>
      </c>
      <c r="N131">
        <v>2.1927275871379201E-2</v>
      </c>
      <c r="O131">
        <v>-7.0369201187523399E-3</v>
      </c>
      <c r="P131">
        <v>-1.1262030989121301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I132">
        <v>155.49843000690831</v>
      </c>
      <c r="J132">
        <v>139.05640532596399</v>
      </c>
      <c r="K132">
        <v>1.1744442443585601</v>
      </c>
      <c r="L132">
        <v>83.589344185585404</v>
      </c>
      <c r="M132" s="15">
        <f>+'[3]VAR expectations'!C156</f>
        <v>4.1639091291217634</v>
      </c>
      <c r="N132">
        <v>-6.2694454887012696E-2</v>
      </c>
      <c r="O132">
        <v>-1.6535476013773E-2</v>
      </c>
      <c r="P132">
        <v>-1.21892668868955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I133">
        <v>154.38840946400433</v>
      </c>
      <c r="J133">
        <v>139.414504828437</v>
      </c>
      <c r="K133">
        <v>1.17123350693022</v>
      </c>
      <c r="L133">
        <v>83.488637625047502</v>
      </c>
      <c r="M133" s="15">
        <f>+'[3]VAR expectations'!C157</f>
        <v>5.4104651194166893</v>
      </c>
      <c r="N133">
        <v>-0.192972911572765</v>
      </c>
      <c r="O133">
        <v>0.19389058082222399</v>
      </c>
      <c r="P133">
        <v>-1.2347392523488001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I134">
        <v>157.28855479415165</v>
      </c>
      <c r="J134">
        <v>139.86312089026799</v>
      </c>
      <c r="K134">
        <v>1.1696216134350801</v>
      </c>
      <c r="L134">
        <v>83.392357486101304</v>
      </c>
      <c r="M134" s="15">
        <f>+'[3]VAR expectations'!C158</f>
        <v>4.9139696600199789</v>
      </c>
      <c r="N134">
        <v>-0.114185502560521</v>
      </c>
      <c r="O134">
        <v>-5.4901279743138999E-2</v>
      </c>
      <c r="P134">
        <v>-1.1664954783747901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I135">
        <v>154.16710090742501</v>
      </c>
      <c r="J135">
        <v>140.53257146803901</v>
      </c>
      <c r="K135">
        <v>1.1683568516360201</v>
      </c>
      <c r="L135">
        <v>83.301052592129906</v>
      </c>
      <c r="M135" s="15">
        <f>+'[3]VAR expectations'!C159</f>
        <v>4.0011512098701685</v>
      </c>
      <c r="N135">
        <v>-0.12719079785395801</v>
      </c>
      <c r="O135">
        <v>-4.4310271174268602E-4</v>
      </c>
      <c r="P135">
        <v>-1.08665845091267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J136">
        <v>141.14235671546299</v>
      </c>
      <c r="K136">
        <v>1.1670104611005201</v>
      </c>
      <c r="L136">
        <v>83.2147225955989</v>
      </c>
      <c r="M136" s="15">
        <f>+'[3]VAR expectations'!C160</f>
        <v>3.3715300668176842</v>
      </c>
      <c r="N136">
        <v>-0.122327890987575</v>
      </c>
      <c r="O136">
        <v>-1.27151534663672E-2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J137">
        <v>141.50295413838501</v>
      </c>
      <c r="K137">
        <v>1.1655180783933401</v>
      </c>
      <c r="L137">
        <v>83.132938158355202</v>
      </c>
      <c r="M137" s="15">
        <f>+'[3]VAR expectations'!C161</f>
        <v>2.9319715449134089</v>
      </c>
      <c r="N137">
        <v>-8.7508976599585994E-2</v>
      </c>
      <c r="O137">
        <v>1.60999570243111E-2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J138">
        <v>141.982081397439</v>
      </c>
      <c r="K138">
        <v>1.1637576474873501</v>
      </c>
      <c r="L138">
        <v>83.055169964135899</v>
      </c>
      <c r="M138" s="15">
        <f>+'[3]VAR expectations'!C162</f>
        <v>2.624058833894372</v>
      </c>
      <c r="N138">
        <v>-6.6426599596672797E-2</v>
      </c>
      <c r="O138">
        <v>-6.7701651851022695E-4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M139" s="15">
        <f>+'[3]VAR expectations'!C163</f>
        <v>2.4687156565697737</v>
      </c>
      <c r="O139">
        <v>-4.15752015621643E-3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M140" s="15">
        <f>+'[3]VAR expectations'!C164</f>
        <v>2.4272584547421974</v>
      </c>
      <c r="O140">
        <v>-6.4730736789887404E-3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M141" s="15">
        <f>+'[3]VAR expectations'!C165</f>
        <v>2.4505337246023733</v>
      </c>
      <c r="O141">
        <v>1.1817117236994201E-2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M142" s="15">
        <f>+'[3]VAR expectations'!C166</f>
        <v>2.4399426350808717</v>
      </c>
      <c r="O142">
        <v>3.8775680770001202E-2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M143" s="15">
        <f>+'[3]VAR expectations'!C167</f>
        <v>2.4724757454078841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M144" s="15">
        <f>+'[3]VAR expectations'!C168</f>
        <v>2.5381252562448622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/>
      <c r="M145" s="15">
        <f>+'[3]VAR expectations'!C169</f>
        <v>2.6576871518365146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0D4D-0BF3-467E-B260-98E8677F02C4}">
  <dimension ref="A1:W172"/>
  <sheetViews>
    <sheetView zoomScaleNormal="100" workbookViewId="0">
      <selection activeCell="Q12" sqref="Q12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I3" s="1" t="s">
        <v>7</v>
      </c>
      <c r="J3" s="2" t="s">
        <v>5</v>
      </c>
      <c r="K3" s="2"/>
      <c r="L3" t="s">
        <v>105</v>
      </c>
    </row>
    <row r="4" spans="1:23" x14ac:dyDescent="0.25">
      <c r="A4" t="s">
        <v>262</v>
      </c>
      <c r="B4" s="2" t="s">
        <v>8</v>
      </c>
      <c r="C4" s="2"/>
      <c r="D4" s="3" t="s">
        <v>260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272</v>
      </c>
      <c r="J5" s="2" t="s">
        <v>9</v>
      </c>
      <c r="K5" s="2"/>
    </row>
    <row r="6" spans="1:23" x14ac:dyDescent="0.25">
      <c r="A6" t="s">
        <v>261</v>
      </c>
      <c r="I6" t="s">
        <v>271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conv2qa(X12(stifidx_oct2024.m,MULT,1996m1,2025m3))</v>
      </c>
      <c r="C10" s="11" t="str">
        <f t="shared" ref="C10:D10" si="0">"conv2qa(X12("&amp;$D$5&amp;$D$3&amp;C9&amp;$D$4&amp;",MULT," &amp; TEXT($A$3,"yyyy""m""m") &amp; "," &amp; TEXT($A$4,"yyyy""m""m") &amp; "))"</f>
        <v>conv2qa(X12(stif_srv_oct2024.m,MULT,1996m1,2025m3))</v>
      </c>
      <c r="D10" s="11" t="str">
        <f t="shared" si="0"/>
        <v>conv2qa(X12(stif_gds_xeatfnab_oct2024.m,MULT,1996m1,2025m3))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booze.m,fags.m,#,#,#,#,#,#,#,#,#,#,#,#,#,#,#,#,#),MULT,1996m1,2025m3))</v>
      </c>
      <c r="F10" s="11" t="str">
        <f>"conv2qa(X12("&amp;$D$5&amp;$D$3&amp;F9&amp;$D$4&amp;",MULT," &amp; TEXT($A$3,"yyyy""m""m") &amp; "," &amp; TEXT($A$4,"yyyy""m""m") &amp; "))"</f>
        <v>conv2qa(X12(stif_fnab_oct2024.m,MULT,1996m1,2025m3))</v>
      </c>
      <c r="G10" s="11" t="str">
        <f>"conv2qa(X12("&amp;G9&amp;",MULT," &amp; TEXT($A$3,"yyyy""m""m") &amp; "," &amp; TEXT($A$4,"yyyy""m""m") &amp; "))"</f>
        <v>conv2qa(X12(booze.m,MULT,1996m1,2025m3))</v>
      </c>
      <c r="H10" s="11" t="str">
        <f>"conv2qa(X12("&amp;H9&amp;",MULT," &amp; TEXT($A$3,"yyyy""m""m") &amp; "," &amp; TEXT($A$4,"yyyy""m""m") &amp; "))"</f>
        <v>conv2qa(X12(fags.m,MULT,1996m1,2025m3))</v>
      </c>
      <c r="I10" s="11" t="str">
        <f>"conv2qa(X12("&amp;$D$5&amp;$D$3&amp;I9&amp;$D$4&amp;",MULT," &amp; TEXT($A$3,"yyyy""m""m") &amp; "," &amp; TEXT($I$5,"yyyy""m""m") &amp; "))"</f>
        <v>conv2qa(X12(stif_pu_oct2024.m,MULT,1996m1,2028m12))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68.336249781639438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58.553707089085371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77.833862631324294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>
        <f>[2]!FAMEData($L$5&amp;$L$3&amp;J9&amp;$L$4, $I$3, $I$4, 0,"Quarterly", "Down", "No Heading", "Normal")</f>
        <v>68.291673103335697</v>
      </c>
      <c r="K12">
        <f>[2]!FAMEData($L$5&amp;$L$3&amp;K9&amp;$L$4, $I$3, $I$4, 0,"Quarterly", "Down", "No Heading", "Normal")</f>
        <v>0.71982449635397405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[2]!FAMEData($L$5&amp;$L$3&amp;P9&amp;$L$4, $I$3, $I$4, 0,"Quarterly", "Down", "No Heading", "Normal")</f>
        <v>-0.67179061870602896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68.723480942931303</v>
      </c>
      <c r="C13">
        <v>51.436217115422501</v>
      </c>
      <c r="D13">
        <v>120.55767761245134</v>
      </c>
      <c r="E13">
        <v>59.150835037210499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68.743766468791506</v>
      </c>
      <c r="K13">
        <v>0.72027305921574902</v>
      </c>
      <c r="L13">
        <v>81.882196923076904</v>
      </c>
      <c r="M13" s="15">
        <f>+'[3]VAR expectations'!C37</f>
        <v>2.6154884948264598</v>
      </c>
      <c r="N13">
        <v>0.3</v>
      </c>
      <c r="O13">
        <v>-0.16120155703172701</v>
      </c>
      <c r="P13">
        <v>-0.90951432292161405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78.989247520031924</v>
      </c>
      <c r="H14">
        <v>30.929830737469164</v>
      </c>
      <c r="I14">
        <v>43.346266616041838</v>
      </c>
      <c r="J14">
        <v>68.996231822674801</v>
      </c>
      <c r="K14">
        <v>0.704611295999234</v>
      </c>
      <c r="L14">
        <v>82.869486363636398</v>
      </c>
      <c r="M14" s="15">
        <f>+'[3]VAR expectations'!C38</f>
        <v>2.6428562485995646</v>
      </c>
      <c r="N14">
        <v>0.3</v>
      </c>
      <c r="O14">
        <v>0.32912444162450999</v>
      </c>
      <c r="P14">
        <v>-0.98499009782691505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65.084105610473657</v>
      </c>
      <c r="G15">
        <v>79.125642753287138</v>
      </c>
      <c r="H15">
        <v>31.483583173415866</v>
      </c>
      <c r="I15">
        <v>44.7267749910337</v>
      </c>
      <c r="J15">
        <v>69.279255844616401</v>
      </c>
      <c r="K15">
        <v>0.69546448918473103</v>
      </c>
      <c r="L15">
        <v>88.333556060606099</v>
      </c>
      <c r="M15" s="15">
        <f>+'[3]VAR expectations'!C39</f>
        <v>2.8292929206876933</v>
      </c>
      <c r="N15">
        <v>0.3</v>
      </c>
      <c r="O15">
        <v>-2.2510150918334201E-3</v>
      </c>
      <c r="P15">
        <v>-0.94538049261986201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69.607838726265797</v>
      </c>
      <c r="K16">
        <v>0.67245396810892299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-0.262290558696672</v>
      </c>
      <c r="P16">
        <v>-8.1624431823459492E-3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44.445946493019335</v>
      </c>
      <c r="J17">
        <v>69.841261482464404</v>
      </c>
      <c r="K17">
        <v>0.658342915410149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-0.18076935065413899</v>
      </c>
      <c r="P17">
        <v>7.8353326752550898E-2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70.330897065602798</v>
      </c>
      <c r="K18">
        <v>0.65392958085931496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0.135072712526874</v>
      </c>
      <c r="P18">
        <v>5.2405776642112101E-3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45.165943591837369</v>
      </c>
      <c r="J19">
        <v>70.553239181945102</v>
      </c>
      <c r="K19">
        <v>0.65336658354114696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-0.18038836269067801</v>
      </c>
      <c r="P19">
        <v>-0.113323844964001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70.7608317169408</v>
      </c>
      <c r="C20">
        <v>54.867317852625661</v>
      </c>
      <c r="D20">
        <v>119.84603007593834</v>
      </c>
      <c r="E20">
        <v>60.324796116075596</v>
      </c>
      <c r="F20">
        <v>65.556439010962194</v>
      </c>
      <c r="G20">
        <v>80.31482927370233</v>
      </c>
      <c r="H20">
        <v>35.043737560232607</v>
      </c>
      <c r="I20">
        <v>45.066788167537503</v>
      </c>
      <c r="J20">
        <v>70.707694717859596</v>
      </c>
      <c r="K20">
        <v>0.64381232528059396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-0.40106993870267899</v>
      </c>
      <c r="P20">
        <v>0.35224228077810998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71.100692129748793</v>
      </c>
      <c r="C21">
        <v>55.376840634027396</v>
      </c>
      <c r="D21">
        <v>119.471764844226</v>
      </c>
      <c r="E21">
        <v>60.759837540213304</v>
      </c>
      <c r="F21">
        <v>65.968165559058164</v>
      </c>
      <c r="G21">
        <v>80.697417805776226</v>
      </c>
      <c r="H21">
        <v>35.534825019560309</v>
      </c>
      <c r="I21">
        <v>45.512400795735005</v>
      </c>
      <c r="J21">
        <v>71.126517902963698</v>
      </c>
      <c r="K21">
        <v>0.63430889006644098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-0.121959828355084</v>
      </c>
      <c r="P21">
        <v>0.18539483915357599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71.255609421750535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81.111237273143502</v>
      </c>
      <c r="H22">
        <v>36.00937772445986</v>
      </c>
      <c r="I22">
        <v>45.240117527977368</v>
      </c>
      <c r="J22">
        <v>71.308153178456706</v>
      </c>
      <c r="K22">
        <v>0.62982939021675299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0.148148898493562</v>
      </c>
      <c r="P22">
        <v>0.15782016310379501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81.345598400718629</v>
      </c>
      <c r="H23">
        <v>36.768433546815338</v>
      </c>
      <c r="I23">
        <v>45.182611283651134</v>
      </c>
      <c r="J23">
        <v>71.555527965647997</v>
      </c>
      <c r="K23">
        <v>0.63229951935239104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-0.44461325206669999</v>
      </c>
      <c r="P23">
        <v>-0.51318827171661696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71.869448362918959</v>
      </c>
      <c r="C24">
        <v>56.8203373020499</v>
      </c>
      <c r="D24">
        <v>117.91126120930566</v>
      </c>
      <c r="E24">
        <v>62.464147948596434</v>
      </c>
      <c r="F24">
        <v>67.238659277963379</v>
      </c>
      <c r="G24">
        <v>81.576404148116765</v>
      </c>
      <c r="H24">
        <v>38.383741142264228</v>
      </c>
      <c r="I24">
        <v>45.605839036950037</v>
      </c>
      <c r="J24">
        <v>71.812381901401594</v>
      </c>
      <c r="K24">
        <v>0.62982900352708404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0.52782221066476598</v>
      </c>
      <c r="P24">
        <v>-0.37213479345497502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72.089045435709679</v>
      </c>
      <c r="C25">
        <v>57.315645524914771</v>
      </c>
      <c r="D25">
        <v>117.102020370133</v>
      </c>
      <c r="E25">
        <v>62.327610240975297</v>
      </c>
      <c r="F25">
        <v>66.571844762680371</v>
      </c>
      <c r="G25">
        <v>81.622908379808337</v>
      </c>
      <c r="H25">
        <v>39.566559269058736</v>
      </c>
      <c r="I25">
        <v>46.924886016739435</v>
      </c>
      <c r="J25">
        <v>72.121677996500694</v>
      </c>
      <c r="K25">
        <v>0.62571857921866703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0.48725261916995399</v>
      </c>
      <c r="P25">
        <v>4.5377826031508001E-2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72.125395078804601</v>
      </c>
      <c r="C26">
        <v>57.72589105213806</v>
      </c>
      <c r="D26">
        <v>116.21646773960333</v>
      </c>
      <c r="E26">
        <v>62.26600590101333</v>
      </c>
      <c r="F26">
        <v>65.966078638823205</v>
      </c>
      <c r="G26">
        <v>81.700276436856271</v>
      </c>
      <c r="H26">
        <v>40.694457856547565</v>
      </c>
      <c r="I26">
        <v>47.676146770894867</v>
      </c>
      <c r="J26">
        <v>72.178581961080297</v>
      </c>
      <c r="K26">
        <v>0.62744633608854405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0.67076862974608797</v>
      </c>
      <c r="P26">
        <v>0.16253141469964599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72.359803406135796</v>
      </c>
      <c r="C27">
        <v>58.260597172429378</v>
      </c>
      <c r="D27">
        <v>115.11724534960399</v>
      </c>
      <c r="E27">
        <v>62.425190149027095</v>
      </c>
      <c r="F27">
        <v>66.000462650335308</v>
      </c>
      <c r="G27">
        <v>81.899917498000733</v>
      </c>
      <c r="H27">
        <v>41.070297940001964</v>
      </c>
      <c r="I27">
        <v>48.744128850988766</v>
      </c>
      <c r="J27">
        <v>72.369587579509798</v>
      </c>
      <c r="K27">
        <v>0.628879165488197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0.25537877518103203</v>
      </c>
      <c r="P27">
        <v>0.81449639672755603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72.440743283146205</v>
      </c>
      <c r="C28">
        <v>58.772737337573631</v>
      </c>
      <c r="D28">
        <v>113.71050289670067</v>
      </c>
      <c r="E28">
        <v>62.294225732533427</v>
      </c>
      <c r="F28">
        <v>65.738951218719123</v>
      </c>
      <c r="G28">
        <v>81.953847149911624</v>
      </c>
      <c r="H28">
        <v>41.192698366603004</v>
      </c>
      <c r="I28">
        <v>50.01434502209883</v>
      </c>
      <c r="J28">
        <v>72.387037326332106</v>
      </c>
      <c r="K28">
        <v>0.63496423654172396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9.2271063782413995E-2</v>
      </c>
      <c r="P28">
        <v>-0.80713768198578595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72.53918231284139</v>
      </c>
      <c r="C29">
        <v>59.022039679802162</v>
      </c>
      <c r="D29">
        <v>113.06246638512567</v>
      </c>
      <c r="E29">
        <v>62.69548848898453</v>
      </c>
      <c r="F29">
        <v>65.547576525314128</v>
      </c>
      <c r="G29">
        <v>81.549251880085635</v>
      </c>
      <c r="H29">
        <v>43.499742188380075</v>
      </c>
      <c r="I29">
        <v>50.294131092571263</v>
      </c>
      <c r="J29">
        <v>72.576475958902293</v>
      </c>
      <c r="K29">
        <v>0.63548425849859203</v>
      </c>
      <c r="L29">
        <v>101.013821538462</v>
      </c>
      <c r="M29" s="15">
        <f>+'[3]VAR expectations'!C53</f>
        <v>2.480790509902373</v>
      </c>
      <c r="N29">
        <v>0.578228356186961</v>
      </c>
      <c r="O29">
        <v>6.4185673634936505E-2</v>
      </c>
      <c r="P29">
        <v>0.53258053428763796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72.707840576544029</v>
      </c>
      <c r="C30">
        <v>59.618307460292264</v>
      </c>
      <c r="D30">
        <v>111.70485772051767</v>
      </c>
      <c r="E30">
        <v>63.480786414583939</v>
      </c>
      <c r="F30">
        <v>66.470733130126206</v>
      </c>
      <c r="G30">
        <v>81.4003835425207</v>
      </c>
      <c r="H30">
        <v>44.129516914198234</v>
      </c>
      <c r="I30">
        <v>50.848549060358771</v>
      </c>
      <c r="J30">
        <v>72.758467965139502</v>
      </c>
      <c r="K30">
        <v>0.64916170071338097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0.321076211975517</v>
      </c>
      <c r="P30">
        <v>0.27187323175935202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73.058296991469604</v>
      </c>
      <c r="C31">
        <v>60.261873317661163</v>
      </c>
      <c r="D31">
        <v>111.14640687755167</v>
      </c>
      <c r="E31">
        <v>63.85276897110743</v>
      </c>
      <c r="F31">
        <v>66.715067260742103</v>
      </c>
      <c r="G31">
        <v>81.765643927003836</v>
      </c>
      <c r="H31">
        <v>44.7293617482255</v>
      </c>
      <c r="I31">
        <v>51.114811152048397</v>
      </c>
      <c r="J31">
        <v>73.060662485366805</v>
      </c>
      <c r="K31">
        <v>0.64840352087451603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-1.6390389462865099E-2</v>
      </c>
      <c r="P31">
        <v>0.70676579039904797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73.057199972198745</v>
      </c>
      <c r="C32">
        <v>60.743618510486165</v>
      </c>
      <c r="D32">
        <v>110.17048885713534</v>
      </c>
      <c r="E32">
        <v>64.304947564598436</v>
      </c>
      <c r="F32">
        <v>67.219576569638676</v>
      </c>
      <c r="G32">
        <v>81.956356251051304</v>
      </c>
      <c r="H32">
        <v>45.213764851090268</v>
      </c>
      <c r="I32">
        <v>49.776772698764695</v>
      </c>
      <c r="J32">
        <v>73.010139448482704</v>
      </c>
      <c r="K32">
        <v>0.64909645815575601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-0.227577979531076</v>
      </c>
      <c r="P32">
        <v>0.41767657153423499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73.64078284744356</v>
      </c>
      <c r="C33">
        <v>61.544420219884273</v>
      </c>
      <c r="D33">
        <v>109.89504456781401</v>
      </c>
      <c r="E33">
        <v>65.671562289784404</v>
      </c>
      <c r="F33">
        <v>69.291698510683872</v>
      </c>
      <c r="G33">
        <v>81.894722916109231</v>
      </c>
      <c r="H33">
        <v>45.4756726723353</v>
      </c>
      <c r="I33">
        <v>49.554685240339133</v>
      </c>
      <c r="J33">
        <v>73.683333735574493</v>
      </c>
      <c r="K33">
        <v>0.64465605564276696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0.14427868690463599</v>
      </c>
      <c r="P33">
        <v>0.27177292676166298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73.825368346703939</v>
      </c>
      <c r="C34">
        <v>62.223963784277863</v>
      </c>
      <c r="D34">
        <v>109.34835279541301</v>
      </c>
      <c r="E34">
        <v>65.64144871392844</v>
      </c>
      <c r="F34">
        <v>68.979536133861004</v>
      </c>
      <c r="G34">
        <v>82.063297448341473</v>
      </c>
      <c r="H34">
        <v>45.842531038122928</v>
      </c>
      <c r="I34">
        <v>49.541042554843166</v>
      </c>
      <c r="J34">
        <v>73.868495860860705</v>
      </c>
      <c r="K34">
        <v>0.63552659085590302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-0.145405425617782</v>
      </c>
      <c r="P34">
        <v>2.9689798564234399E-2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73.809976698455529</v>
      </c>
      <c r="C35">
        <v>62.586922212645732</v>
      </c>
      <c r="D35">
        <v>108.73663622536833</v>
      </c>
      <c r="E35">
        <v>65.828698669308878</v>
      </c>
      <c r="F35">
        <v>68.970945389887163</v>
      </c>
      <c r="G35">
        <v>82.057820783070966</v>
      </c>
      <c r="H35">
        <v>46.482425595679672</v>
      </c>
      <c r="I35">
        <v>48.008808713610136</v>
      </c>
      <c r="J35">
        <v>73.808033997712201</v>
      </c>
      <c r="K35">
        <v>0.62682732713061395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-0.40207821981541297</v>
      </c>
      <c r="P35">
        <v>-0.639915850777378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74.17270954762067</v>
      </c>
      <c r="C36">
        <v>63.253448974792938</v>
      </c>
      <c r="D36">
        <v>108.25388781242201</v>
      </c>
      <c r="E36">
        <v>66.271856797840329</v>
      </c>
      <c r="F36">
        <v>69.566869099478168</v>
      </c>
      <c r="G36">
        <v>82.184032836378947</v>
      </c>
      <c r="H36">
        <v>46.712875199008295</v>
      </c>
      <c r="I36">
        <v>48.300000597181537</v>
      </c>
      <c r="J36">
        <v>74.136207827958401</v>
      </c>
      <c r="K36">
        <v>0.62476284325203701</v>
      </c>
      <c r="L36">
        <v>100.22180625</v>
      </c>
      <c r="M36" s="15">
        <f>+'[3]VAR expectations'!C60</f>
        <v>2.2636382290406152</v>
      </c>
      <c r="N36">
        <v>-0.19866515250366801</v>
      </c>
      <c r="O36">
        <v>0.181561700258596</v>
      </c>
      <c r="P36">
        <v>-0.63541897647370305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74.341060971653263</v>
      </c>
      <c r="C37">
        <v>64.098357828435368</v>
      </c>
      <c r="D37">
        <v>107.15975382369668</v>
      </c>
      <c r="E37">
        <v>65.841453783608202</v>
      </c>
      <c r="F37">
        <v>69.0727678041264</v>
      </c>
      <c r="G37">
        <v>82.07045538225789</v>
      </c>
      <c r="H37">
        <v>46.699129957063633</v>
      </c>
      <c r="I37">
        <v>48.834968279389365</v>
      </c>
      <c r="J37">
        <v>74.384990095179106</v>
      </c>
      <c r="K37">
        <v>0.62706418971656097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0.26583891266085302</v>
      </c>
      <c r="P37">
        <v>-0.84424428629728698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74.586828837541916</v>
      </c>
      <c r="C38">
        <v>64.806065670034357</v>
      </c>
      <c r="D38">
        <v>106.44583489625602</v>
      </c>
      <c r="E38">
        <v>66.101100807904501</v>
      </c>
      <c r="F38">
        <v>69.016510777429843</v>
      </c>
      <c r="G38">
        <v>82.393205073177967</v>
      </c>
      <c r="H38">
        <v>47.312363040753972</v>
      </c>
      <c r="I38">
        <v>48.810172757369436</v>
      </c>
      <c r="J38">
        <v>74.622630643845895</v>
      </c>
      <c r="K38">
        <v>0.62480056012011398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2.2118145407947602E-2</v>
      </c>
      <c r="P38">
        <v>-0.47312000974391899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74.941529851716396</v>
      </c>
      <c r="C39">
        <v>65.52758079665351</v>
      </c>
      <c r="D39">
        <v>105.92448921585033</v>
      </c>
      <c r="E39">
        <v>66.1961267332603</v>
      </c>
      <c r="F39">
        <v>69.020712791872896</v>
      </c>
      <c r="G39">
        <v>81.795408931239805</v>
      </c>
      <c r="H39">
        <v>47.821927966425868</v>
      </c>
      <c r="I39">
        <v>49.301431799589039</v>
      </c>
      <c r="J39">
        <v>74.935707461137895</v>
      </c>
      <c r="K39">
        <v>0.62277821927588894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-3.5729490300290101E-2</v>
      </c>
      <c r="P39">
        <v>-0.23494015387997499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75.254179637031015</v>
      </c>
      <c r="C40">
        <v>66.024472037770195</v>
      </c>
      <c r="D40">
        <v>105.578408117199</v>
      </c>
      <c r="E40">
        <v>66.29593719598904</v>
      </c>
      <c r="F40">
        <v>69.109899366081422</v>
      </c>
      <c r="G40">
        <v>81.579240062583267</v>
      </c>
      <c r="H40">
        <v>48.150793169933593</v>
      </c>
      <c r="I40">
        <v>50.696241265631024</v>
      </c>
      <c r="J40">
        <v>75.222429736867198</v>
      </c>
      <c r="K40">
        <v>0.63544061412391895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-0.41248432355622899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75.297738816429998</v>
      </c>
      <c r="C41">
        <v>66.477450028641343</v>
      </c>
      <c r="D41">
        <v>104.824933539696</v>
      </c>
      <c r="E41">
        <v>66.743553912216726</v>
      </c>
      <c r="F41">
        <v>69.746466956821507</v>
      </c>
      <c r="G41">
        <v>81.92988813283533</v>
      </c>
      <c r="H41">
        <v>48.45408482419807</v>
      </c>
      <c r="I41">
        <v>49.519114792665199</v>
      </c>
      <c r="J41">
        <v>75.346350570018998</v>
      </c>
      <c r="K41">
        <v>0.63124721802930694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-0.53373753999781803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75.612766960042094</v>
      </c>
      <c r="C42">
        <v>66.969781979837364</v>
      </c>
      <c r="D42">
        <v>104.573454983045</v>
      </c>
      <c r="E42">
        <v>67.312969333922695</v>
      </c>
      <c r="F42">
        <v>70.264155678325707</v>
      </c>
      <c r="G42">
        <v>81.2925156168303</v>
      </c>
      <c r="H42">
        <v>49.190874966768433</v>
      </c>
      <c r="I42">
        <v>49.812423084931034</v>
      </c>
      <c r="J42">
        <v>75.644271942284604</v>
      </c>
      <c r="K42">
        <v>0.63521138997049398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-0.27588602853862099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75.930389741825721</v>
      </c>
      <c r="C43">
        <v>67.546972720240248</v>
      </c>
      <c r="D43">
        <v>104.00485126923034</v>
      </c>
      <c r="E43">
        <v>67.719275637265596</v>
      </c>
      <c r="F43">
        <v>70.752523647201642</v>
      </c>
      <c r="G43">
        <v>81.390202696638326</v>
      </c>
      <c r="H43">
        <v>49.43875981529353</v>
      </c>
      <c r="I43">
        <v>50.456696042611931</v>
      </c>
      <c r="J43">
        <v>75.921698711947698</v>
      </c>
      <c r="K43">
        <v>0.63050936560290005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-0.53395229519699206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76.200272982944739</v>
      </c>
      <c r="C44">
        <v>68.106265290557104</v>
      </c>
      <c r="D44">
        <v>103.62955172524433</v>
      </c>
      <c r="E44">
        <v>67.701733001728641</v>
      </c>
      <c r="F44">
        <v>70.680623236863596</v>
      </c>
      <c r="G44">
        <v>81.372891141257497</v>
      </c>
      <c r="H44">
        <v>49.677802174463729</v>
      </c>
      <c r="I44">
        <v>51.50408427230834</v>
      </c>
      <c r="J44">
        <v>76.169557474662199</v>
      </c>
      <c r="K44">
        <v>0.62452206938993704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0.26648293587474697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76.359143317047398</v>
      </c>
      <c r="C45">
        <v>68.631855809006439</v>
      </c>
      <c r="D45">
        <v>102.87732125870532</v>
      </c>
      <c r="E45">
        <v>67.638280882638696</v>
      </c>
      <c r="F45">
        <v>70.476850085299162</v>
      </c>
      <c r="G45">
        <v>81.287191199884532</v>
      </c>
      <c r="H45">
        <v>50.250960582637731</v>
      </c>
      <c r="I45">
        <v>52.490029578369239</v>
      </c>
      <c r="J45">
        <v>76.412740851060406</v>
      </c>
      <c r="K45">
        <v>0.62533471852521905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0.1786277925958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76.562231445026939</v>
      </c>
      <c r="C46">
        <v>69.203743096173</v>
      </c>
      <c r="D46">
        <v>102.21000368763333</v>
      </c>
      <c r="E46">
        <v>67.646192048124362</v>
      </c>
      <c r="F46">
        <v>70.117000343300404</v>
      </c>
      <c r="G46">
        <v>81.074507723647571</v>
      </c>
      <c r="H46">
        <v>50.981515779972597</v>
      </c>
      <c r="I46">
        <v>53.35915639868373</v>
      </c>
      <c r="J46">
        <v>76.593122103047094</v>
      </c>
      <c r="K46">
        <v>0.62608242577351603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-2.5991940710735E-2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77.024679842456436</v>
      </c>
      <c r="C47">
        <v>69.904808948341199</v>
      </c>
      <c r="D47">
        <v>101.653958746436</v>
      </c>
      <c r="E47">
        <v>67.923169332958665</v>
      </c>
      <c r="F47">
        <v>70.398557801462104</v>
      </c>
      <c r="G47">
        <v>81.151471151372036</v>
      </c>
      <c r="H47">
        <v>51.389293349321669</v>
      </c>
      <c r="I47">
        <v>55.645647717911096</v>
      </c>
      <c r="J47">
        <v>77.013266485820793</v>
      </c>
      <c r="K47">
        <v>0.63653524783139104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0.92815784020214298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77.51923117596958</v>
      </c>
      <c r="C48">
        <v>70.711753850227765</v>
      </c>
      <c r="D48">
        <v>101.22455082141933</v>
      </c>
      <c r="E48">
        <v>68.690840573258242</v>
      </c>
      <c r="F48">
        <v>71.390648862114304</v>
      </c>
      <c r="G48">
        <v>80.604661895175653</v>
      </c>
      <c r="H48">
        <v>52.151755182938366</v>
      </c>
      <c r="I48">
        <v>56.449023557019792</v>
      </c>
      <c r="J48">
        <v>77.483565412331998</v>
      </c>
      <c r="K48">
        <v>0.63627996722981495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0.47823727601545402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77.860319038941199</v>
      </c>
      <c r="C49">
        <v>71.482542503537204</v>
      </c>
      <c r="D49">
        <v>100.61472786616133</v>
      </c>
      <c r="E49">
        <v>68.823685140332358</v>
      </c>
      <c r="F49">
        <v>71.584679046240794</v>
      </c>
      <c r="G49">
        <v>80.155897309408644</v>
      </c>
      <c r="H49">
        <v>52.541890036097435</v>
      </c>
      <c r="I49">
        <v>57.440858337235028</v>
      </c>
      <c r="J49">
        <v>77.920536446126803</v>
      </c>
      <c r="K49">
        <v>0.63486613605504305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-0.14649886138969101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78.392641649194942</v>
      </c>
      <c r="C50">
        <v>72.329300988399936</v>
      </c>
      <c r="D50">
        <v>100.07117850285714</v>
      </c>
      <c r="E50">
        <v>68.937238067421433</v>
      </c>
      <c r="F50">
        <v>71.487850253926169</v>
      </c>
      <c r="G50">
        <v>80.839757452431229</v>
      </c>
      <c r="H50">
        <v>52.691778603657667</v>
      </c>
      <c r="I50">
        <v>60.297134292096501</v>
      </c>
      <c r="J50">
        <v>78.425911586368301</v>
      </c>
      <c r="K50">
        <v>0.65241229516620303</v>
      </c>
      <c r="L50">
        <v>99.734880303030295</v>
      </c>
      <c r="M50" s="15">
        <f>+'[3]VAR expectations'!C74</f>
        <v>2.2761535969954032</v>
      </c>
      <c r="N50">
        <v>0.70017615103754105</v>
      </c>
      <c r="O50">
        <v>0.242344274322987</v>
      </c>
      <c r="P50">
        <v>9.7494215027575507E-2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78.665010931654663</v>
      </c>
      <c r="C51">
        <v>72.7623170053688</v>
      </c>
      <c r="D51">
        <v>99.588196021433063</v>
      </c>
      <c r="E51">
        <v>69.148767011519922</v>
      </c>
      <c r="F51">
        <v>71.487766545632397</v>
      </c>
      <c r="G51">
        <v>80.757559033223103</v>
      </c>
      <c r="H51">
        <v>53.781965196318971</v>
      </c>
      <c r="I51">
        <v>62.213078985726035</v>
      </c>
      <c r="J51">
        <v>78.649914482357602</v>
      </c>
      <c r="K51">
        <v>0.65446219885289902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-2.13275836011632E-2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79.028056402016105</v>
      </c>
      <c r="C52">
        <v>73.385241776162829</v>
      </c>
      <c r="D52">
        <v>99.218511675906598</v>
      </c>
      <c r="E52">
        <v>69.456235727722586</v>
      </c>
      <c r="F52">
        <v>71.887123962322235</v>
      </c>
      <c r="G52">
        <v>80.784700871540267</v>
      </c>
      <c r="H52">
        <v>54.031494084144235</v>
      </c>
      <c r="I52">
        <v>63.507502812182736</v>
      </c>
      <c r="J52">
        <v>78.987942119253503</v>
      </c>
      <c r="K52">
        <v>0.66091908724602799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-2.3869128172260699E-2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79.616100223075961</v>
      </c>
      <c r="C53">
        <v>74.005587562734732</v>
      </c>
      <c r="D53">
        <v>98.648450709722468</v>
      </c>
      <c r="E53">
        <v>69.89009145632447</v>
      </c>
      <c r="F53">
        <v>72.381509200358607</v>
      </c>
      <c r="G53">
        <v>80.348361886157463</v>
      </c>
      <c r="H53">
        <v>54.731568825354962</v>
      </c>
      <c r="I53">
        <v>67.671668073200763</v>
      </c>
      <c r="J53">
        <v>79.683032900775899</v>
      </c>
      <c r="K53">
        <v>0.66091000873885497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2.6065996636607101E-2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80.274543405235022</v>
      </c>
      <c r="C54">
        <v>74.55449771534326</v>
      </c>
      <c r="D54">
        <v>98.578686662258534</v>
      </c>
      <c r="E54">
        <v>71.285664193649907</v>
      </c>
      <c r="F54">
        <v>73.986476862719698</v>
      </c>
      <c r="G54">
        <v>80.810976577658565</v>
      </c>
      <c r="H54">
        <v>55.632163922919496</v>
      </c>
      <c r="I54">
        <v>70.050693761426103</v>
      </c>
      <c r="J54">
        <v>80.310655584853393</v>
      </c>
      <c r="K54">
        <v>0.65793897350294706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4.9794569166154497E-2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80.800427133170601</v>
      </c>
      <c r="C55">
        <v>75.456551147886103</v>
      </c>
      <c r="D55">
        <v>98.558511836484627</v>
      </c>
      <c r="E55">
        <v>72.057911835526042</v>
      </c>
      <c r="F55">
        <v>74.869558608302327</v>
      </c>
      <c r="G55">
        <v>81.596468200462539</v>
      </c>
      <c r="H55">
        <v>56.187332467593137</v>
      </c>
      <c r="I55">
        <v>69.842554970605192</v>
      </c>
      <c r="J55">
        <v>80.772931732552493</v>
      </c>
      <c r="K55">
        <v>0.65250611822025395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-8.0932616320032902E-2</v>
      </c>
      <c r="P55">
        <v>0.185573520441731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81.294136606138466</v>
      </c>
      <c r="C56">
        <v>76.094739671047293</v>
      </c>
      <c r="D56">
        <v>98.471297781416411</v>
      </c>
      <c r="E56">
        <v>72.551116078873676</v>
      </c>
      <c r="F56">
        <v>75.238861014433596</v>
      </c>
      <c r="G56">
        <v>81.66650614756206</v>
      </c>
      <c r="H56">
        <v>57.265354679661165</v>
      </c>
      <c r="I56">
        <v>71.130011807655265</v>
      </c>
      <c r="J56">
        <v>81.261107038686504</v>
      </c>
      <c r="K56">
        <v>0.64120008324831701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0.40345245063278001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81.64903138334563</v>
      </c>
      <c r="C57">
        <v>76.642439723461536</v>
      </c>
      <c r="D57">
        <v>98.272229592354094</v>
      </c>
      <c r="E57">
        <v>73.298449269920965</v>
      </c>
      <c r="F57">
        <v>76.216291585025246</v>
      </c>
      <c r="G57">
        <v>81.349850474510959</v>
      </c>
      <c r="H57">
        <v>57.844587351371025</v>
      </c>
      <c r="I57">
        <v>71.155158514580719</v>
      </c>
      <c r="J57">
        <v>81.723616211710095</v>
      </c>
      <c r="K57">
        <v>0.65071749491976905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0.53149722132791299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81.704607672973864</v>
      </c>
      <c r="C58">
        <v>77.223121310368867</v>
      </c>
      <c r="D58">
        <v>97.540757806622977</v>
      </c>
      <c r="E58">
        <v>73.55121179681727</v>
      </c>
      <c r="F58">
        <v>76.3014627621139</v>
      </c>
      <c r="G58">
        <v>81.728893086534711</v>
      </c>
      <c r="H58">
        <v>58.326849731385039</v>
      </c>
      <c r="I58">
        <v>70.482015910706153</v>
      </c>
      <c r="J58">
        <v>81.738472635739996</v>
      </c>
      <c r="K58">
        <v>0.65423212547982301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0.48016313644160602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82.511309288774598</v>
      </c>
      <c r="C59">
        <v>77.97624004362217</v>
      </c>
      <c r="D59">
        <v>97.458073274165812</v>
      </c>
      <c r="E59">
        <v>75.219909923598536</v>
      </c>
      <c r="F59">
        <v>78.59689600614827</v>
      </c>
      <c r="G59">
        <v>81.927561706004042</v>
      </c>
      <c r="H59">
        <v>58.8590869087759</v>
      </c>
      <c r="I59">
        <v>73.077899544368066</v>
      </c>
      <c r="J59">
        <v>82.461798137936796</v>
      </c>
      <c r="K59">
        <v>0.67024506683642904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0.38278912589226799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83.21316502359376</v>
      </c>
      <c r="C60">
        <v>78.585583232776358</v>
      </c>
      <c r="D60">
        <v>96.951612805088118</v>
      </c>
      <c r="E60">
        <v>75.989538882866739</v>
      </c>
      <c r="F60">
        <v>79.533800145793762</v>
      </c>
      <c r="G60">
        <v>81.958761549004265</v>
      </c>
      <c r="H60">
        <v>59.544386771668904</v>
      </c>
      <c r="I60">
        <v>77.885301593002168</v>
      </c>
      <c r="J60">
        <v>83.209972235891698</v>
      </c>
      <c r="K60">
        <v>0.69296241200498199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0.55036510318335696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84.399628685602508</v>
      </c>
      <c r="C61">
        <v>79.538236201847766</v>
      </c>
      <c r="D61">
        <v>96.70963893890881</v>
      </c>
      <c r="E61">
        <v>78.381976066053525</v>
      </c>
      <c r="F61">
        <v>82.317852312460445</v>
      </c>
      <c r="G61">
        <v>84.88319031990477</v>
      </c>
      <c r="H61">
        <v>60.342090956352273</v>
      </c>
      <c r="I61">
        <v>82.676147713141205</v>
      </c>
      <c r="J61">
        <v>84.478819914305106</v>
      </c>
      <c r="K61">
        <v>0.72645325089660395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-0.77297461816662505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85.622629574074566</v>
      </c>
      <c r="C62">
        <v>80.567896274054291</v>
      </c>
      <c r="D62">
        <v>96.45897385106764</v>
      </c>
      <c r="E62">
        <v>80.821169231645229</v>
      </c>
      <c r="F62">
        <v>85.573696021293628</v>
      </c>
      <c r="G62">
        <v>85.076930957818732</v>
      </c>
      <c r="H62">
        <v>60.969199600493305</v>
      </c>
      <c r="I62">
        <v>87.767599017332159</v>
      </c>
      <c r="J62">
        <v>85.642111826631293</v>
      </c>
      <c r="K62">
        <v>0.74434298026276902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-1.1297776898834899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85.71584939357065</v>
      </c>
      <c r="C63">
        <v>81.447768072788875</v>
      </c>
      <c r="D63">
        <v>95.35692637402137</v>
      </c>
      <c r="E63">
        <v>81.793418455887135</v>
      </c>
      <c r="F63">
        <v>86.792930797727379</v>
      </c>
      <c r="G63">
        <v>85.181228073668635</v>
      </c>
      <c r="H63">
        <v>61.653546893360463</v>
      </c>
      <c r="I63">
        <v>85.991097329569286</v>
      </c>
      <c r="J63">
        <v>85.642647852813099</v>
      </c>
      <c r="K63">
        <v>0.73715014401478896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-2.2975232530535599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85.67746191387873</v>
      </c>
      <c r="C64">
        <v>81.837362500171864</v>
      </c>
      <c r="D64">
        <v>94.82762541322127</v>
      </c>
      <c r="E64">
        <v>83.009859390323172</v>
      </c>
      <c r="F64">
        <v>87.992383664008358</v>
      </c>
      <c r="G64">
        <v>87.197950122091655</v>
      </c>
      <c r="H64">
        <v>62.259308994959099</v>
      </c>
      <c r="I64">
        <v>82.010218450912433</v>
      </c>
      <c r="J64">
        <v>85.711497979305605</v>
      </c>
      <c r="K64">
        <v>0.74048679134173201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-3.8884712609516199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86.15976752461745</v>
      </c>
      <c r="C65">
        <v>82.270942193269832</v>
      </c>
      <c r="D65">
        <v>95.6549375640775</v>
      </c>
      <c r="E65">
        <v>83.220861232781104</v>
      </c>
      <c r="F65">
        <v>88.308925727343933</v>
      </c>
      <c r="G65">
        <v>87.210684281351902</v>
      </c>
      <c r="H65">
        <v>62.310963026812665</v>
      </c>
      <c r="I65">
        <v>82.036384305220665</v>
      </c>
      <c r="J65">
        <v>86.237098028945198</v>
      </c>
      <c r="K65">
        <v>0.72428991015393396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-4.0054513646633803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86.924358990624185</v>
      </c>
      <c r="C66">
        <v>82.818964892517158</v>
      </c>
      <c r="D66">
        <v>96.748856875617477</v>
      </c>
      <c r="E66">
        <v>83.273957424439232</v>
      </c>
      <c r="F66">
        <v>87.773257301494368</v>
      </c>
      <c r="G66">
        <v>88.565678138965765</v>
      </c>
      <c r="H66">
        <v>63.382794154408522</v>
      </c>
      <c r="I66">
        <v>84.438226843006802</v>
      </c>
      <c r="J66">
        <v>86.917155969965293</v>
      </c>
      <c r="K66">
        <v>0.72110977526947995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-4.0528010025245704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87.53428024351274</v>
      </c>
      <c r="C67">
        <v>83.410497773338307</v>
      </c>
      <c r="D67">
        <v>97.120889173659734</v>
      </c>
      <c r="E67">
        <v>83.844234702653424</v>
      </c>
      <c r="F67">
        <v>88.32590690523817</v>
      </c>
      <c r="G67">
        <v>89.287833474016978</v>
      </c>
      <c r="H67">
        <v>64.125624767539321</v>
      </c>
      <c r="I67">
        <v>86.397386349957628</v>
      </c>
      <c r="J67">
        <v>87.449326192141598</v>
      </c>
      <c r="K67">
        <v>0.73402521386714703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-4.2009004292882901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88.43103188715925</v>
      </c>
      <c r="C68">
        <v>84.379845278012269</v>
      </c>
      <c r="D68">
        <v>97.462492285626737</v>
      </c>
      <c r="E68">
        <v>85.139204492428362</v>
      </c>
      <c r="F68">
        <v>89.453888613346734</v>
      </c>
      <c r="G68">
        <v>89.55947916222901</v>
      </c>
      <c r="H68">
        <v>66.656147596618339</v>
      </c>
      <c r="I68">
        <v>87.699417905147399</v>
      </c>
      <c r="J68">
        <v>88.500806692483195</v>
      </c>
      <c r="K68">
        <v>0.74071209632276902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-3.91857601174401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89.149934952777471</v>
      </c>
      <c r="C69">
        <v>85.197667335834808</v>
      </c>
      <c r="D69">
        <v>97.794868508665033</v>
      </c>
      <c r="E69">
        <v>85.883705589768496</v>
      </c>
      <c r="F69">
        <v>90.264511846000957</v>
      </c>
      <c r="G69">
        <v>90.181243231551932</v>
      </c>
      <c r="H69">
        <v>67.322784610880561</v>
      </c>
      <c r="I69">
        <v>88.993370198649814</v>
      </c>
      <c r="J69">
        <v>89.214837419067905</v>
      </c>
      <c r="K69">
        <v>0.75220901159416698</v>
      </c>
      <c r="L69">
        <v>79.899689230769198</v>
      </c>
      <c r="M69" s="15">
        <f>+'[3]VAR expectations'!C93</f>
        <v>2.6505886564059562</v>
      </c>
      <c r="N69">
        <v>0.58031803605650401</v>
      </c>
      <c r="O69">
        <v>0.158164675972188</v>
      </c>
      <c r="P69">
        <v>-3.1723298303279601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89.63829512184553</v>
      </c>
      <c r="C70">
        <v>85.933660117755664</v>
      </c>
      <c r="D70">
        <v>97.9750586345437</v>
      </c>
      <c r="E70">
        <v>86.951848746469906</v>
      </c>
      <c r="F70">
        <v>91.446251653725653</v>
      </c>
      <c r="G70">
        <v>90.863418556677971</v>
      </c>
      <c r="H70">
        <v>68.00156596904317</v>
      </c>
      <c r="I70">
        <v>88.087498331018836</v>
      </c>
      <c r="J70">
        <v>89.605659005144403</v>
      </c>
      <c r="K70">
        <v>0.74996855794348305</v>
      </c>
      <c r="L70">
        <v>81.7654454545455</v>
      </c>
      <c r="M70" s="15">
        <f>+'[3]VAR expectations'!C94</f>
        <v>2.8352346264846378</v>
      </c>
      <c r="N70">
        <v>0.26076684740058198</v>
      </c>
      <c r="O70">
        <v>-0.12701395323713599</v>
      </c>
      <c r="P70">
        <v>-2.7289932423004801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90.489806851643195</v>
      </c>
      <c r="C71">
        <v>86.591560894259246</v>
      </c>
      <c r="D71">
        <v>98.369290719938434</v>
      </c>
      <c r="E71">
        <v>88.591669632141702</v>
      </c>
      <c r="F71">
        <v>93.134605598321571</v>
      </c>
      <c r="G71">
        <v>92.78214330380122</v>
      </c>
      <c r="H71">
        <v>69.334171486449677</v>
      </c>
      <c r="I71">
        <v>90.420109319224977</v>
      </c>
      <c r="J71">
        <v>90.4011797685788</v>
      </c>
      <c r="K71">
        <v>0.76582631113469501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-2.6316422331721299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92.028244402102018</v>
      </c>
      <c r="C72">
        <v>87.912957862194006</v>
      </c>
      <c r="D72">
        <v>99.170307455636532</v>
      </c>
      <c r="E72">
        <v>90.012389793116924</v>
      </c>
      <c r="F72">
        <v>94.438454649729906</v>
      </c>
      <c r="G72">
        <v>93.157837474656546</v>
      </c>
      <c r="H72">
        <v>71.802039492809669</v>
      </c>
      <c r="I72">
        <v>95.63344868979415</v>
      </c>
      <c r="J72">
        <v>92.119640320440993</v>
      </c>
      <c r="K72">
        <v>0.78215412173038701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-2.6650535845230201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93.071536681293594</v>
      </c>
      <c r="C73">
        <v>89.053935271966225</v>
      </c>
      <c r="D73">
        <v>99.269250469412199</v>
      </c>
      <c r="E73">
        <v>91.67796596935959</v>
      </c>
      <c r="F73">
        <v>95.451434924019665</v>
      </c>
      <c r="G73">
        <v>96.631616348641444</v>
      </c>
      <c r="H73">
        <v>74.990932118845976</v>
      </c>
      <c r="I73">
        <v>98.193888521694177</v>
      </c>
      <c r="J73">
        <v>93.117987115174103</v>
      </c>
      <c r="K73">
        <v>0.80092941699513398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-3.6943200198828601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93.884445974072676</v>
      </c>
      <c r="C74">
        <v>89.712918866918827</v>
      </c>
      <c r="D74">
        <v>99.55741652886087</v>
      </c>
      <c r="E74">
        <v>93.237257242361906</v>
      </c>
      <c r="F74">
        <v>97.154987056128405</v>
      </c>
      <c r="G74">
        <v>97.11781543799647</v>
      </c>
      <c r="H74">
        <v>76.509673142522175</v>
      </c>
      <c r="I74">
        <v>100.16049260686317</v>
      </c>
      <c r="J74">
        <v>93.836966466083496</v>
      </c>
      <c r="K74">
        <v>0.81113157519398005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-3.8120293223890198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94.672702845697771</v>
      </c>
      <c r="C75">
        <v>90.273270635771709</v>
      </c>
      <c r="D75">
        <v>99.989177280503213</v>
      </c>
      <c r="E75">
        <v>93.532427100611358</v>
      </c>
      <c r="F75">
        <v>97.130984345085665</v>
      </c>
      <c r="G75">
        <v>97.517106449450282</v>
      </c>
      <c r="H75">
        <v>77.8766758419968</v>
      </c>
      <c r="I75">
        <v>104.67348018090701</v>
      </c>
      <c r="J75">
        <v>94.592246728718607</v>
      </c>
      <c r="K75">
        <v>0.80216568317818704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-3.7258453786807899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95.220823860914891</v>
      </c>
      <c r="C76">
        <v>90.990423442657359</v>
      </c>
      <c r="D76">
        <v>100.26857730423167</v>
      </c>
      <c r="E76">
        <v>94.339793325387532</v>
      </c>
      <c r="F76">
        <v>98.059599445676966</v>
      </c>
      <c r="G76">
        <v>98.455261461077313</v>
      </c>
      <c r="H76">
        <v>78.297775967100208</v>
      </c>
      <c r="I76">
        <v>104.588500422854</v>
      </c>
      <c r="J76">
        <v>95.306867734139601</v>
      </c>
      <c r="K76">
        <v>0.79835418708710004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-3.43778830624839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95.661799125875021</v>
      </c>
      <c r="C77">
        <v>91.874672036716902</v>
      </c>
      <c r="D77">
        <v>99.992920656725531</v>
      </c>
      <c r="E77">
        <v>95.203038654527234</v>
      </c>
      <c r="F77">
        <v>98.600150321077763</v>
      </c>
      <c r="G77">
        <v>98.345065229850775</v>
      </c>
      <c r="H77">
        <v>80.928788484475263</v>
      </c>
      <c r="I77">
        <v>104.38450061239132</v>
      </c>
      <c r="J77">
        <v>95.696140855405503</v>
      </c>
      <c r="K77">
        <v>0.78803170707853898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-4.3636593431138598E-2</v>
      </c>
      <c r="P77">
        <v>-2.9927688700571999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96.159762748014998</v>
      </c>
      <c r="C78">
        <v>92.66332966993356</v>
      </c>
      <c r="D78">
        <v>100.06940306767724</v>
      </c>
      <c r="E78">
        <v>96.120001800335558</v>
      </c>
      <c r="F78">
        <v>99.226078303676431</v>
      </c>
      <c r="G78">
        <v>98.889230399044308</v>
      </c>
      <c r="H78">
        <v>82.976600506447141</v>
      </c>
      <c r="I78">
        <v>103.68395063756266</v>
      </c>
      <c r="J78">
        <v>96.116390659991794</v>
      </c>
      <c r="K78">
        <v>0.78634969678226596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-2.5414513731602102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97.162657762108566</v>
      </c>
      <c r="C79">
        <v>93.826530865105724</v>
      </c>
      <c r="D79">
        <v>100.41599204088668</v>
      </c>
      <c r="E79">
        <v>97.577202484610439</v>
      </c>
      <c r="F79">
        <v>100.720350726814</v>
      </c>
      <c r="G79">
        <v>99.479467784521376</v>
      </c>
      <c r="H79">
        <v>84.635209648513268</v>
      </c>
      <c r="I79">
        <v>105.58558799424065</v>
      </c>
      <c r="J79">
        <v>97.112724085245802</v>
      </c>
      <c r="K79">
        <v>0.78628976005266804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-2.57651501646236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97.87819150635714</v>
      </c>
      <c r="C80">
        <v>94.497603150087102</v>
      </c>
      <c r="D80">
        <v>100.25492497562668</v>
      </c>
      <c r="E80">
        <v>98.933198454387977</v>
      </c>
      <c r="F80">
        <v>101.83120633789368</v>
      </c>
      <c r="G80">
        <v>101.77747864563032</v>
      </c>
      <c r="H80">
        <v>85.719775834545658</v>
      </c>
      <c r="I80">
        <v>108.31127709668533</v>
      </c>
      <c r="J80">
        <v>97.939342441481202</v>
      </c>
      <c r="K80">
        <v>0.80702535396044905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-2.8420726107474099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98.251378754451977</v>
      </c>
      <c r="C81">
        <v>95.046543110729274</v>
      </c>
      <c r="D81">
        <v>100.27978726688234</v>
      </c>
      <c r="E81">
        <v>99.859670993457499</v>
      </c>
      <c r="F81">
        <v>102.75505650358566</v>
      </c>
      <c r="G81">
        <v>101.83653773329534</v>
      </c>
      <c r="H81">
        <v>87.210901753024189</v>
      </c>
      <c r="I81">
        <v>107.83199903959199</v>
      </c>
      <c r="J81">
        <v>98.271553794123506</v>
      </c>
      <c r="K81">
        <v>0.80061988410660201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-2.8344589561067299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98.752864898850873</v>
      </c>
      <c r="C82">
        <v>95.572933918445088</v>
      </c>
      <c r="D82">
        <v>100.44628447737166</v>
      </c>
      <c r="E82">
        <v>100.64151764578266</v>
      </c>
      <c r="F82">
        <v>103.29673554105933</v>
      </c>
      <c r="G82">
        <v>102.714072437352</v>
      </c>
      <c r="H82">
        <v>88.583110606870306</v>
      </c>
      <c r="I82">
        <v>108.308874648084</v>
      </c>
      <c r="J82">
        <v>98.725246694808305</v>
      </c>
      <c r="K82">
        <v>0.80020429606267296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-1.9742831920135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99.166461606835469</v>
      </c>
      <c r="C83">
        <v>96.227994458693345</v>
      </c>
      <c r="D83">
        <v>100.78378079722033</v>
      </c>
      <c r="E83">
        <v>101.17457270659899</v>
      </c>
      <c r="F83">
        <v>103.58080783645833</v>
      </c>
      <c r="G83">
        <v>102.56862145449833</v>
      </c>
      <c r="H83">
        <v>90.447261236724771</v>
      </c>
      <c r="I83">
        <v>107.92753655150601</v>
      </c>
      <c r="J83">
        <v>99.146780734672305</v>
      </c>
      <c r="K83">
        <v>0.78393808826123101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-2.1932674852037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99.615941367830985</v>
      </c>
      <c r="C84">
        <v>96.761720657235927</v>
      </c>
      <c r="D84">
        <v>100.74132736612866</v>
      </c>
      <c r="E84">
        <v>101.51248364428068</v>
      </c>
      <c r="F84">
        <v>103.699389328677</v>
      </c>
      <c r="G84">
        <v>102.60356797200599</v>
      </c>
      <c r="H84">
        <v>91.971303304980097</v>
      </c>
      <c r="I84">
        <v>109.70572378096365</v>
      </c>
      <c r="J84">
        <v>99.636334379672206</v>
      </c>
      <c r="K84">
        <v>0.77500807653390702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-1.8826407462063099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99.965840562975657</v>
      </c>
      <c r="C85">
        <v>97.447452908569446</v>
      </c>
      <c r="D85">
        <v>101.195482139433</v>
      </c>
      <c r="E85">
        <v>101.102682154069</v>
      </c>
      <c r="F85">
        <v>102.71226059604901</v>
      </c>
      <c r="G85">
        <v>102.60718074718</v>
      </c>
      <c r="H85">
        <v>93.613910106751106</v>
      </c>
      <c r="I85">
        <v>108.998131956723</v>
      </c>
      <c r="J85">
        <v>99.975690000173998</v>
      </c>
      <c r="K85">
        <v>0.77065630898198501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-1.38128303613152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100.15681507541599</v>
      </c>
      <c r="C86">
        <v>97.959484261877378</v>
      </c>
      <c r="D86">
        <v>101.009308980786</v>
      </c>
      <c r="E86">
        <v>101.20004049503133</v>
      </c>
      <c r="F86">
        <v>102.32973191653167</v>
      </c>
      <c r="G86">
        <v>102.08064766204033</v>
      </c>
      <c r="H86">
        <v>95.727420004192098</v>
      </c>
      <c r="I86">
        <v>108.44581813566499</v>
      </c>
      <c r="J86">
        <v>100.15367384084099</v>
      </c>
      <c r="K86">
        <v>0.75998496996257003</v>
      </c>
      <c r="L86">
        <v>88.037404545454606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-1.33620784186764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100.07189679955582</v>
      </c>
      <c r="C87">
        <v>98.543158705044561</v>
      </c>
      <c r="D87">
        <v>100.49869267313433</v>
      </c>
      <c r="E87">
        <v>101.34965535327099</v>
      </c>
      <c r="F87">
        <v>101.90255200557301</v>
      </c>
      <c r="G87">
        <v>102.878732481433</v>
      </c>
      <c r="H87">
        <v>97.58506260412743</v>
      </c>
      <c r="I87">
        <v>105.70784986527633</v>
      </c>
      <c r="J87">
        <v>100.072906706445</v>
      </c>
      <c r="K87">
        <v>0.75127142152237703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-1.25002526213317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99.755549017553946</v>
      </c>
      <c r="C88">
        <v>99.1111093307278</v>
      </c>
      <c r="D88">
        <v>100.21650534889135</v>
      </c>
      <c r="E88">
        <v>100.36789926197933</v>
      </c>
      <c r="F88">
        <v>100.68624682891367</v>
      </c>
      <c r="G88">
        <v>100.86566888421935</v>
      </c>
      <c r="H88">
        <v>98.714873258029726</v>
      </c>
      <c r="I88">
        <v>100.83023329279233</v>
      </c>
      <c r="J88">
        <v>99.737859642304699</v>
      </c>
      <c r="K88">
        <v>0.73099702131507505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-1.30733275958332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99.962725450833261</v>
      </c>
      <c r="C89">
        <v>99.576516881293045</v>
      </c>
      <c r="D89">
        <v>100.00500743615034</v>
      </c>
      <c r="E89">
        <v>100.17237531769733</v>
      </c>
      <c r="F89">
        <v>100.35660176052833</v>
      </c>
      <c r="G89">
        <v>100.54311590217766</v>
      </c>
      <c r="H89">
        <v>99.287925799327539</v>
      </c>
      <c r="I89">
        <v>101.88197415961334</v>
      </c>
      <c r="J89">
        <v>99.968765473744497</v>
      </c>
      <c r="K89">
        <v>0.726376257800047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-1.4647002398396201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100.13008680298066</v>
      </c>
      <c r="C90">
        <v>100.26227713713968</v>
      </c>
      <c r="D90">
        <v>100.00265291816368</v>
      </c>
      <c r="E90">
        <v>99.895779875037491</v>
      </c>
      <c r="F90">
        <v>99.795338604891981</v>
      </c>
      <c r="G90">
        <v>99.805287099349698</v>
      </c>
      <c r="H90">
        <v>100.32529611676733</v>
      </c>
      <c r="I90">
        <v>99.959559920120341</v>
      </c>
      <c r="J90">
        <v>100.146069335777</v>
      </c>
      <c r="K90">
        <v>0.71661122800277499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-1.2747421782467601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100.13167797066133</v>
      </c>
      <c r="C91">
        <v>101.03765458221467</v>
      </c>
      <c r="D91">
        <v>99.774725415586474</v>
      </c>
      <c r="E91">
        <v>99.559460083285629</v>
      </c>
      <c r="F91">
        <v>99.150509405415832</v>
      </c>
      <c r="G91">
        <v>98.666273432771519</v>
      </c>
      <c r="H91">
        <v>101.754095372302</v>
      </c>
      <c r="I91">
        <v>97.166851008245644</v>
      </c>
      <c r="J91">
        <v>100.147305548174</v>
      </c>
      <c r="K91">
        <v>0.70785219429855795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-0.81574917739286301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100.133292607258</v>
      </c>
      <c r="C92">
        <v>101.63166103666367</v>
      </c>
      <c r="D92">
        <v>99.609079534140378</v>
      </c>
      <c r="E92">
        <v>98.870914667420209</v>
      </c>
      <c r="F92">
        <v>98.164684954313998</v>
      </c>
      <c r="G92">
        <v>97.541554581227629</v>
      </c>
      <c r="H92">
        <v>102.86869882378433</v>
      </c>
      <c r="I92">
        <v>95.366435759455911</v>
      </c>
      <c r="J92">
        <v>100.08640743973601</v>
      </c>
      <c r="K92">
        <v>0.72234316086335104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-0.67088505986163505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100.31985042739933</v>
      </c>
      <c r="C93">
        <v>102.17212335497133</v>
      </c>
      <c r="D93">
        <v>99.216031477655818</v>
      </c>
      <c r="E93">
        <v>98.485809202437338</v>
      </c>
      <c r="F93">
        <v>97.581560119374288</v>
      </c>
      <c r="G93">
        <v>96.320038038348926</v>
      </c>
      <c r="H93">
        <v>104.01640879136632</v>
      </c>
      <c r="I93">
        <v>96.844029231065861</v>
      </c>
      <c r="J93">
        <v>100.330863082398</v>
      </c>
      <c r="K93">
        <v>0.73890891526929603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-0.952309010574661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100.82486039608466</v>
      </c>
      <c r="C94">
        <v>102.97923173053732</v>
      </c>
      <c r="D94">
        <v>99.172322063789011</v>
      </c>
      <c r="E94">
        <v>98.707280195446629</v>
      </c>
      <c r="F94">
        <v>97.439633665638851</v>
      </c>
      <c r="G94">
        <v>96.302480842560797</v>
      </c>
      <c r="H94">
        <v>105.93396274866366</v>
      </c>
      <c r="I94">
        <v>97.787049575220507</v>
      </c>
      <c r="J94">
        <v>100.850727454382</v>
      </c>
      <c r="K94">
        <v>0.77072553054453496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-0.74176939534255604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101.35166692440833</v>
      </c>
      <c r="C95">
        <v>103.43102190204367</v>
      </c>
      <c r="D95">
        <v>99.731299195126837</v>
      </c>
      <c r="E95">
        <v>98.873041825729203</v>
      </c>
      <c r="F95">
        <v>97.338895920093236</v>
      </c>
      <c r="G95">
        <v>97.007683660095111</v>
      </c>
      <c r="H95">
        <v>106.76339012456499</v>
      </c>
      <c r="I95">
        <v>100.01129581108268</v>
      </c>
      <c r="J95">
        <v>101.37214924958801</v>
      </c>
      <c r="K95">
        <v>0.788207537233098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-0.67478306772361896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102.289940723101</v>
      </c>
      <c r="C96">
        <v>104.16762824035101</v>
      </c>
      <c r="D96">
        <v>100.32500399524041</v>
      </c>
      <c r="E96">
        <v>100.0141414424502</v>
      </c>
      <c r="F96">
        <v>98.469435573512328</v>
      </c>
      <c r="G96">
        <v>97.887841862116602</v>
      </c>
      <c r="H96">
        <v>108.38808268219232</v>
      </c>
      <c r="I96">
        <v>103.55776650734732</v>
      </c>
      <c r="J96">
        <v>102.227277292549</v>
      </c>
      <c r="K96">
        <v>0.798228893411986</v>
      </c>
      <c r="L96">
        <v>77.053801538461499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-0.56431528853057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103.07912021569133</v>
      </c>
      <c r="C97">
        <v>105.06111738800433</v>
      </c>
      <c r="D97">
        <v>101.16647844944566</v>
      </c>
      <c r="E97">
        <v>101.23501666273268</v>
      </c>
      <c r="F97">
        <v>99.494155467051186</v>
      </c>
      <c r="G97">
        <v>99.075797568278134</v>
      </c>
      <c r="H97">
        <v>110.41369028238101</v>
      </c>
      <c r="I97">
        <v>102.39168615257233</v>
      </c>
      <c r="J97">
        <v>103.097309460235</v>
      </c>
      <c r="K97">
        <v>0.79550803385803104</v>
      </c>
      <c r="L97">
        <v>77.968176923076896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-0.63519953431376597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103.64312919491199</v>
      </c>
      <c r="C98">
        <v>105.71305995425034</v>
      </c>
      <c r="D98">
        <v>101.615966745143</v>
      </c>
      <c r="E98">
        <v>101.818208657037</v>
      </c>
      <c r="F98">
        <v>99.908925142062841</v>
      </c>
      <c r="G98">
        <v>99.605340633976269</v>
      </c>
      <c r="H98">
        <v>111.81836093330965</v>
      </c>
      <c r="I98">
        <v>102.45922161234334</v>
      </c>
      <c r="J98">
        <v>103.671652540168</v>
      </c>
      <c r="K98">
        <v>0.802661568707982</v>
      </c>
      <c r="L98">
        <v>76.548027692307699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-0.80360708494998301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104.42493025919468</v>
      </c>
      <c r="C99">
        <v>106.233684981095</v>
      </c>
      <c r="D99">
        <v>102.243282853219</v>
      </c>
      <c r="E99">
        <v>103.07958813441034</v>
      </c>
      <c r="F99">
        <v>101.2563875678</v>
      </c>
      <c r="G99">
        <v>99.752951799148448</v>
      </c>
      <c r="H99">
        <v>113.51176329233432</v>
      </c>
      <c r="I99">
        <v>105.16314031780401</v>
      </c>
      <c r="J99">
        <v>104.44420203746</v>
      </c>
      <c r="K99">
        <v>0.80846109130113097</v>
      </c>
      <c r="L99">
        <v>77.708216923076904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-0.83009864760030805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105.07691895018367</v>
      </c>
      <c r="C100">
        <v>106.84630539220301</v>
      </c>
      <c r="D100">
        <v>102.60671148815567</v>
      </c>
      <c r="E100">
        <v>103.73518689978035</v>
      </c>
      <c r="F100">
        <v>101.67591937737835</v>
      </c>
      <c r="G100">
        <v>99.914867069508375</v>
      </c>
      <c r="H100">
        <v>116.01838793343967</v>
      </c>
      <c r="I100">
        <v>107.58598362192133</v>
      </c>
      <c r="J100">
        <v>105.004003716509</v>
      </c>
      <c r="K100">
        <v>0.811856855436904</v>
      </c>
      <c r="L100">
        <v>79.033741538461499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-0.90531947051949302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105.56640678430368</v>
      </c>
      <c r="C101">
        <v>107.41206932879133</v>
      </c>
      <c r="D101">
        <v>102.91181220088934</v>
      </c>
      <c r="E101">
        <v>104.067346552724</v>
      </c>
      <c r="F101">
        <v>101.77375539521999</v>
      </c>
      <c r="G101">
        <v>99.721602043246321</v>
      </c>
      <c r="H101">
        <v>118.05939495829533</v>
      </c>
      <c r="I101">
        <v>108.66617197664033</v>
      </c>
      <c r="J101">
        <v>105.59997400640501</v>
      </c>
      <c r="K101">
        <v>0.82016303423232595</v>
      </c>
      <c r="L101">
        <v>79.101027692307696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-0.74790025734454202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106.240482595514</v>
      </c>
      <c r="C102">
        <v>108.26122457546866</v>
      </c>
      <c r="D102">
        <v>102.84973103049033</v>
      </c>
      <c r="E102">
        <v>104.47470693289567</v>
      </c>
      <c r="F102">
        <v>101.96677675629768</v>
      </c>
      <c r="G102">
        <v>99.983122768954686</v>
      </c>
      <c r="H102">
        <v>119.75414235935865</v>
      </c>
      <c r="I102">
        <v>111.76889485247234</v>
      </c>
      <c r="J102">
        <v>106.265147868752</v>
      </c>
      <c r="K102">
        <v>0.82872608317530305</v>
      </c>
      <c r="L102">
        <v>77.813970769230806</v>
      </c>
      <c r="M102" s="15">
        <f>+'[3]VAR expectations'!C126</f>
        <v>2.6759360893479318</v>
      </c>
      <c r="N102">
        <v>0.59026787322204399</v>
      </c>
      <c r="O102">
        <v>0.21968415645398701</v>
      </c>
      <c r="P102">
        <v>-0.56254020837855201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106.79882911287967</v>
      </c>
      <c r="C103">
        <v>108.85691025632934</v>
      </c>
      <c r="D103">
        <v>103.18983408206333</v>
      </c>
      <c r="E103">
        <v>104.96462940318467</v>
      </c>
      <c r="F103">
        <v>101.962770065822</v>
      </c>
      <c r="G103">
        <v>100.26118246016699</v>
      </c>
      <c r="H103">
        <v>122.715337301337</v>
      </c>
      <c r="I103">
        <v>113.99496434938833</v>
      </c>
      <c r="J103">
        <v>106.814359876675</v>
      </c>
      <c r="K103">
        <v>0.82467856051641997</v>
      </c>
      <c r="L103">
        <v>77.843365151515201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-0.54888891726445499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107.06730790876468</v>
      </c>
      <c r="C104">
        <v>109.50543875903968</v>
      </c>
      <c r="D104">
        <v>103.55261669840299</v>
      </c>
      <c r="E104">
        <v>105.87749990176066</v>
      </c>
      <c r="F104">
        <v>102.66242932877533</v>
      </c>
      <c r="G104">
        <v>100.89219677925632</v>
      </c>
      <c r="H104">
        <v>125.21643586671833</v>
      </c>
      <c r="I104">
        <v>109.341530994726</v>
      </c>
      <c r="J104">
        <v>106.98090799990401</v>
      </c>
      <c r="K104">
        <v>0.82446537246885199</v>
      </c>
      <c r="L104">
        <v>78.730262499999995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-0.12737372568924499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107.70403073280166</v>
      </c>
      <c r="C105">
        <v>110.24848588685434</v>
      </c>
      <c r="D105">
        <v>103.31530379039533</v>
      </c>
      <c r="E105">
        <v>105.96498610103333</v>
      </c>
      <c r="F105">
        <v>102.905086922455</v>
      </c>
      <c r="G105">
        <v>100.39589289559967</v>
      </c>
      <c r="H105">
        <v>125.29405680716167</v>
      </c>
      <c r="I105">
        <v>115.27183076612766</v>
      </c>
      <c r="J105">
        <v>107.766757407466</v>
      </c>
      <c r="K105">
        <v>0.83105875414883501</v>
      </c>
      <c r="L105">
        <v>78.4577861538462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-0.56532865928738796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108.18845702708801</v>
      </c>
      <c r="C106">
        <v>110.89415988232668</v>
      </c>
      <c r="D106">
        <v>103.48839334754932</v>
      </c>
      <c r="E106">
        <v>106.69799708616466</v>
      </c>
      <c r="F106">
        <v>103.61893432088901</v>
      </c>
      <c r="G106">
        <v>100.93348885630235</v>
      </c>
      <c r="H106">
        <v>126.25066983833601</v>
      </c>
      <c r="I106">
        <v>114.91728823252799</v>
      </c>
      <c r="J106">
        <v>108.19810850632</v>
      </c>
      <c r="K106">
        <v>0.84333593957728503</v>
      </c>
      <c r="L106">
        <v>75.796048484848498</v>
      </c>
      <c r="M106" s="15">
        <f>+'[3]VAR expectations'!C130</f>
        <v>2.9781745842670815</v>
      </c>
      <c r="N106">
        <v>0.17462163035891601</v>
      </c>
      <c r="O106">
        <v>-8.21163442679727E-3</v>
      </c>
      <c r="P106">
        <v>-0.449076074707774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108.30542425736765</v>
      </c>
      <c r="C107">
        <v>111.415350821747</v>
      </c>
      <c r="D107">
        <v>103.64813106935334</v>
      </c>
      <c r="E107">
        <v>106.91916121769468</v>
      </c>
      <c r="F107">
        <v>103.705958557785</v>
      </c>
      <c r="G107">
        <v>101.553960888746</v>
      </c>
      <c r="H107">
        <v>126.30214487206034</v>
      </c>
      <c r="I107">
        <v>112.09651373006966</v>
      </c>
      <c r="J107">
        <v>108.318991472829</v>
      </c>
      <c r="K107">
        <v>0.82843226110685597</v>
      </c>
      <c r="L107">
        <v>79.404298484848496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-0.54951317064833105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108.90229980772034</v>
      </c>
      <c r="C108">
        <v>112.20781948037467</v>
      </c>
      <c r="D108">
        <v>103.99765166473367</v>
      </c>
      <c r="E108">
        <v>107.27311336950599</v>
      </c>
      <c r="F108">
        <v>104.05280360526534</v>
      </c>
      <c r="G108">
        <v>101.863494612548</v>
      </c>
      <c r="H108">
        <v>126.67952994421667</v>
      </c>
      <c r="I108">
        <v>112.88430567580868</v>
      </c>
      <c r="J108">
        <v>108.79679868818199</v>
      </c>
      <c r="K108">
        <v>0.82376799530747102</v>
      </c>
      <c r="L108">
        <v>79.231909230769205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-0.62816482316322497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108.30828176648033</v>
      </c>
      <c r="C109">
        <v>112.32436581598733</v>
      </c>
      <c r="D109">
        <v>103.79938956879333</v>
      </c>
      <c r="E109">
        <v>107.74837817263699</v>
      </c>
      <c r="F109">
        <v>104.34526668143299</v>
      </c>
      <c r="G109">
        <v>102.459209778058</v>
      </c>
      <c r="H109">
        <v>128.62782092927299</v>
      </c>
      <c r="I109">
        <v>102.52565882172367</v>
      </c>
      <c r="J109">
        <v>108.415793324661</v>
      </c>
      <c r="K109">
        <v>0.81302965278783501</v>
      </c>
      <c r="L109">
        <v>77.417078461538495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-2.7952897707186399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108.84250309003933</v>
      </c>
      <c r="C110">
        <v>112.47188297199534</v>
      </c>
      <c r="D110">
        <v>104.625755731502</v>
      </c>
      <c r="E110">
        <v>107.64189531088033</v>
      </c>
      <c r="F110">
        <v>103.95268484483466</v>
      </c>
      <c r="G110">
        <v>101.79619465311266</v>
      </c>
      <c r="H110">
        <v>130.61694927245333</v>
      </c>
      <c r="I110">
        <v>105.027095559533</v>
      </c>
      <c r="J110">
        <v>108.82544885943599</v>
      </c>
      <c r="K110">
        <v>0.81523673020943999</v>
      </c>
      <c r="L110">
        <v>77.453536363636402</v>
      </c>
      <c r="M110" s="15">
        <f>+'[3]VAR expectations'!C134</f>
        <v>3.1319434989789481</v>
      </c>
      <c r="N110">
        <v>-0.57563884899936701</v>
      </c>
      <c r="O110">
        <v>0.118900887754049</v>
      </c>
      <c r="P110">
        <v>-1.9685648119861801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108.88739240283333</v>
      </c>
      <c r="C111">
        <v>112.98604728740968</v>
      </c>
      <c r="D111">
        <v>104.88811499490301</v>
      </c>
      <c r="E111">
        <v>107.30370751794167</v>
      </c>
      <c r="F111">
        <v>103.20596478409834</v>
      </c>
      <c r="G111">
        <v>101.91398808288534</v>
      </c>
      <c r="H111">
        <v>131.89849499183333</v>
      </c>
      <c r="I111">
        <v>102.040699632271</v>
      </c>
      <c r="J111">
        <v>108.893724648207</v>
      </c>
      <c r="K111">
        <v>0.82770637555197202</v>
      </c>
      <c r="L111">
        <v>77.966816666666702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-1.68883356808434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109.618010226317</v>
      </c>
      <c r="C112">
        <v>114.02463632018167</v>
      </c>
      <c r="D112">
        <v>104.76435589573566</v>
      </c>
      <c r="E112">
        <v>107.48271775400299</v>
      </c>
      <c r="F112">
        <v>103.17123846961367</v>
      </c>
      <c r="G112">
        <v>102.191291391064</v>
      </c>
      <c r="H112">
        <v>133.16887048999399</v>
      </c>
      <c r="I112">
        <v>106.35897300435933</v>
      </c>
      <c r="J112">
        <v>109.515175960547</v>
      </c>
      <c r="K112">
        <v>0.81997916491071399</v>
      </c>
      <c r="L112">
        <v>80.482731250000001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-0.91089864582077995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110.45948086324699</v>
      </c>
      <c r="C113">
        <v>114.37965178640066</v>
      </c>
      <c r="D113">
        <v>105.839467922116</v>
      </c>
      <c r="E113">
        <v>107.76763646906367</v>
      </c>
      <c r="F113">
        <v>103.53033561134301</v>
      </c>
      <c r="G113">
        <v>103.35517813017566</v>
      </c>
      <c r="H113">
        <v>132.47947759411034</v>
      </c>
      <c r="I113">
        <v>111.49993200066933</v>
      </c>
      <c r="J113">
        <v>110.604271320991</v>
      </c>
      <c r="K113">
        <v>0.82659569796815602</v>
      </c>
      <c r="L113">
        <v>81.786427692307697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0.127100546674869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111.86931628099101</v>
      </c>
      <c r="C114">
        <v>115.18771645942233</v>
      </c>
      <c r="D114">
        <v>107.74819368701799</v>
      </c>
      <c r="E114">
        <v>108.42445135733601</v>
      </c>
      <c r="F114">
        <v>104.08162313098734</v>
      </c>
      <c r="G114">
        <v>103.39894947467734</v>
      </c>
      <c r="H114">
        <v>134.10412162747801</v>
      </c>
      <c r="I114">
        <v>115.37340084444234</v>
      </c>
      <c r="J114">
        <v>111.81405765568</v>
      </c>
      <c r="K114">
        <v>0.85503420500566196</v>
      </c>
      <c r="L114">
        <v>81.769348484848507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0.25815461368186399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114.24257959756399</v>
      </c>
      <c r="C115">
        <v>116.69636944139766</v>
      </c>
      <c r="D115">
        <v>109.68110507049767</v>
      </c>
      <c r="E115">
        <v>110.39527181726901</v>
      </c>
      <c r="F115">
        <v>105.93486228594001</v>
      </c>
      <c r="G115">
        <v>104.07389270576867</v>
      </c>
      <c r="H115">
        <v>138.26351862215768</v>
      </c>
      <c r="I115">
        <v>126.79132119826234</v>
      </c>
      <c r="J115">
        <v>114.239606956175</v>
      </c>
      <c r="K115">
        <v>0.89904007625108595</v>
      </c>
      <c r="L115">
        <v>81.601331818181805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0.774883425303596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116.48885834488965</v>
      </c>
      <c r="C116">
        <v>118.19570748146434</v>
      </c>
      <c r="D116">
        <v>112.14927423992735</v>
      </c>
      <c r="E116">
        <v>112.64069252119799</v>
      </c>
      <c r="F116">
        <v>108.48186674764499</v>
      </c>
      <c r="G116">
        <v>104.03703124203666</v>
      </c>
      <c r="H116">
        <v>141.25344089308365</v>
      </c>
      <c r="I116">
        <v>131.99827439919702</v>
      </c>
      <c r="J116">
        <v>116.39587618372001</v>
      </c>
      <c r="K116">
        <v>0.93243291258427596</v>
      </c>
      <c r="L116">
        <v>82.320465624997198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1.83999150031697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120.50392433050934</v>
      </c>
      <c r="C117">
        <v>119.98010470945268</v>
      </c>
      <c r="D117">
        <v>113.40148109091433</v>
      </c>
      <c r="E117">
        <v>115.54412677987101</v>
      </c>
      <c r="F117">
        <v>112.13625221199966</v>
      </c>
      <c r="G117">
        <v>104.85850101471766</v>
      </c>
      <c r="H117">
        <v>142.99296013537034</v>
      </c>
      <c r="I117">
        <v>171.47627775823568</v>
      </c>
      <c r="J117">
        <v>120.690982932818</v>
      </c>
      <c r="K117">
        <v>0.989797540107896</v>
      </c>
      <c r="L117">
        <v>80.190636866096895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1.88421320028864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123.09847175568734</v>
      </c>
      <c r="C118">
        <v>122.00596020282967</v>
      </c>
      <c r="D118">
        <v>114.96948469748934</v>
      </c>
      <c r="E118">
        <v>120.36311541596167</v>
      </c>
      <c r="F118">
        <v>118.01173287867732</v>
      </c>
      <c r="G118">
        <v>106.36271977258265</v>
      </c>
      <c r="H118">
        <v>145.03371350485733</v>
      </c>
      <c r="I118">
        <v>177.50075002011636</v>
      </c>
      <c r="J118">
        <v>122.995720387056</v>
      </c>
      <c r="K118">
        <v>1.0549677290056301</v>
      </c>
      <c r="L118">
        <v>78.205745454544996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1.6573014873270699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126.53522566940201</v>
      </c>
      <c r="C119">
        <v>124.21422658668901</v>
      </c>
      <c r="D119">
        <v>116.61736952415635</v>
      </c>
      <c r="E119">
        <v>124.643434619289</v>
      </c>
      <c r="F119">
        <v>123.3897286823</v>
      </c>
      <c r="G119">
        <v>107.93308133356932</v>
      </c>
      <c r="H119">
        <v>145.95615168562699</v>
      </c>
      <c r="I119">
        <v>197.57651056743899</v>
      </c>
      <c r="J119">
        <v>126.53094211134</v>
      </c>
      <c r="K119">
        <v>1.0246932577811401</v>
      </c>
      <c r="L119">
        <v>78.037909230769202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1.46244862428622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128.38575209291301</v>
      </c>
      <c r="C120">
        <v>125.85730912817833</v>
      </c>
      <c r="D120">
        <v>118.54895673468968</v>
      </c>
      <c r="E120">
        <v>128.64852446293801</v>
      </c>
      <c r="F120">
        <v>128.02272947026401</v>
      </c>
      <c r="G120">
        <v>110.088308366931</v>
      </c>
      <c r="H120">
        <v>148.33054296791735</v>
      </c>
      <c r="I120">
        <v>192.88054092496168</v>
      </c>
      <c r="J120">
        <v>128.30121552973901</v>
      </c>
      <c r="K120">
        <v>1.0320465524202</v>
      </c>
      <c r="L120">
        <v>78.1068492307692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1.18520080045761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130.59298829005934</v>
      </c>
      <c r="C121">
        <v>128.52565246029235</v>
      </c>
      <c r="D121">
        <v>120.80622566281301</v>
      </c>
      <c r="E121">
        <v>133.43150849608097</v>
      </c>
      <c r="F121">
        <v>132.51726186681068</v>
      </c>
      <c r="G121">
        <v>112.18316651455798</v>
      </c>
      <c r="H121">
        <v>158.89824028548767</v>
      </c>
      <c r="I121">
        <v>184.264656189146</v>
      </c>
      <c r="J121">
        <v>130.81230059023801</v>
      </c>
      <c r="K121">
        <v>1.01388437469958</v>
      </c>
      <c r="L121">
        <v>80.384953846153806</v>
      </c>
      <c r="M121" s="15">
        <f>+'[3]VAR expectations'!C145</f>
        <v>4.9659010810981856</v>
      </c>
      <c r="N121">
        <v>0.70170723997551099</v>
      </c>
      <c r="O121">
        <v>-0.231251350162267</v>
      </c>
      <c r="P121">
        <v>0.93819934325006404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131.37530613069131</v>
      </c>
      <c r="C122">
        <v>130.59618512944334</v>
      </c>
      <c r="D122">
        <v>121.01905173013132</v>
      </c>
      <c r="E122">
        <v>135.446268268767</v>
      </c>
      <c r="F122">
        <v>133.91984012347734</v>
      </c>
      <c r="G122">
        <v>115.76785356556167</v>
      </c>
      <c r="H122">
        <v>162.22846990065034</v>
      </c>
      <c r="I122">
        <v>171.47356037902264</v>
      </c>
      <c r="J122">
        <v>131.230446196217</v>
      </c>
      <c r="K122">
        <v>1.00327508868077</v>
      </c>
      <c r="L122">
        <v>82.125763076923107</v>
      </c>
      <c r="M122" s="15">
        <f>+'[3]VAR expectations'!C146</f>
        <v>4.3007323969777262</v>
      </c>
      <c r="N122">
        <v>-0.16340187781012599</v>
      </c>
      <c r="O122">
        <v>-0.673433352934243</v>
      </c>
      <c r="P122">
        <v>0.59734712137971802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131.82842736900901</v>
      </c>
      <c r="C123">
        <v>132.15013200529432</v>
      </c>
      <c r="D123">
        <v>120.82980972629765</v>
      </c>
      <c r="E123">
        <v>136.69429627439033</v>
      </c>
      <c r="F123">
        <v>134.62161053142333</v>
      </c>
      <c r="G123">
        <v>118.01198266246267</v>
      </c>
      <c r="H123">
        <v>165.63257601977799</v>
      </c>
      <c r="I123">
        <v>164.60407962581135</v>
      </c>
      <c r="J123">
        <v>131.828898206801</v>
      </c>
      <c r="K123">
        <v>1.01727074723556</v>
      </c>
      <c r="L123">
        <v>81.116464615384601</v>
      </c>
      <c r="M123" s="15">
        <f>+'[3]VAR expectations'!C147</f>
        <v>3.8582721147576735</v>
      </c>
      <c r="N123">
        <v>-1.3678165112816401</v>
      </c>
      <c r="O123">
        <v>-0.21694556148073699</v>
      </c>
      <c r="P123">
        <v>0.146552129117652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B124">
        <v>132.9594807256527</v>
      </c>
      <c r="C124">
        <v>133.74917445555533</v>
      </c>
      <c r="D124">
        <v>120.95322222375898</v>
      </c>
      <c r="E124">
        <v>137.70066081848267</v>
      </c>
      <c r="F124">
        <v>134.83331298938199</v>
      </c>
      <c r="G124">
        <v>118.82903366284933</v>
      </c>
      <c r="H124">
        <v>172.27553961791901</v>
      </c>
      <c r="I124">
        <v>165.70740410689368</v>
      </c>
      <c r="J124">
        <v>132.897129135722</v>
      </c>
      <c r="K124">
        <v>1.0134562741763</v>
      </c>
      <c r="L124">
        <v>82.494893846153801</v>
      </c>
      <c r="M124" s="15">
        <f>+'[3]VAR expectations'!C148</f>
        <v>3.6255376960251078</v>
      </c>
      <c r="N124">
        <v>-1.0717785266822</v>
      </c>
      <c r="O124">
        <v>4.3541846025459997E-2</v>
      </c>
      <c r="P124">
        <v>6.1506962331039298E-2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B125">
        <v>133.29132456343368</v>
      </c>
      <c r="C125">
        <v>135.89480155943133</v>
      </c>
      <c r="D125">
        <v>120.93899965269367</v>
      </c>
      <c r="E125">
        <v>138.05850043083967</v>
      </c>
      <c r="F125">
        <v>135.20639758384235</v>
      </c>
      <c r="G125">
        <v>118.69077906298467</v>
      </c>
      <c r="H125">
        <v>174.27684854409134</v>
      </c>
      <c r="I125">
        <v>154.75961463171768</v>
      </c>
      <c r="J125">
        <v>133.52096255947399</v>
      </c>
      <c r="K125">
        <v>1.0195737026551699</v>
      </c>
      <c r="L125">
        <v>82.864006153846105</v>
      </c>
      <c r="M125" s="15">
        <f>+'[3]VAR expectations'!C149</f>
        <v>2.979353541970323</v>
      </c>
      <c r="N125">
        <v>-1.2261098957021399</v>
      </c>
      <c r="O125">
        <v>-0.40443614577732501</v>
      </c>
      <c r="P125">
        <v>4.1869967030527699E-2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B126">
        <v>134.06772278924967</v>
      </c>
      <c r="C126">
        <v>137.40029538200199</v>
      </c>
      <c r="D126">
        <v>121.24686741287934</v>
      </c>
      <c r="E126">
        <v>139.05828868688101</v>
      </c>
      <c r="F126">
        <v>135.99519115995466</v>
      </c>
      <c r="G126">
        <v>118.84221238795668</v>
      </c>
      <c r="H126">
        <v>177.377684993683</v>
      </c>
      <c r="I126">
        <v>148.54328550058935</v>
      </c>
      <c r="J126">
        <v>133.896288900988</v>
      </c>
      <c r="K126">
        <v>1.0089332731199601</v>
      </c>
      <c r="L126">
        <v>84.227827272727296</v>
      </c>
      <c r="M126" s="15">
        <f>+'[3]VAR expectations'!C150</f>
        <v>2.9717312535901965</v>
      </c>
      <c r="N126">
        <v>-0.96369939332577004</v>
      </c>
      <c r="O126">
        <v>-0.3982860759479</v>
      </c>
      <c r="P126">
        <v>3.0697022721830201E-2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B127">
        <v>134.94016527902599</v>
      </c>
      <c r="C127">
        <v>138.57873527269066</v>
      </c>
      <c r="D127">
        <v>121.61656201594535</v>
      </c>
      <c r="E127">
        <v>140.70440832670431</v>
      </c>
      <c r="F127">
        <v>136.20886274755367</v>
      </c>
      <c r="G127">
        <v>119.77051311188899</v>
      </c>
      <c r="H127">
        <v>182.89448902449666</v>
      </c>
      <c r="I127">
        <v>151.50001167800067</v>
      </c>
      <c r="J127">
        <v>134.93947062845999</v>
      </c>
      <c r="K127">
        <v>0.99721960665615905</v>
      </c>
      <c r="L127">
        <v>84.813608049661099</v>
      </c>
      <c r="M127" s="15">
        <f>+'[3]VAR expectations'!C151</f>
        <v>3.468785277541127</v>
      </c>
      <c r="N127">
        <v>-0.558263788011643</v>
      </c>
      <c r="O127">
        <v>0.16500605812999999</v>
      </c>
      <c r="P127">
        <v>-1.6995149258256698E-2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B128">
        <v>136.20403762854201</v>
      </c>
      <c r="C128">
        <v>140.46751913952565</v>
      </c>
      <c r="D128">
        <v>121.74025262614499</v>
      </c>
      <c r="E128">
        <v>142.87019320296167</v>
      </c>
      <c r="F128">
        <v>136.25259661698036</v>
      </c>
      <c r="G128">
        <v>121.21121795571999</v>
      </c>
      <c r="H128">
        <v>187.86542823158166</v>
      </c>
      <c r="I128">
        <v>153.90555503923534</v>
      </c>
      <c r="J128">
        <v>136.15764019791601</v>
      </c>
      <c r="K128">
        <v>0.98288709778728001</v>
      </c>
      <c r="L128">
        <v>84.629414119597598</v>
      </c>
      <c r="M128" s="15">
        <f>+'[3]VAR expectations'!C152</f>
        <v>3.8021957884789486</v>
      </c>
      <c r="N128">
        <v>-0.48770340107725202</v>
      </c>
      <c r="O128">
        <v>0.107917584062745</v>
      </c>
      <c r="P128">
        <v>-7.5137115259422196E-2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I129">
        <v>151.72619934765501</v>
      </c>
      <c r="J129">
        <v>136.95570967615299</v>
      </c>
      <c r="K129">
        <v>0.97346364857033996</v>
      </c>
      <c r="L129">
        <v>84.495804010471403</v>
      </c>
      <c r="M129" s="15">
        <f>+'[3]VAR expectations'!C153</f>
        <v>4.011042611251681</v>
      </c>
      <c r="N129">
        <v>-0.154281053360626</v>
      </c>
      <c r="O129">
        <v>3.5632547105975999E-2</v>
      </c>
      <c r="P129">
        <v>-7.7718075580211904E-2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I130">
        <v>152.98519723548699</v>
      </c>
      <c r="J130">
        <v>137.58279427168</v>
      </c>
      <c r="K130">
        <v>0.96851622719917996</v>
      </c>
      <c r="L130">
        <v>84.362483845394493</v>
      </c>
      <c r="M130" s="15">
        <f>+'[3]VAR expectations'!C154</f>
        <v>3.9691108090385026</v>
      </c>
      <c r="N130">
        <v>0.194247825726828</v>
      </c>
      <c r="O130">
        <v>-0.17429903529735599</v>
      </c>
      <c r="P130">
        <v>-8.8748038950167599E-2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I131">
        <v>151.92483063597766</v>
      </c>
      <c r="J131">
        <v>138.62526898949</v>
      </c>
      <c r="K131">
        <v>0.96461534145556305</v>
      </c>
      <c r="L131">
        <v>84.229895615562697</v>
      </c>
      <c r="M131" s="15">
        <f>+'[3]VAR expectations'!C155</f>
        <v>3.8470567349792795</v>
      </c>
      <c r="N131">
        <v>1.31990392591611E-2</v>
      </c>
      <c r="O131">
        <v>-7.0369201187523399E-3</v>
      </c>
      <c r="P131">
        <v>-0.13380665863467101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I132">
        <v>150.66258335335797</v>
      </c>
      <c r="J132">
        <v>139.67130572522899</v>
      </c>
      <c r="K132">
        <v>0.960789101050187</v>
      </c>
      <c r="L132">
        <v>84.096316806071599</v>
      </c>
      <c r="M132" s="15">
        <f>+'[3]VAR expectations'!C156</f>
        <v>4.1639091291217634</v>
      </c>
      <c r="N132">
        <v>-0.14423854931397601</v>
      </c>
      <c r="O132">
        <v>-1.6535476013773E-2</v>
      </c>
      <c r="P132">
        <v>-0.23120270393967601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I133">
        <v>152.31826435830533</v>
      </c>
      <c r="J133">
        <v>140.22588631510899</v>
      </c>
      <c r="K133">
        <v>0.95755322486989103</v>
      </c>
      <c r="L133">
        <v>83.962165308414498</v>
      </c>
      <c r="M133" s="15">
        <f>+'[3]VAR expectations'!C157</f>
        <v>5.4104651194166893</v>
      </c>
      <c r="N133">
        <v>8.9978168640003596E-3</v>
      </c>
      <c r="O133">
        <v>0.19389058082222399</v>
      </c>
      <c r="P133">
        <v>-0.333418270377348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I134">
        <v>153.16366011143634</v>
      </c>
      <c r="J134">
        <v>140.786023023621</v>
      </c>
      <c r="K134">
        <v>0.956279095982567</v>
      </c>
      <c r="L134">
        <v>83.8294335301171</v>
      </c>
      <c r="M134" s="15">
        <f>+'[3]VAR expectations'!C158</f>
        <v>4.9139696600199789</v>
      </c>
      <c r="N134">
        <v>2.9277194731777201E-2</v>
      </c>
      <c r="O134">
        <v>-5.4901279743138999E-2</v>
      </c>
      <c r="P134">
        <v>-0.41551560709604701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I135">
        <v>152.13046713127301</v>
      </c>
      <c r="J135">
        <v>141.67095946911499</v>
      </c>
      <c r="K135">
        <v>0.95572730989276</v>
      </c>
      <c r="L135">
        <v>83.699831857134299</v>
      </c>
      <c r="M135" s="15">
        <f>+'[3]VAR expectations'!C159</f>
        <v>4.0011512098701685</v>
      </c>
      <c r="N135">
        <v>1.0941237690847301E-2</v>
      </c>
      <c r="O135">
        <v>-4.4310271174268602E-4</v>
      </c>
      <c r="P135">
        <v>-0.483686692387988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I136">
        <v>150.98410234425134</v>
      </c>
      <c r="J136">
        <v>142.604089110118</v>
      </c>
      <c r="K136">
        <v>0.95538223682193302</v>
      </c>
      <c r="L136">
        <v>83.574032605491993</v>
      </c>
      <c r="M136" s="15">
        <f>+'[3]VAR expectations'!C160</f>
        <v>3.3715300668176842</v>
      </c>
      <c r="N136">
        <v>1.0507716041599899E-2</v>
      </c>
      <c r="O136">
        <v>-1.27151534663672E-2</v>
      </c>
      <c r="P136">
        <v>-0.53300686311600898</v>
      </c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I137">
        <v>150.86668272115833</v>
      </c>
      <c r="J137">
        <v>142.90556782414899</v>
      </c>
      <c r="K137">
        <v>0.95502404891060899</v>
      </c>
      <c r="L137">
        <v>83.452219164378505</v>
      </c>
      <c r="M137" s="15">
        <f>+'[3]VAR expectations'!C161</f>
        <v>2.9319715449134089</v>
      </c>
      <c r="N137">
        <v>-7.9647385910313506E-2</v>
      </c>
      <c r="O137">
        <v>1.60999570243111E-2</v>
      </c>
      <c r="P137">
        <v>-0.51741348471155002</v>
      </c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I138">
        <v>151.71342800518133</v>
      </c>
      <c r="J138">
        <v>143.44502559908301</v>
      </c>
      <c r="K138">
        <v>0.95441002948701004</v>
      </c>
      <c r="L138">
        <v>83.334466846048002</v>
      </c>
      <c r="M138" s="15">
        <f>+'[3]VAR expectations'!C162</f>
        <v>2.624058833894372</v>
      </c>
      <c r="N138">
        <v>-5.13227888058908E-2</v>
      </c>
      <c r="O138">
        <v>-6.7701651851022695E-4</v>
      </c>
      <c r="P138">
        <v>-0.45759813374549602</v>
      </c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I139">
        <v>150.40939780512466</v>
      </c>
      <c r="J139">
        <v>144.291544950804</v>
      </c>
      <c r="K139">
        <v>0.95383425575049496</v>
      </c>
      <c r="L139">
        <v>83.220670599246802</v>
      </c>
      <c r="M139" s="15">
        <f>+'[3]VAR expectations'!C163</f>
        <v>2.4687156565697737</v>
      </c>
      <c r="N139">
        <v>-7.9190000745021305E-2</v>
      </c>
      <c r="O139">
        <v>-4.15752015621643E-3</v>
      </c>
      <c r="P139">
        <v>-0.354949602567734</v>
      </c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I140">
        <v>149.98745014706566</v>
      </c>
      <c r="M140" s="15">
        <f>+'[3]VAR expectations'!C164</f>
        <v>2.4272584547421974</v>
      </c>
      <c r="O140">
        <v>-6.4730736789887404E-3</v>
      </c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I141">
        <v>150.47207627790701</v>
      </c>
      <c r="M141" s="15">
        <f>+'[3]VAR expectations'!C165</f>
        <v>2.4505337246023733</v>
      </c>
      <c r="O141">
        <v>1.1817117236994201E-2</v>
      </c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I142">
        <v>151.19760899077167</v>
      </c>
      <c r="M142" s="15">
        <f>+'[3]VAR expectations'!C166</f>
        <v>2.4399426350808717</v>
      </c>
      <c r="O142">
        <v>3.8775680770001202E-2</v>
      </c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I143">
        <v>151.05227686109166</v>
      </c>
      <c r="M143" s="15">
        <f>+'[3]VAR expectations'!C167</f>
        <v>2.4724757454078841</v>
      </c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M144" s="15">
        <f>+'[3]VAR expectations'!C168</f>
        <v>2.5381252562448622</v>
      </c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/>
      <c r="M145" s="15">
        <f>+'[3]VAR expectations'!C169</f>
        <v>2.6576871518365146</v>
      </c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0590-E1C0-4593-BA39-033C3A2E3CB3}">
  <dimension ref="A1:W172"/>
  <sheetViews>
    <sheetView zoomScaleNormal="100" workbookViewId="0">
      <selection activeCell="Q12" sqref="Q12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I3" s="1" t="s">
        <v>7</v>
      </c>
      <c r="J3" s="2" t="s">
        <v>5</v>
      </c>
      <c r="K3" s="2"/>
      <c r="L3" t="s">
        <v>104</v>
      </c>
    </row>
    <row r="4" spans="1:23" x14ac:dyDescent="0.25">
      <c r="A4" t="s">
        <v>277</v>
      </c>
      <c r="B4" s="2" t="s">
        <v>8</v>
      </c>
      <c r="C4" s="2"/>
      <c r="D4" s="3" t="s">
        <v>275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272</v>
      </c>
      <c r="J5" s="2" t="s">
        <v>9</v>
      </c>
      <c r="K5" s="2"/>
    </row>
    <row r="6" spans="1:23" x14ac:dyDescent="0.25">
      <c r="A6" t="s">
        <v>276</v>
      </c>
      <c r="I6" t="s">
        <v>271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conv2qa(X12(stifidx_jan2025.m,MULT,1996m1,2025m6))</v>
      </c>
      <c r="C10" s="11" t="str">
        <f t="shared" ref="C10:D10" si="0">"conv2qa(X12("&amp;$D$5&amp;$D$3&amp;C9&amp;$D$4&amp;",MULT," &amp; TEXT($A$3,"yyyy""m""m") &amp; "," &amp; TEXT($A$4,"yyyy""m""m") &amp; "))"</f>
        <v>conv2qa(X12(stif_srv_jan2025.m,MULT,1996m1,2025m6))</v>
      </c>
      <c r="D10" s="11" t="str">
        <f t="shared" si="0"/>
        <v>conv2qa(X12(stif_gds_xeatfnab_jan2025.m,MULT,1996m1,2025m6))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booze.m,fags.m,#,#,#,#,#,#,#,#,#,#,#,#,#,#,#,#,#),MULT,1996m1,2025m6))</v>
      </c>
      <c r="F10" s="11" t="str">
        <f>"conv2qa(X12("&amp;$D$5&amp;$D$3&amp;F9&amp;$D$4&amp;",MULT," &amp; TEXT($A$3,"yyyy""m""m") &amp; "," &amp; TEXT($A$4,"yyyy""m""m") &amp; "))"</f>
        <v>conv2qa(X12(stif_fnab_jan2025.m,MULT,1996m1,2025m6))</v>
      </c>
      <c r="G10" s="11" t="str">
        <f>"conv2qa(X12("&amp;G9&amp;",MULT," &amp; TEXT($A$3,"yyyy""m""m") &amp; "," &amp; TEXT($A$4,"yyyy""m""m") &amp; "))"</f>
        <v>conv2qa(X12(booze.m,MULT,1996m1,2025m6))</v>
      </c>
      <c r="H10" s="11" t="str">
        <f>"conv2qa(X12("&amp;H9&amp;",MULT," &amp; TEXT($A$3,"yyyy""m""m") &amp; "," &amp; TEXT($A$4,"yyyy""m""m") &amp; "))"</f>
        <v>conv2qa(X12(fags.m,MULT,1996m1,2025m6))</v>
      </c>
      <c r="I10" s="11" t="str">
        <f>"conv2qa(X12("&amp;$D$5&amp;$D$3&amp;I9&amp;$D$4&amp;",MULT," &amp; TEXT($A$3,"yyyy""m""m") &amp; "," &amp; TEXT($I$5,"yyyy""m""m") &amp; "))"</f>
        <v>conv2qa(X12(stif_pu_jan2025.m,MULT,1996m1,2028m12))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68.336249781639438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58.553707089085329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77.833862631324294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>
        <f>[2]!FAMEData($L$5&amp;$L$3&amp;J9&amp;$L$4, $I$3, $I$4, 0,"Quarterly", "Down", "No Heading", "Normal")</f>
        <v>68.291668825013403</v>
      </c>
      <c r="K12">
        <f>[2]!FAMEData($L$5&amp;$L$3&amp;K9&amp;$L$4, $I$3, $I$4, 0,"Quarterly", "Down", "No Heading", "Normal")</f>
        <v>0.71982449635397405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0.13372854541610901</v>
      </c>
      <c r="O12">
        <f>[2]!FAMEData($L$5&amp;$L$3&amp;O9&amp;$L$4, $I$3, $I$4, 0,"Quarterly", "Down", "No Heading", "Normal")</f>
        <v>0.20789577611610899</v>
      </c>
      <c r="P12">
        <f>[2]!FAMEData($L$5&amp;$L$3&amp;P9&amp;$L$4, $I$3, $I$4, 0,"Quarterly", "Down", "No Heading", "Normal")</f>
        <v>-0.67179061870602896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68.723480942931303</v>
      </c>
      <c r="C13">
        <v>51.436217115422501</v>
      </c>
      <c r="D13">
        <v>120.55767761245134</v>
      </c>
      <c r="E13">
        <v>59.150835037210499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68.743762162146396</v>
      </c>
      <c r="K13">
        <v>0.72027305921574902</v>
      </c>
      <c r="L13">
        <v>81.882196923076904</v>
      </c>
      <c r="M13" s="15">
        <f>+'[3]VAR expectations'!C37</f>
        <v>2.6154884948264598</v>
      </c>
      <c r="N13">
        <v>-0.23536878773172701</v>
      </c>
      <c r="O13">
        <v>-0.16120155703172701</v>
      </c>
      <c r="P13">
        <v>-0.90951432292161405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78.989247520031924</v>
      </c>
      <c r="H14">
        <v>30.929830737469164</v>
      </c>
      <c r="I14">
        <v>43.346266616041838</v>
      </c>
      <c r="J14">
        <v>68.996227500213394</v>
      </c>
      <c r="K14">
        <v>0.704611295999234</v>
      </c>
      <c r="L14">
        <v>82.869486363636398</v>
      </c>
      <c r="M14" s="15">
        <f>+'[3]VAR expectations'!C38</f>
        <v>2.6428562485995646</v>
      </c>
      <c r="N14">
        <v>0.25495721092451001</v>
      </c>
      <c r="O14">
        <v>0.32912444162450999</v>
      </c>
      <c r="P14">
        <v>-0.98499009782691505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69.279251504424195</v>
      </c>
      <c r="K15">
        <v>0.69546448918473103</v>
      </c>
      <c r="L15">
        <v>88.333556060606099</v>
      </c>
      <c r="M15" s="15">
        <f>+'[3]VAR expectations'!C39</f>
        <v>2.8292929206876933</v>
      </c>
      <c r="N15">
        <v>-7.64182457918334E-2</v>
      </c>
      <c r="O15">
        <v>-2.2510150918334201E-3</v>
      </c>
      <c r="P15">
        <v>-0.94538049261986201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45.328295668908964</v>
      </c>
      <c r="J16">
        <v>69.6078343654885</v>
      </c>
      <c r="K16">
        <v>0.67245396810892299</v>
      </c>
      <c r="L16">
        <v>92.820320312500002</v>
      </c>
      <c r="M16" s="15">
        <f>+'[3]VAR expectations'!C40</f>
        <v>2.782809710824401</v>
      </c>
      <c r="N16">
        <v>-0.33645778939667198</v>
      </c>
      <c r="O16">
        <v>-0.262290558696672</v>
      </c>
      <c r="P16">
        <v>-8.1624431823459492E-3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69.818827320614531</v>
      </c>
      <c r="C17">
        <v>53.331404584016006</v>
      </c>
      <c r="D17">
        <v>120.310188362095</v>
      </c>
      <c r="E17">
        <v>59.375031266633833</v>
      </c>
      <c r="F17">
        <v>65.408499895120499</v>
      </c>
      <c r="G17">
        <v>79.267965073223266</v>
      </c>
      <c r="H17">
        <v>32.549626728659469</v>
      </c>
      <c r="I17">
        <v>44.445946493019335</v>
      </c>
      <c r="J17">
        <v>69.841257107063797</v>
      </c>
      <c r="K17">
        <v>0.658342915410149</v>
      </c>
      <c r="L17">
        <v>95.131486153846197</v>
      </c>
      <c r="M17" s="15">
        <f>+'[3]VAR expectations'!C41</f>
        <v>2.9050115480316223</v>
      </c>
      <c r="N17">
        <v>-0.25493658135413899</v>
      </c>
      <c r="O17">
        <v>-0.18076935065413899</v>
      </c>
      <c r="P17">
        <v>7.8353326752550898E-2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45.37554558259577</v>
      </c>
      <c r="J18">
        <v>70.330892659527606</v>
      </c>
      <c r="K18">
        <v>0.65392958085931496</v>
      </c>
      <c r="L18">
        <v>97.471460606060603</v>
      </c>
      <c r="M18" s="15">
        <f>+'[3]VAR expectations'!C42</f>
        <v>3.1797827097537499</v>
      </c>
      <c r="N18">
        <v>6.0905481826873997E-2</v>
      </c>
      <c r="O18">
        <v>0.135072712526874</v>
      </c>
      <c r="P18">
        <v>5.2405776642112101E-3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70.534190606333013</v>
      </c>
      <c r="C19">
        <v>54.3557598582004</v>
      </c>
      <c r="D19">
        <v>120.137475565896</v>
      </c>
      <c r="E19">
        <v>60.1132805423672</v>
      </c>
      <c r="F19">
        <v>65.8557702922663</v>
      </c>
      <c r="G19">
        <v>79.329518514698592</v>
      </c>
      <c r="H19">
        <v>34.107615541725302</v>
      </c>
      <c r="I19">
        <v>45.165943591837198</v>
      </c>
      <c r="J19">
        <v>70.553234761940601</v>
      </c>
      <c r="K19">
        <v>0.65336658354114696</v>
      </c>
      <c r="L19">
        <v>98.626171212121207</v>
      </c>
      <c r="M19" s="15">
        <f>+'[3]VAR expectations'!C43</f>
        <v>3.4444390840252752</v>
      </c>
      <c r="N19">
        <v>-0.25455559339067801</v>
      </c>
      <c r="O19">
        <v>-0.18038836269067801</v>
      </c>
      <c r="P19">
        <v>-0.113323844964001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70.7608317169408</v>
      </c>
      <c r="C20">
        <v>54.867317852625661</v>
      </c>
      <c r="D20">
        <v>119.84603007593834</v>
      </c>
      <c r="E20">
        <v>60.324796116075561</v>
      </c>
      <c r="F20">
        <v>65.556439010962194</v>
      </c>
      <c r="G20">
        <v>80.314829273702358</v>
      </c>
      <c r="H20">
        <v>35.043737560232607</v>
      </c>
      <c r="I20">
        <v>45.066788167536863</v>
      </c>
      <c r="J20">
        <v>70.707690288178796</v>
      </c>
      <c r="K20">
        <v>0.64381232528059396</v>
      </c>
      <c r="L20">
        <v>100.6106328125</v>
      </c>
      <c r="M20" s="15">
        <f>+'[3]VAR expectations'!C44</f>
        <v>3.2371139634797124</v>
      </c>
      <c r="N20">
        <v>-0.47523716940267902</v>
      </c>
      <c r="O20">
        <v>-0.40106993870267899</v>
      </c>
      <c r="P20">
        <v>0.35224228077810998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71.100692129748836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80.697417805776226</v>
      </c>
      <c r="H21">
        <v>35.534825019560238</v>
      </c>
      <c r="I21">
        <v>45.512400795736035</v>
      </c>
      <c r="J21">
        <v>71.126513447044601</v>
      </c>
      <c r="K21">
        <v>0.63430889006644098</v>
      </c>
      <c r="L21">
        <v>100.512433846154</v>
      </c>
      <c r="M21" s="15">
        <f>+'[3]VAR expectations'!C45</f>
        <v>3.3504016664521434</v>
      </c>
      <c r="N21">
        <v>-0.19612705905508401</v>
      </c>
      <c r="O21">
        <v>-0.121959828355084</v>
      </c>
      <c r="P21">
        <v>0.18539483915357599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71.255609421750535</v>
      </c>
      <c r="C22">
        <v>55.834494062716864</v>
      </c>
      <c r="D22">
        <v>118.95366575846867</v>
      </c>
      <c r="E22">
        <v>61.326564518169732</v>
      </c>
      <c r="F22">
        <v>66.599884378909437</v>
      </c>
      <c r="G22">
        <v>81.111237273143502</v>
      </c>
      <c r="H22">
        <v>36.009377724459966</v>
      </c>
      <c r="I22">
        <v>45.240117527977702</v>
      </c>
      <c r="J22">
        <v>71.308148711158594</v>
      </c>
      <c r="K22">
        <v>0.62982939021675299</v>
      </c>
      <c r="L22">
        <v>100.14717121212099</v>
      </c>
      <c r="M22" s="15">
        <f>+'[3]VAR expectations'!C46</f>
        <v>3.4355092923982902</v>
      </c>
      <c r="N22">
        <v>7.3981667793561995E-2</v>
      </c>
      <c r="O22">
        <v>0.148148898493562</v>
      </c>
      <c r="P22">
        <v>0.15782016310379501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71.539883561847134</v>
      </c>
      <c r="C23">
        <v>56.342645165224134</v>
      </c>
      <c r="D23">
        <v>118.50979090512165</v>
      </c>
      <c r="E23">
        <v>61.798219499311806</v>
      </c>
      <c r="F23">
        <v>66.931585635713873</v>
      </c>
      <c r="G23">
        <v>81.345598400718771</v>
      </c>
      <c r="H23">
        <v>36.768433546815366</v>
      </c>
      <c r="I23">
        <v>45.182611283650267</v>
      </c>
      <c r="J23">
        <v>71.555523482852394</v>
      </c>
      <c r="K23">
        <v>0.63229951935239104</v>
      </c>
      <c r="L23">
        <v>97.166321212121204</v>
      </c>
      <c r="M23" s="15">
        <f>+'[3]VAR expectations'!C47</f>
        <v>3.0318466606958814</v>
      </c>
      <c r="N23">
        <v>-0.51878048276669997</v>
      </c>
      <c r="O23">
        <v>-0.44461325206669999</v>
      </c>
      <c r="P23">
        <v>-0.51318827171661696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71.869448362919002</v>
      </c>
      <c r="C24">
        <v>56.820337302049928</v>
      </c>
      <c r="D24">
        <v>117.91126120930566</v>
      </c>
      <c r="E24">
        <v>62.464147948596569</v>
      </c>
      <c r="F24">
        <v>67.238659277963379</v>
      </c>
      <c r="G24">
        <v>81.576404148116694</v>
      </c>
      <c r="H24">
        <v>38.383741142263695</v>
      </c>
      <c r="I24">
        <v>45.605839036947998</v>
      </c>
      <c r="J24">
        <v>71.8123774025145</v>
      </c>
      <c r="K24">
        <v>0.62982900352708404</v>
      </c>
      <c r="L24">
        <v>97.283789062500006</v>
      </c>
      <c r="M24" s="15">
        <f>+'[3]VAR expectations'!C48</f>
        <v>2.9135124750770758</v>
      </c>
      <c r="N24">
        <v>0.453654979964766</v>
      </c>
      <c r="O24">
        <v>0.52782221066476598</v>
      </c>
      <c r="P24">
        <v>-0.37213479345497502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72.089045435709636</v>
      </c>
      <c r="C25">
        <v>57.315645524914736</v>
      </c>
      <c r="D25">
        <v>117.102020370133</v>
      </c>
      <c r="E25">
        <v>62.327610240975197</v>
      </c>
      <c r="F25">
        <v>66.571844762680328</v>
      </c>
      <c r="G25">
        <v>81.622908379807299</v>
      </c>
      <c r="H25">
        <v>39.56655926905924</v>
      </c>
      <c r="I25">
        <v>46.924886016743329</v>
      </c>
      <c r="J25">
        <v>72.1216734782369</v>
      </c>
      <c r="K25">
        <v>0.62571857921866703</v>
      </c>
      <c r="L25">
        <v>99.140043076923106</v>
      </c>
      <c r="M25" s="15">
        <f>+'[3]VAR expectations'!C49</f>
        <v>2.7839723709682413</v>
      </c>
      <c r="N25">
        <v>0.41308538846995402</v>
      </c>
      <c r="O25">
        <v>0.48725261916995399</v>
      </c>
      <c r="P25">
        <v>4.5377826031508001E-2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72.12539507880453</v>
      </c>
      <c r="C26">
        <v>57.725891052138103</v>
      </c>
      <c r="D26">
        <v>116.21646773960333</v>
      </c>
      <c r="E26">
        <v>62.266005901013195</v>
      </c>
      <c r="F26">
        <v>65.966078638823205</v>
      </c>
      <c r="G26">
        <v>81.700276436857862</v>
      </c>
      <c r="H26">
        <v>40.694457856547899</v>
      </c>
      <c r="I26">
        <v>47.676146770894469</v>
      </c>
      <c r="J26">
        <v>72.178577439252194</v>
      </c>
      <c r="K26">
        <v>0.62744633608854405</v>
      </c>
      <c r="L26">
        <v>98.754672727272705</v>
      </c>
      <c r="M26" s="15">
        <f>+'[3]VAR expectations'!C50</f>
        <v>2.5771344994295728</v>
      </c>
      <c r="N26">
        <v>0.596601399046088</v>
      </c>
      <c r="O26">
        <v>0.67076862974608797</v>
      </c>
      <c r="P26">
        <v>0.16253141469964599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72.359803406135839</v>
      </c>
      <c r="C27">
        <v>58.260597172429392</v>
      </c>
      <c r="D27">
        <v>115.11724534960399</v>
      </c>
      <c r="E27">
        <v>62.425190149027031</v>
      </c>
      <c r="F27">
        <v>66.000462650335422</v>
      </c>
      <c r="G27">
        <v>81.899917498002523</v>
      </c>
      <c r="H27">
        <v>41.0702979400019</v>
      </c>
      <c r="I27">
        <v>48.744128850987529</v>
      </c>
      <c r="J27">
        <v>72.369583045715103</v>
      </c>
      <c r="K27">
        <v>0.628879165488197</v>
      </c>
      <c r="L27">
        <v>100.634428787879</v>
      </c>
      <c r="M27" s="15">
        <f>+'[3]VAR expectations'!C51</f>
        <v>2.6427151941363944</v>
      </c>
      <c r="N27">
        <v>0.18121154448103199</v>
      </c>
      <c r="O27">
        <v>0.25537877518103203</v>
      </c>
      <c r="P27">
        <v>0.81449639672755603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72.440743283146261</v>
      </c>
      <c r="C28">
        <v>58.772737337573631</v>
      </c>
      <c r="D28">
        <v>113.71050289670067</v>
      </c>
      <c r="E28">
        <v>62.294225732534038</v>
      </c>
      <c r="F28">
        <v>65.738951218718967</v>
      </c>
      <c r="G28">
        <v>81.953847149906608</v>
      </c>
      <c r="H28">
        <v>41.192698366601434</v>
      </c>
      <c r="I28">
        <v>50.014345022093771</v>
      </c>
      <c r="J28">
        <v>72.387032791443502</v>
      </c>
      <c r="K28">
        <v>0.63496423654172396</v>
      </c>
      <c r="L28">
        <v>102.291083076923</v>
      </c>
      <c r="M28" s="15">
        <f>+'[3]VAR expectations'!C52</f>
        <v>2.5107508450090452</v>
      </c>
      <c r="N28">
        <v>1.8103833082413999E-2</v>
      </c>
      <c r="O28">
        <v>9.2271063782413995E-2</v>
      </c>
      <c r="P28">
        <v>-0.80713768198578595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72.539182312841248</v>
      </c>
      <c r="C29">
        <v>59.022039679802134</v>
      </c>
      <c r="D29">
        <v>113.062466385126</v>
      </c>
      <c r="E29">
        <v>62.695488488984239</v>
      </c>
      <c r="F29">
        <v>65.547576525313886</v>
      </c>
      <c r="G29">
        <v>81.549251880083332</v>
      </c>
      <c r="H29">
        <v>43.499742188381497</v>
      </c>
      <c r="I29">
        <v>50.294131092573899</v>
      </c>
      <c r="J29">
        <v>72.576471412146603</v>
      </c>
      <c r="K29">
        <v>0.63548425849859203</v>
      </c>
      <c r="L29">
        <v>101.013821538462</v>
      </c>
      <c r="M29" s="15">
        <f>+'[3]VAR expectations'!C53</f>
        <v>2.480790509902373</v>
      </c>
      <c r="N29">
        <v>-9.9815570650635E-3</v>
      </c>
      <c r="O29">
        <v>6.4185673634936505E-2</v>
      </c>
      <c r="P29">
        <v>0.53258053428763796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72.707840576543859</v>
      </c>
      <c r="C30">
        <v>59.618307460292364</v>
      </c>
      <c r="D30">
        <v>111.70485772051767</v>
      </c>
      <c r="E30">
        <v>63.480786414584465</v>
      </c>
      <c r="F30">
        <v>66.470733130126021</v>
      </c>
      <c r="G30">
        <v>81.400383542533405</v>
      </c>
      <c r="H30">
        <v>44.129516914199598</v>
      </c>
      <c r="I30">
        <v>50.848549060357207</v>
      </c>
      <c r="J30">
        <v>72.758463406983594</v>
      </c>
      <c r="K30">
        <v>0.64916170071338097</v>
      </c>
      <c r="L30">
        <v>99.456144615384602</v>
      </c>
      <c r="M30" s="15">
        <f>+'[3]VAR expectations'!C54</f>
        <v>2.4571125053402318</v>
      </c>
      <c r="N30">
        <v>0.246908981275517</v>
      </c>
      <c r="O30">
        <v>0.321076211975517</v>
      </c>
      <c r="P30">
        <v>0.27187323175935202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73.058296991469888</v>
      </c>
      <c r="C31">
        <v>60.261873317660836</v>
      </c>
      <c r="D31">
        <v>111.14640687755167</v>
      </c>
      <c r="E31">
        <v>63.852768971104432</v>
      </c>
      <c r="F31">
        <v>66.715067260743865</v>
      </c>
      <c r="G31">
        <v>81.76564392700223</v>
      </c>
      <c r="H31">
        <v>44.729361748223596</v>
      </c>
      <c r="I31">
        <v>51.114811152087867</v>
      </c>
      <c r="J31">
        <v>73.060657908277705</v>
      </c>
      <c r="K31">
        <v>0.64840352087451603</v>
      </c>
      <c r="L31">
        <v>100.229946153846</v>
      </c>
      <c r="M31" s="15">
        <f>+'[3]VAR expectations'!C55</f>
        <v>2.4793436532788289</v>
      </c>
      <c r="N31">
        <v>-9.0557620162865102E-2</v>
      </c>
      <c r="O31">
        <v>-1.6390389462865099E-2</v>
      </c>
      <c r="P31">
        <v>0.70676579039904797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73.057199972198703</v>
      </c>
      <c r="C32">
        <v>60.743618510486101</v>
      </c>
      <c r="D32">
        <v>110.17048885713467</v>
      </c>
      <c r="E32">
        <v>64.304947564600539</v>
      </c>
      <c r="F32">
        <v>67.21957656963734</v>
      </c>
      <c r="G32">
        <v>81.956356251029305</v>
      </c>
      <c r="H32">
        <v>45.213764851086069</v>
      </c>
      <c r="I32">
        <v>49.776772698708463</v>
      </c>
      <c r="J32">
        <v>73.010134874556201</v>
      </c>
      <c r="K32">
        <v>0.64909645815575601</v>
      </c>
      <c r="L32">
        <v>98.163178461538493</v>
      </c>
      <c r="M32" s="15">
        <f>+'[3]VAR expectations'!C56</f>
        <v>2.2606623386544604</v>
      </c>
      <c r="N32">
        <v>-0.30174521023107598</v>
      </c>
      <c r="O32">
        <v>-0.227577979531076</v>
      </c>
      <c r="P32">
        <v>0.41767657153423499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73.640782847442964</v>
      </c>
      <c r="C33">
        <v>61.544420219885374</v>
      </c>
      <c r="D33">
        <v>109.89504456781468</v>
      </c>
      <c r="E33">
        <v>65.671562289786621</v>
      </c>
      <c r="F33">
        <v>69.291698510679865</v>
      </c>
      <c r="G33">
        <v>81.894722916119761</v>
      </c>
      <c r="H33">
        <v>45.475672672351266</v>
      </c>
      <c r="I33">
        <v>49.554685240306362</v>
      </c>
      <c r="J33">
        <v>73.683329119477705</v>
      </c>
      <c r="K33">
        <v>0.64465605564276696</v>
      </c>
      <c r="L33">
        <v>99.237372307692297</v>
      </c>
      <c r="M33" s="15">
        <f>+'[3]VAR expectations'!C57</f>
        <v>2.2219944984907083</v>
      </c>
      <c r="N33">
        <v>7.0111456204636005E-2</v>
      </c>
      <c r="O33">
        <v>0.14427868690463599</v>
      </c>
      <c r="P33">
        <v>0.27177292676166298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73.825368346704607</v>
      </c>
      <c r="C34">
        <v>62.223963784279796</v>
      </c>
      <c r="D34">
        <v>109.34835279541399</v>
      </c>
      <c r="E34">
        <v>65.641448713929833</v>
      </c>
      <c r="F34">
        <v>68.9795361338672</v>
      </c>
      <c r="G34">
        <v>82.063297448353737</v>
      </c>
      <c r="H34">
        <v>45.842531038113833</v>
      </c>
      <c r="I34">
        <v>49.541042554928197</v>
      </c>
      <c r="J34">
        <v>73.868491233165003</v>
      </c>
      <c r="K34">
        <v>0.63552659085590302</v>
      </c>
      <c r="L34">
        <v>99.239315384615395</v>
      </c>
      <c r="M34" s="15">
        <f>+'[3]VAR expectations'!C58</f>
        <v>2.3621300730309192</v>
      </c>
      <c r="N34">
        <v>-0.219572656317782</v>
      </c>
      <c r="O34">
        <v>-0.145405425617782</v>
      </c>
      <c r="P34">
        <v>2.9689798564234399E-2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73.809976698457632</v>
      </c>
      <c r="C35">
        <v>62.586922212637866</v>
      </c>
      <c r="D35">
        <v>108.73663622536735</v>
      </c>
      <c r="E35">
        <v>65.82869866929822</v>
      </c>
      <c r="F35">
        <v>68.970945389892464</v>
      </c>
      <c r="G35">
        <v>82.057820783106152</v>
      </c>
      <c r="H35">
        <v>46.482425595666335</v>
      </c>
      <c r="I35">
        <v>48.008808713693561</v>
      </c>
      <c r="J35">
        <v>73.8080293738048</v>
      </c>
      <c r="K35">
        <v>0.62682732713061395</v>
      </c>
      <c r="L35">
        <v>99.639537878787905</v>
      </c>
      <c r="M35" s="15">
        <f>+'[3]VAR expectations'!C59</f>
        <v>2.1718892232885554</v>
      </c>
      <c r="N35">
        <v>-0.476245450515413</v>
      </c>
      <c r="O35">
        <v>-0.40207821981541297</v>
      </c>
      <c r="P35">
        <v>-0.639915850777378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74.172709547614701</v>
      </c>
      <c r="C36">
        <v>63.253448974793834</v>
      </c>
      <c r="D36">
        <v>108.25388781241934</v>
      </c>
      <c r="E36">
        <v>66.27185679784553</v>
      </c>
      <c r="F36">
        <v>69.566869099457165</v>
      </c>
      <c r="G36">
        <v>82.184032836299437</v>
      </c>
      <c r="H36">
        <v>46.712875199010966</v>
      </c>
      <c r="I36">
        <v>48.300000596995233</v>
      </c>
      <c r="J36">
        <v>74.136203183481499</v>
      </c>
      <c r="K36">
        <v>0.62476284325203701</v>
      </c>
      <c r="L36">
        <v>100.22180625</v>
      </c>
      <c r="M36" s="15">
        <f>+'[3]VAR expectations'!C60</f>
        <v>2.2636382290406152</v>
      </c>
      <c r="N36">
        <v>0.107394469558596</v>
      </c>
      <c r="O36">
        <v>0.181561700258596</v>
      </c>
      <c r="P36">
        <v>-0.63541897647370305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74.341060971655168</v>
      </c>
      <c r="C37">
        <v>64.098357828450091</v>
      </c>
      <c r="D37">
        <v>107.15975382370033</v>
      </c>
      <c r="E37">
        <v>65.841453783616643</v>
      </c>
      <c r="F37">
        <v>69.072767804139446</v>
      </c>
      <c r="G37">
        <v>82.070455382228999</v>
      </c>
      <c r="H37">
        <v>46.699129957116703</v>
      </c>
      <c r="I37">
        <v>48.834968279290628</v>
      </c>
      <c r="J37">
        <v>74.384985435127902</v>
      </c>
      <c r="K37">
        <v>0.62706418971656097</v>
      </c>
      <c r="L37">
        <v>99.283556923076901</v>
      </c>
      <c r="M37" s="15">
        <f>+'[3]VAR expectations'!C61</f>
        <v>2.420078349479549</v>
      </c>
      <c r="N37">
        <v>0.19167168196085299</v>
      </c>
      <c r="O37">
        <v>0.26583891266085302</v>
      </c>
      <c r="P37">
        <v>-0.84424428629728698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74.586828837546577</v>
      </c>
      <c r="C38">
        <v>64.806065670032766</v>
      </c>
      <c r="D38">
        <v>106.44583489626099</v>
      </c>
      <c r="E38">
        <v>66.101100807904132</v>
      </c>
      <c r="F38">
        <v>69.01651077744657</v>
      </c>
      <c r="G38">
        <v>82.393205073317759</v>
      </c>
      <c r="H38">
        <v>47.31236304069683</v>
      </c>
      <c r="I38">
        <v>48.810172757743231</v>
      </c>
      <c r="J38">
        <v>74.622625968902398</v>
      </c>
      <c r="K38">
        <v>0.62480056012011398</v>
      </c>
      <c r="L38">
        <v>100.497328787879</v>
      </c>
      <c r="M38" s="15">
        <f>+'[3]VAR expectations'!C62</f>
        <v>2.3348466240519783</v>
      </c>
      <c r="N38">
        <v>-5.2049085292052398E-2</v>
      </c>
      <c r="O38">
        <v>2.2118145407947602E-2</v>
      </c>
      <c r="P38">
        <v>-0.47312000974391899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74.941529851721938</v>
      </c>
      <c r="C39">
        <v>65.527580796623525</v>
      </c>
      <c r="D39">
        <v>105.92448921582768</v>
      </c>
      <c r="E39">
        <v>66.196126733262403</v>
      </c>
      <c r="F39">
        <v>69.020712791843337</v>
      </c>
      <c r="G39">
        <v>81.795408931346856</v>
      </c>
      <c r="H39">
        <v>47.82192796640237</v>
      </c>
      <c r="I39">
        <v>49.301431799587441</v>
      </c>
      <c r="J39">
        <v>74.935702766594403</v>
      </c>
      <c r="K39">
        <v>0.62277821927588894</v>
      </c>
      <c r="L39">
        <v>101.02483030303</v>
      </c>
      <c r="M39" s="15">
        <f>+'[3]VAR expectations'!C63</f>
        <v>2.329046618617225</v>
      </c>
      <c r="N39">
        <v>-0.10989672100029001</v>
      </c>
      <c r="O39">
        <v>-3.5729490300290101E-2</v>
      </c>
      <c r="P39">
        <v>-0.23494015387997499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75.254179637000234</v>
      </c>
      <c r="C40">
        <v>66.024472037774729</v>
      </c>
      <c r="D40">
        <v>105.57840811721701</v>
      </c>
      <c r="E40">
        <v>66.295937195933632</v>
      </c>
      <c r="F40">
        <v>69.109899366080768</v>
      </c>
      <c r="G40">
        <v>81.579240062095309</v>
      </c>
      <c r="H40">
        <v>48.150793169961595</v>
      </c>
      <c r="I40">
        <v>50.696241264590562</v>
      </c>
      <c r="J40">
        <v>75.222425024331002</v>
      </c>
      <c r="K40">
        <v>0.63544061412391895</v>
      </c>
      <c r="L40">
        <v>98.401371874999995</v>
      </c>
      <c r="M40" s="15">
        <f>+'[3]VAR expectations'!C64</f>
        <v>2.5421835321638784</v>
      </c>
      <c r="N40">
        <v>4.4461081233357999E-2</v>
      </c>
      <c r="O40">
        <v>0.118628311933358</v>
      </c>
      <c r="P40">
        <v>-0.41248432355622899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75.297738816460466</v>
      </c>
      <c r="C41">
        <v>66.477450028696524</v>
      </c>
      <c r="D41">
        <v>104.824933539722</v>
      </c>
      <c r="E41">
        <v>66.743553912248004</v>
      </c>
      <c r="F41">
        <v>69.746466956864865</v>
      </c>
      <c r="G41">
        <v>81.929888132991294</v>
      </c>
      <c r="H41">
        <v>48.454084824315494</v>
      </c>
      <c r="I41">
        <v>49.519114793285439</v>
      </c>
      <c r="J41">
        <v>75.346345849726006</v>
      </c>
      <c r="K41">
        <v>0.63124721802930694</v>
      </c>
      <c r="L41">
        <v>95.764499999999998</v>
      </c>
      <c r="M41" s="15">
        <f>+'[3]VAR expectations'!C65</f>
        <v>2.3887461732171329</v>
      </c>
      <c r="N41">
        <v>-0.10760320873382299</v>
      </c>
      <c r="O41">
        <v>-3.3435978033822499E-2</v>
      </c>
      <c r="P41">
        <v>-0.53373753999781803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75.612766960046102</v>
      </c>
      <c r="C42">
        <v>66.969781979819018</v>
      </c>
      <c r="D42">
        <v>104.57345498302668</v>
      </c>
      <c r="E42">
        <v>67.312969333996463</v>
      </c>
      <c r="F42">
        <v>70.264155678332102</v>
      </c>
      <c r="G42">
        <v>81.292515617265437</v>
      </c>
      <c r="H42">
        <v>49.190874966550496</v>
      </c>
      <c r="I42">
        <v>49.812423086994734</v>
      </c>
      <c r="J42">
        <v>75.644267203345706</v>
      </c>
      <c r="K42">
        <v>0.63521138997049398</v>
      </c>
      <c r="L42">
        <v>95.544218181818195</v>
      </c>
      <c r="M42" s="15">
        <f>+'[3]VAR expectations'!C66</f>
        <v>2.197575219813666</v>
      </c>
      <c r="N42">
        <v>-6.9771322688452403E-2</v>
      </c>
      <c r="O42">
        <v>4.3959080115475602E-3</v>
      </c>
      <c r="P42">
        <v>-0.27588602853862099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75.93038974180898</v>
      </c>
      <c r="C43">
        <v>67.546972720173187</v>
      </c>
      <c r="D43">
        <v>104.00485126910768</v>
      </c>
      <c r="E43">
        <v>67.719275637238425</v>
      </c>
      <c r="F43">
        <v>70.752523647107964</v>
      </c>
      <c r="G43">
        <v>81.390202696944797</v>
      </c>
      <c r="H43">
        <v>49.438759815357002</v>
      </c>
      <c r="I43">
        <v>50.456696039898269</v>
      </c>
      <c r="J43">
        <v>75.921693955757405</v>
      </c>
      <c r="K43">
        <v>0.63050936560290005</v>
      </c>
      <c r="L43">
        <v>97.264069696969699</v>
      </c>
      <c r="M43" s="15">
        <f>+'[3]VAR expectations'!C67</f>
        <v>2.507260502799705</v>
      </c>
      <c r="N43">
        <v>-3.3100554934057301E-2</v>
      </c>
      <c r="O43">
        <v>4.1066675765942702E-2</v>
      </c>
      <c r="P43">
        <v>-0.53395229519699206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76.200272982898198</v>
      </c>
      <c r="C44">
        <v>68.106265290499692</v>
      </c>
      <c r="D44">
        <v>103.62955172539132</v>
      </c>
      <c r="E44">
        <v>67.701733001547368</v>
      </c>
      <c r="F44">
        <v>70.680623236959363</v>
      </c>
      <c r="G44">
        <v>81.37289114015006</v>
      </c>
      <c r="H44">
        <v>49.677802174427335</v>
      </c>
      <c r="I44">
        <v>51.504084270436273</v>
      </c>
      <c r="J44">
        <v>76.169552702573995</v>
      </c>
      <c r="K44">
        <v>0.62452206938993704</v>
      </c>
      <c r="L44">
        <v>101.570772307692</v>
      </c>
      <c r="M44" s="15">
        <f>+'[3]VAR expectations'!C68</f>
        <v>2.5370974361013499</v>
      </c>
      <c r="N44">
        <v>-3.6597991744806001E-3</v>
      </c>
      <c r="O44">
        <v>7.0507431525519401E-2</v>
      </c>
      <c r="P44">
        <v>0.26648293587474697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76.359143317211092</v>
      </c>
      <c r="C45">
        <v>68.631855809278491</v>
      </c>
      <c r="D45">
        <v>102.87732125887901</v>
      </c>
      <c r="E45">
        <v>67.638280882766296</v>
      </c>
      <c r="F45">
        <v>70.476850085419599</v>
      </c>
      <c r="G45">
        <v>81.287191199180441</v>
      </c>
      <c r="H45">
        <v>50.250960582956736</v>
      </c>
      <c r="I45">
        <v>52.49002958199663</v>
      </c>
      <c r="J45">
        <v>76.4127360639079</v>
      </c>
      <c r="K45">
        <v>0.62533471852521905</v>
      </c>
      <c r="L45">
        <v>102.354193846154</v>
      </c>
      <c r="M45" s="15">
        <f>+'[3]VAR expectations'!C69</f>
        <v>2.6184554615948845</v>
      </c>
      <c r="N45">
        <v>0.123846023887315</v>
      </c>
      <c r="O45">
        <v>0.198013254587315</v>
      </c>
      <c r="P45">
        <v>0.1786277925958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76.562231444904967</v>
      </c>
      <c r="C46">
        <v>69.203743096177632</v>
      </c>
      <c r="D46">
        <v>102.210003687305</v>
      </c>
      <c r="E46">
        <v>67.646192048352461</v>
      </c>
      <c r="F46">
        <v>70.117000343040502</v>
      </c>
      <c r="G46">
        <v>81.074507725913975</v>
      </c>
      <c r="H46">
        <v>50.981515780265831</v>
      </c>
      <c r="I46">
        <v>53.359156403841801</v>
      </c>
      <c r="J46">
        <v>76.593117304962306</v>
      </c>
      <c r="K46">
        <v>0.62608242577351603</v>
      </c>
      <c r="L46">
        <v>102.09841969697</v>
      </c>
      <c r="M46" s="15">
        <f>+'[3]VAR expectations'!C70</f>
        <v>2.5768443943169923</v>
      </c>
      <c r="N46">
        <v>-1.7196479461776201E-2</v>
      </c>
      <c r="O46">
        <v>5.6970751238223802E-2</v>
      </c>
      <c r="P46">
        <v>-2.5991940710735E-2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77.024679842320936</v>
      </c>
      <c r="C47">
        <v>69.904808947286369</v>
      </c>
      <c r="D47">
        <v>101.65395874619234</v>
      </c>
      <c r="E47">
        <v>67.923169332987072</v>
      </c>
      <c r="F47">
        <v>70.398557801493439</v>
      </c>
      <c r="G47">
        <v>81.151471153310467</v>
      </c>
      <c r="H47">
        <v>51.389293348570995</v>
      </c>
      <c r="I47">
        <v>55.645647706957369</v>
      </c>
      <c r="J47">
        <v>77.013261661305094</v>
      </c>
      <c r="K47">
        <v>0.63653524783139104</v>
      </c>
      <c r="L47">
        <v>100.312145454545</v>
      </c>
      <c r="M47" s="15">
        <f>+'[3]VAR expectations'!C71</f>
        <v>2.4054948631666009</v>
      </c>
      <c r="N47">
        <v>0.12601811073305499</v>
      </c>
      <c r="O47">
        <v>0.200185341433055</v>
      </c>
      <c r="P47">
        <v>0.92815784020214298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77.519231176123768</v>
      </c>
      <c r="C48">
        <v>70.711753850316711</v>
      </c>
      <c r="D48">
        <v>101.22455082202934</v>
      </c>
      <c r="E48">
        <v>68.690840572395459</v>
      </c>
      <c r="F48">
        <v>71.390648862586374</v>
      </c>
      <c r="G48">
        <v>80.604661889790592</v>
      </c>
      <c r="H48">
        <v>52.151755180716435</v>
      </c>
      <c r="I48">
        <v>56.449023554836003</v>
      </c>
      <c r="J48">
        <v>77.4835605576191</v>
      </c>
      <c r="K48">
        <v>0.63627996722981495</v>
      </c>
      <c r="L48">
        <v>100.67795468750001</v>
      </c>
      <c r="M48" s="15">
        <f>+'[3]VAR expectations'!C72</f>
        <v>2.3903185646503933</v>
      </c>
      <c r="N48">
        <v>-2.56431154689747E-2</v>
      </c>
      <c r="O48">
        <v>4.8524115231025303E-2</v>
      </c>
      <c r="P48">
        <v>0.47823727601545402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77.860319039714469</v>
      </c>
      <c r="C49">
        <v>71.482542507943307</v>
      </c>
      <c r="D49">
        <v>100.61472786687166</v>
      </c>
      <c r="E49">
        <v>68.823685139347134</v>
      </c>
      <c r="F49">
        <v>71.584679046031297</v>
      </c>
      <c r="G49">
        <v>80.155897308057135</v>
      </c>
      <c r="H49">
        <v>52.541890038128237</v>
      </c>
      <c r="I49">
        <v>57.440858347081736</v>
      </c>
      <c r="J49">
        <v>77.920531564470096</v>
      </c>
      <c r="K49">
        <v>0.63486613605504305</v>
      </c>
      <c r="L49">
        <v>101.57767076923101</v>
      </c>
      <c r="M49" s="15">
        <f>+'[3]VAR expectations'!C73</f>
        <v>2.2621936183541234</v>
      </c>
      <c r="N49">
        <v>0.129898398777542</v>
      </c>
      <c r="O49">
        <v>0.204065629477542</v>
      </c>
      <c r="P49">
        <v>-0.14649886138969101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78.392641647666437</v>
      </c>
      <c r="C50">
        <v>72.329300985387832</v>
      </c>
      <c r="D50">
        <v>100.07117850174036</v>
      </c>
      <c r="E50">
        <v>68.937238071393878</v>
      </c>
      <c r="F50">
        <v>71.487850253262195</v>
      </c>
      <c r="G50">
        <v>80.839757460655179</v>
      </c>
      <c r="H50">
        <v>52.691778613495238</v>
      </c>
      <c r="I50">
        <v>60.29713430465074</v>
      </c>
      <c r="J50">
        <v>78.425906672633303</v>
      </c>
      <c r="K50">
        <v>0.65241229516620303</v>
      </c>
      <c r="L50">
        <v>99.734880303030295</v>
      </c>
      <c r="M50" s="15">
        <f>+'[3]VAR expectations'!C74</f>
        <v>2.2761535969954032</v>
      </c>
      <c r="N50">
        <v>0.16817704362298699</v>
      </c>
      <c r="O50">
        <v>0.242344274322987</v>
      </c>
      <c r="P50">
        <v>9.7494215027575507E-2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78.665010931187126</v>
      </c>
      <c r="C51">
        <v>72.762316997852096</v>
      </c>
      <c r="D51">
        <v>99.588196019148654</v>
      </c>
      <c r="E51">
        <v>69.148767011941871</v>
      </c>
      <c r="F51">
        <v>71.487766545663206</v>
      </c>
      <c r="G51">
        <v>80.757559035267505</v>
      </c>
      <c r="H51">
        <v>53.781965184105701</v>
      </c>
      <c r="I51">
        <v>62.213078942746201</v>
      </c>
      <c r="J51">
        <v>78.649909557667399</v>
      </c>
      <c r="K51">
        <v>0.65446219885289902</v>
      </c>
      <c r="L51">
        <v>99.510515384615402</v>
      </c>
      <c r="M51" s="15">
        <f>+'[3]VAR expectations'!C75</f>
        <v>2.3383760137173226</v>
      </c>
      <c r="N51">
        <v>7.5868803792979E-2</v>
      </c>
      <c r="O51">
        <v>0.150036034492979</v>
      </c>
      <c r="P51">
        <v>-2.13275836011632E-2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79.028056404198935</v>
      </c>
      <c r="C52">
        <v>73.385241775605436</v>
      </c>
      <c r="D52">
        <v>99.218511679403036</v>
      </c>
      <c r="E52">
        <v>69.45623571986664</v>
      </c>
      <c r="F52">
        <v>71.887123964158533</v>
      </c>
      <c r="G52">
        <v>80.784700865799962</v>
      </c>
      <c r="H52">
        <v>54.03149407080047</v>
      </c>
      <c r="I52">
        <v>63.507502819250838</v>
      </c>
      <c r="J52">
        <v>78.987937170275103</v>
      </c>
      <c r="K52">
        <v>0.66091908724602799</v>
      </c>
      <c r="L52">
        <v>98.760283076923102</v>
      </c>
      <c r="M52" s="15">
        <f>+'[3]VAR expectations'!C76</f>
        <v>2.4666666666666477</v>
      </c>
      <c r="N52">
        <v>1.9745555074244799E-2</v>
      </c>
      <c r="O52">
        <v>9.3912785774244806E-2</v>
      </c>
      <c r="P52">
        <v>-2.3869128172260699E-2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79.616100225000537</v>
      </c>
      <c r="C53">
        <v>74.005587596813299</v>
      </c>
      <c r="D53">
        <v>98.648450713260772</v>
      </c>
      <c r="E53">
        <v>69.890091454662027</v>
      </c>
      <c r="F53">
        <v>72.381509199604935</v>
      </c>
      <c r="G53">
        <v>80.34836187784731</v>
      </c>
      <c r="H53">
        <v>54.731568838694962</v>
      </c>
      <c r="I53">
        <v>67.671668114273629</v>
      </c>
      <c r="J53">
        <v>79.683027904218903</v>
      </c>
      <c r="K53">
        <v>0.66091000873885497</v>
      </c>
      <c r="L53">
        <v>100.279141538462</v>
      </c>
      <c r="M53" s="15">
        <f>+'[3]VAR expectations'!C77</f>
        <v>2.4000000000000123</v>
      </c>
      <c r="N53">
        <v>0.50896991166387096</v>
      </c>
      <c r="O53">
        <v>0.58313714236387104</v>
      </c>
      <c r="P53">
        <v>2.6065996636607101E-2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80.274543398642138</v>
      </c>
      <c r="C54">
        <v>74.554497690551145</v>
      </c>
      <c r="D54">
        <v>98.578686658306196</v>
      </c>
      <c r="E54">
        <v>71.28566420947719</v>
      </c>
      <c r="F54">
        <v>73.98647686103574</v>
      </c>
      <c r="G54">
        <v>80.810976599807603</v>
      </c>
      <c r="H54">
        <v>55.632163969531767</v>
      </c>
      <c r="I54">
        <v>70.050693831846061</v>
      </c>
      <c r="J54">
        <v>80.310650551705393</v>
      </c>
      <c r="K54">
        <v>0.65793897350294706</v>
      </c>
      <c r="L54">
        <v>102.332647692308</v>
      </c>
      <c r="M54" s="15">
        <f>+'[3]VAR expectations'!C78</f>
        <v>2.2999999999999843</v>
      </c>
      <c r="N54">
        <v>0.13162346630496899</v>
      </c>
      <c r="O54">
        <v>0.20579069700496899</v>
      </c>
      <c r="P54">
        <v>4.9794569166154497E-2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80.800427132908808</v>
      </c>
      <c r="C55">
        <v>75.45655110599553</v>
      </c>
      <c r="D55">
        <v>98.558511823423132</v>
      </c>
      <c r="E55">
        <v>72.057911840220498</v>
      </c>
      <c r="F55">
        <v>74.869558606072317</v>
      </c>
      <c r="G55">
        <v>81.596468188586229</v>
      </c>
      <c r="H55">
        <v>56.18733241401997</v>
      </c>
      <c r="I55">
        <v>69.842554668121636</v>
      </c>
      <c r="J55">
        <v>80.772926685114896</v>
      </c>
      <c r="K55">
        <v>0.65250611822025395</v>
      </c>
      <c r="L55">
        <v>103.713430769231</v>
      </c>
      <c r="M55" s="15">
        <f>+'[3]VAR expectations'!C79</f>
        <v>2.4333333333333633</v>
      </c>
      <c r="N55">
        <v>-0.15509984702003299</v>
      </c>
      <c r="O55">
        <v>-8.0932616320032902E-2</v>
      </c>
      <c r="P55">
        <v>0.185573520441731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81.294136614278443</v>
      </c>
      <c r="C56">
        <v>76.094739690910629</v>
      </c>
      <c r="D56">
        <v>98.47129779554335</v>
      </c>
      <c r="E56">
        <v>72.551116046126467</v>
      </c>
      <c r="F56">
        <v>75.238861025654742</v>
      </c>
      <c r="G56">
        <v>81.666506141788105</v>
      </c>
      <c r="H56">
        <v>57.265354611590134</v>
      </c>
      <c r="I56">
        <v>71.130011966348434</v>
      </c>
      <c r="J56">
        <v>81.261101947310394</v>
      </c>
      <c r="K56">
        <v>0.64120008324831701</v>
      </c>
      <c r="L56">
        <v>104.730033846154</v>
      </c>
      <c r="M56" s="15">
        <f>+'[3]VAR expectations'!C80</f>
        <v>2.5333333333333421</v>
      </c>
      <c r="N56">
        <v>3.5987723627972999E-2</v>
      </c>
      <c r="O56">
        <v>0.110154954327973</v>
      </c>
      <c r="P56">
        <v>0.40345245063278001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81.649031387251839</v>
      </c>
      <c r="C57">
        <v>76.642439842309599</v>
      </c>
      <c r="D57">
        <v>98.27222961311297</v>
      </c>
      <c r="E57">
        <v>73.298449255409636</v>
      </c>
      <c r="F57">
        <v>76.21629158125377</v>
      </c>
      <c r="G57">
        <v>81.349850482133036</v>
      </c>
      <c r="H57">
        <v>57.844587420816737</v>
      </c>
      <c r="I57">
        <v>71.155158926903297</v>
      </c>
      <c r="J57">
        <v>81.723611069312398</v>
      </c>
      <c r="K57">
        <v>0.65071749491976905</v>
      </c>
      <c r="L57">
        <v>104.239373846154</v>
      </c>
      <c r="M57" s="15">
        <f>+'[3]VAR expectations'!C81</f>
        <v>2.4666666666666814</v>
      </c>
      <c r="N57">
        <v>6.6184461275220999E-2</v>
      </c>
      <c r="O57">
        <v>0.14035169197522099</v>
      </c>
      <c r="P57">
        <v>0.53149722132791299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81.704607654814708</v>
      </c>
      <c r="C58">
        <v>77.223121173857692</v>
      </c>
      <c r="D58">
        <v>97.540757780387196</v>
      </c>
      <c r="E58">
        <v>73.551211875669708</v>
      </c>
      <c r="F58">
        <v>76.301462750829728</v>
      </c>
      <c r="G58">
        <v>81.72889313339634</v>
      </c>
      <c r="H58">
        <v>58.326849850489261</v>
      </c>
      <c r="I58">
        <v>70.482015847187327</v>
      </c>
      <c r="J58">
        <v>81.738467516625803</v>
      </c>
      <c r="K58">
        <v>0.65423212547982301</v>
      </c>
      <c r="L58">
        <v>104.41271846153801</v>
      </c>
      <c r="M58" s="15">
        <f>+'[3]VAR expectations'!C82</f>
        <v>2.4999999999999987</v>
      </c>
      <c r="N58">
        <v>-0.192497890304971</v>
      </c>
      <c r="O58">
        <v>-0.11833065960497099</v>
      </c>
      <c r="P58">
        <v>0.48016313644160602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82.511309283290998</v>
      </c>
      <c r="C59">
        <v>77.976239961535896</v>
      </c>
      <c r="D59">
        <v>97.458073236420788</v>
      </c>
      <c r="E59">
        <v>75.219909961360401</v>
      </c>
      <c r="F59">
        <v>78.596895992463644</v>
      </c>
      <c r="G59">
        <v>81.927561633565134</v>
      </c>
      <c r="H59">
        <v>58.859086778539002</v>
      </c>
      <c r="I59">
        <v>73.077897898930431</v>
      </c>
      <c r="J59">
        <v>82.461793025689204</v>
      </c>
      <c r="K59">
        <v>0.67024506683642904</v>
      </c>
      <c r="L59">
        <v>101.594292424242</v>
      </c>
      <c r="M59" s="15">
        <f>+'[3]VAR expectations'!C83</f>
        <v>2.6999999999999864</v>
      </c>
      <c r="N59">
        <v>0.13309313785822299</v>
      </c>
      <c r="O59">
        <v>0.207260368558223</v>
      </c>
      <c r="P59">
        <v>0.38278912589226799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83.213165048215501</v>
      </c>
      <c r="C60">
        <v>78.585583345258712</v>
      </c>
      <c r="D60">
        <v>96.951612843171105</v>
      </c>
      <c r="E60">
        <v>75.989538701114043</v>
      </c>
      <c r="F60">
        <v>79.533800216648004</v>
      </c>
      <c r="G60">
        <v>81.95876149429904</v>
      </c>
      <c r="H60">
        <v>59.544386612833307</v>
      </c>
      <c r="I60">
        <v>77.885303287782605</v>
      </c>
      <c r="J60">
        <v>83.209967001007399</v>
      </c>
      <c r="K60">
        <v>0.69296241200498199</v>
      </c>
      <c r="L60">
        <v>95.934953846153803</v>
      </c>
      <c r="M60" s="15">
        <f>+'[3]VAR expectations'!C84</f>
        <v>3.3233333333333448</v>
      </c>
      <c r="N60">
        <v>0.39150622289179698</v>
      </c>
      <c r="O60">
        <v>0.46567345359179702</v>
      </c>
      <c r="P60">
        <v>0.55036510318335696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84.399628693778439</v>
      </c>
      <c r="C61">
        <v>79.538236375480466</v>
      </c>
      <c r="D61">
        <v>96.709639038503212</v>
      </c>
      <c r="E61">
        <v>78.381976095816569</v>
      </c>
      <c r="F61">
        <v>82.317852262575002</v>
      </c>
      <c r="G61">
        <v>84.883190472514002</v>
      </c>
      <c r="H61">
        <v>60.342091125856001</v>
      </c>
      <c r="I61">
        <v>82.676149252880194</v>
      </c>
      <c r="J61">
        <v>84.478814549691194</v>
      </c>
      <c r="K61">
        <v>0.72645325089660395</v>
      </c>
      <c r="L61">
        <v>93.071035384615399</v>
      </c>
      <c r="M61" s="15">
        <f>+'[3]VAR expectations'!C85</f>
        <v>4.1266666666667335</v>
      </c>
      <c r="N61">
        <v>0.50332771589596204</v>
      </c>
      <c r="O61">
        <v>0.57749494659596201</v>
      </c>
      <c r="P61">
        <v>-0.77297461816662505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85.622629532753933</v>
      </c>
      <c r="C62">
        <v>80.567896190510695</v>
      </c>
      <c r="D62">
        <v>96.458973694112458</v>
      </c>
      <c r="E62">
        <v>80.821169429250986</v>
      </c>
      <c r="F62">
        <v>85.573695980062098</v>
      </c>
      <c r="G62">
        <v>85.076930976275833</v>
      </c>
      <c r="H62">
        <v>60.969199805102427</v>
      </c>
      <c r="I62">
        <v>87.76759784509926</v>
      </c>
      <c r="J62">
        <v>85.642106492376598</v>
      </c>
      <c r="K62">
        <v>0.74434298026276902</v>
      </c>
      <c r="L62">
        <v>91.695078787878799</v>
      </c>
      <c r="M62" s="15">
        <f>+'[3]VAR expectations'!C86</f>
        <v>4.3404589371979831</v>
      </c>
      <c r="N62">
        <v>0.34061234776817101</v>
      </c>
      <c r="O62">
        <v>0.41477957846817098</v>
      </c>
      <c r="P62">
        <v>-1.1297776898834899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85.71584939148363</v>
      </c>
      <c r="C63">
        <v>81.447767859682358</v>
      </c>
      <c r="D63">
        <v>95.356926314138448</v>
      </c>
      <c r="E63">
        <v>81.793418511728603</v>
      </c>
      <c r="F63">
        <v>86.792930786900726</v>
      </c>
      <c r="G63">
        <v>85.181227783040825</v>
      </c>
      <c r="H63">
        <v>61.653546773515608</v>
      </c>
      <c r="I63">
        <v>85.991091563340817</v>
      </c>
      <c r="J63">
        <v>85.642642609031896</v>
      </c>
      <c r="K63">
        <v>0.73715014401478896</v>
      </c>
      <c r="L63">
        <v>83.942380303030305</v>
      </c>
      <c r="M63" s="15">
        <f>+'[3]VAR expectations'!C87</f>
        <v>1.5441543026706288</v>
      </c>
      <c r="N63">
        <v>-0.330886647857428</v>
      </c>
      <c r="O63">
        <v>-0.25671941715742802</v>
      </c>
      <c r="P63">
        <v>-2.2975232530535599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85.677461973192294</v>
      </c>
      <c r="C64">
        <v>81.83736265772194</v>
      </c>
      <c r="D64">
        <v>94.827625572981859</v>
      </c>
      <c r="E64">
        <v>83.009858993984736</v>
      </c>
      <c r="F64">
        <v>87.992383916653125</v>
      </c>
      <c r="G64">
        <v>87.197950542906298</v>
      </c>
      <c r="H64">
        <v>62.259308618652305</v>
      </c>
      <c r="I64">
        <v>82.010222276348131</v>
      </c>
      <c r="J64">
        <v>85.711492574024106</v>
      </c>
      <c r="K64">
        <v>0.74048679134173201</v>
      </c>
      <c r="L64">
        <v>77.790968750000005</v>
      </c>
      <c r="M64" s="15">
        <f>+'[3]VAR expectations'!C88</f>
        <v>1.4821164021163924</v>
      </c>
      <c r="N64">
        <v>-0.40031537387173599</v>
      </c>
      <c r="O64">
        <v>-0.32614814317173602</v>
      </c>
      <c r="P64">
        <v>-3.8884712609516199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86.159767486521517</v>
      </c>
      <c r="C65">
        <v>82.270942198526996</v>
      </c>
      <c r="D65">
        <v>95.654937759462271</v>
      </c>
      <c r="E65">
        <v>83.220861323990405</v>
      </c>
      <c r="F65">
        <v>88.308925491443475</v>
      </c>
      <c r="G65">
        <v>87.210684302187232</v>
      </c>
      <c r="H65">
        <v>62.310963321171236</v>
      </c>
      <c r="I65">
        <v>82.03639019206787</v>
      </c>
      <c r="J65">
        <v>86.237092457040106</v>
      </c>
      <c r="K65">
        <v>0.72428991015393396</v>
      </c>
      <c r="L65">
        <v>81.3092738461538</v>
      </c>
      <c r="M65" s="15">
        <f>+'[3]VAR expectations'!C89</f>
        <v>1.8160783232406086</v>
      </c>
      <c r="N65">
        <v>-8.9648191301250103E-3</v>
      </c>
      <c r="O65">
        <v>6.5202411569874996E-2</v>
      </c>
      <c r="P65">
        <v>-4.0054513646633803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86.924358933409735</v>
      </c>
      <c r="C66">
        <v>82.818965296592239</v>
      </c>
      <c r="D66">
        <v>96.748856379479079</v>
      </c>
      <c r="E66">
        <v>83.273957527181835</v>
      </c>
      <c r="F66">
        <v>87.773257178183158</v>
      </c>
      <c r="G66">
        <v>88.565677734638271</v>
      </c>
      <c r="H66">
        <v>63.382794403733129</v>
      </c>
      <c r="I66">
        <v>84.438220858681674</v>
      </c>
      <c r="J66">
        <v>86.917150600452104</v>
      </c>
      <c r="K66">
        <v>0.72110977526947995</v>
      </c>
      <c r="L66">
        <v>82.911893939393906</v>
      </c>
      <c r="M66" s="15">
        <f>+'[3]VAR expectations'!C90</f>
        <v>1.8710162025955688</v>
      </c>
      <c r="N66">
        <v>0.10719637667922501</v>
      </c>
      <c r="O66">
        <v>0.18136360737922499</v>
      </c>
      <c r="P66">
        <v>-4.0528010025245704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87.5342803421849</v>
      </c>
      <c r="C67">
        <v>83.410497069444077</v>
      </c>
      <c r="D67">
        <v>97.120889131626768</v>
      </c>
      <c r="E67">
        <v>83.844235429470061</v>
      </c>
      <c r="F67">
        <v>88.325906953704035</v>
      </c>
      <c r="G67">
        <v>89.287832456349449</v>
      </c>
      <c r="H67">
        <v>64.12562471093959</v>
      </c>
      <c r="I67">
        <v>86.397372732920573</v>
      </c>
      <c r="J67">
        <v>87.4493209434481</v>
      </c>
      <c r="K67">
        <v>0.73402521386714703</v>
      </c>
      <c r="L67">
        <v>80.353062121212105</v>
      </c>
      <c r="M67" s="15">
        <f>+'[3]VAR expectations'!C91</f>
        <v>2.0075486250838721</v>
      </c>
      <c r="N67">
        <v>6.0286186011534001E-2</v>
      </c>
      <c r="O67">
        <v>0.13445341671153399</v>
      </c>
      <c r="P67">
        <v>-4.2009004292882901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88.431031877769541</v>
      </c>
      <c r="C68">
        <v>84.379845294757033</v>
      </c>
      <c r="D68">
        <v>97.46249285798784</v>
      </c>
      <c r="E68">
        <v>85.139204209326067</v>
      </c>
      <c r="F68">
        <v>89.453889233907958</v>
      </c>
      <c r="G68">
        <v>89.55948161358792</v>
      </c>
      <c r="H68">
        <v>66.65614687289947</v>
      </c>
      <c r="I68">
        <v>87.699441945564502</v>
      </c>
      <c r="J68">
        <v>88.500801064420997</v>
      </c>
      <c r="K68">
        <v>0.74071209632276902</v>
      </c>
      <c r="L68">
        <v>79.543812500000001</v>
      </c>
      <c r="M68" s="15">
        <f>+'[3]VAR expectations'!C92</f>
        <v>2.301390043398611</v>
      </c>
      <c r="N68">
        <v>0.113459520601719</v>
      </c>
      <c r="O68">
        <v>0.18762675130171899</v>
      </c>
      <c r="P68">
        <v>-3.9181667388921801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89.149934812529636</v>
      </c>
      <c r="C69">
        <v>85.19766774062137</v>
      </c>
      <c r="D69">
        <v>97.794868863466164</v>
      </c>
      <c r="E69">
        <v>85.883704871270552</v>
      </c>
      <c r="F69">
        <v>90.264510868737375</v>
      </c>
      <c r="G69">
        <v>90.181242618673039</v>
      </c>
      <c r="H69">
        <v>67.322785146330645</v>
      </c>
      <c r="I69">
        <v>88.993373803287227</v>
      </c>
      <c r="J69">
        <v>89.214831489878904</v>
      </c>
      <c r="K69">
        <v>0.75220901159416698</v>
      </c>
      <c r="L69">
        <v>79.899689230769198</v>
      </c>
      <c r="M69" s="15">
        <f>+'[3]VAR expectations'!C93</f>
        <v>2.6505886564059562</v>
      </c>
      <c r="N69">
        <v>8.3997445272187998E-2</v>
      </c>
      <c r="O69">
        <v>0.158164675972188</v>
      </c>
      <c r="P69">
        <v>-3.17339933641209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89.638295414103894</v>
      </c>
      <c r="C70">
        <v>85.933661660452927</v>
      </c>
      <c r="D70">
        <v>97.975057292701365</v>
      </c>
      <c r="E70">
        <v>86.951847891716668</v>
      </c>
      <c r="F70">
        <v>91.446251730242992</v>
      </c>
      <c r="G70">
        <v>90.863416432398594</v>
      </c>
      <c r="H70">
        <v>68.00156609501316</v>
      </c>
      <c r="I70">
        <v>88.087477417452121</v>
      </c>
      <c r="J70">
        <v>89.605653577519405</v>
      </c>
      <c r="K70">
        <v>0.74996855794348305</v>
      </c>
      <c r="L70">
        <v>81.7654454545455</v>
      </c>
      <c r="M70" s="15">
        <f>+'[3]VAR expectations'!C94</f>
        <v>2.8352346264846378</v>
      </c>
      <c r="N70">
        <v>-0.20118118393713599</v>
      </c>
      <c r="O70">
        <v>-0.12701395323713599</v>
      </c>
      <c r="P70">
        <v>-2.73092340475799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90.489806532722284</v>
      </c>
      <c r="C71">
        <v>86.591556236143433</v>
      </c>
      <c r="D71">
        <v>98.369289880401539</v>
      </c>
      <c r="E71">
        <v>88.591672796838665</v>
      </c>
      <c r="F71">
        <v>93.134605850098481</v>
      </c>
      <c r="G71">
        <v>92.782141991019401</v>
      </c>
      <c r="H71">
        <v>69.334171562568727</v>
      </c>
      <c r="I71">
        <v>90.420085041487027</v>
      </c>
      <c r="J71">
        <v>90.401174536794699</v>
      </c>
      <c r="K71">
        <v>0.76582631113469501</v>
      </c>
      <c r="L71">
        <v>80.312759090909097</v>
      </c>
      <c r="M71" s="15">
        <f>+'[3]VAR expectations'!C95</f>
        <v>3.2715136112828467</v>
      </c>
      <c r="N71">
        <v>0.12045729937871</v>
      </c>
      <c r="O71">
        <v>0.19462453007871</v>
      </c>
      <c r="P71">
        <v>-2.6326610192867599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92.028244186690657</v>
      </c>
      <c r="C72">
        <v>87.912961525701306</v>
      </c>
      <c r="D72">
        <v>99.170309965127856</v>
      </c>
      <c r="E72">
        <v>90.01239006780493</v>
      </c>
      <c r="F72">
        <v>94.438455935868873</v>
      </c>
      <c r="G72">
        <v>93.157844239158862</v>
      </c>
      <c r="H72">
        <v>71.802039752437835</v>
      </c>
      <c r="I72">
        <v>95.633515708901768</v>
      </c>
      <c r="J72">
        <v>92.119634337528296</v>
      </c>
      <c r="K72">
        <v>0.78215412173038701</v>
      </c>
      <c r="L72">
        <v>80.801396874999995</v>
      </c>
      <c r="M72" s="15">
        <f>+'[3]VAR expectations'!C96</f>
        <v>3.5419702495573993</v>
      </c>
      <c r="N72">
        <v>0.48590279039159701</v>
      </c>
      <c r="O72">
        <v>0.56007002109159698</v>
      </c>
      <c r="P72">
        <v>-2.66449364765087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93.071537173074205</v>
      </c>
      <c r="C73">
        <v>89.053937386388967</v>
      </c>
      <c r="D73">
        <v>99.269251108453304</v>
      </c>
      <c r="E73">
        <v>91.677962595241866</v>
      </c>
      <c r="F73">
        <v>95.451432699391532</v>
      </c>
      <c r="G73">
        <v>96.631616560365956</v>
      </c>
      <c r="H73">
        <v>74.990931516117897</v>
      </c>
      <c r="I73">
        <v>98.193881877671586</v>
      </c>
      <c r="J73">
        <v>93.117980733893603</v>
      </c>
      <c r="K73">
        <v>0.80092941699513398</v>
      </c>
      <c r="L73">
        <v>79.449792307692306</v>
      </c>
      <c r="M73" s="15">
        <f>+'[3]VAR expectations'!C97</f>
        <v>3.375212504142874</v>
      </c>
      <c r="N73">
        <v>0.15802561969294401</v>
      </c>
      <c r="O73">
        <v>0.23219285039294399</v>
      </c>
      <c r="P73">
        <v>-3.6923686917241501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93.884446534012497</v>
      </c>
      <c r="C74">
        <v>89.712916519954874</v>
      </c>
      <c r="D74">
        <v>99.557412850712694</v>
      </c>
      <c r="E74">
        <v>93.237254578307329</v>
      </c>
      <c r="F74">
        <v>97.154986859973405</v>
      </c>
      <c r="G74">
        <v>97.117805825586743</v>
      </c>
      <c r="H74">
        <v>76.5096695707972</v>
      </c>
      <c r="I74">
        <v>100.1604475172855</v>
      </c>
      <c r="J74">
        <v>93.836960575227906</v>
      </c>
      <c r="K74">
        <v>0.81113157519398005</v>
      </c>
      <c r="L74">
        <v>79.238960606060601</v>
      </c>
      <c r="M74" s="15">
        <f>+'[3]VAR expectations'!C98</f>
        <v>3.4898805472145966</v>
      </c>
      <c r="N74">
        <v>8.0707843504520996E-2</v>
      </c>
      <c r="O74">
        <v>0.15487507420452101</v>
      </c>
      <c r="P74">
        <v>-3.8113352655733399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94.672701012728041</v>
      </c>
      <c r="C75">
        <v>90.27325636706091</v>
      </c>
      <c r="D75">
        <v>99.989176390334805</v>
      </c>
      <c r="E75">
        <v>93.532434726480631</v>
      </c>
      <c r="F75">
        <v>97.130985651973205</v>
      </c>
      <c r="G75">
        <v>97.517106437662491</v>
      </c>
      <c r="H75">
        <v>77.876682761344171</v>
      </c>
      <c r="I75">
        <v>104.67338962594435</v>
      </c>
      <c r="J75">
        <v>94.592241978636096</v>
      </c>
      <c r="K75">
        <v>0.80216568317818704</v>
      </c>
      <c r="L75">
        <v>80.333807692307701</v>
      </c>
      <c r="M75" s="15">
        <f>+'[3]VAR expectations'!C99</f>
        <v>3.2213697643305159</v>
      </c>
      <c r="N75">
        <v>0.30719528953493203</v>
      </c>
      <c r="O75">
        <v>0.381362520234932</v>
      </c>
      <c r="P75">
        <v>-3.7259827472787999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95.22082326467013</v>
      </c>
      <c r="C76">
        <v>90.990443631636722</v>
      </c>
      <c r="D76">
        <v>100.268582137114</v>
      </c>
      <c r="E76">
        <v>94.339795092395562</v>
      </c>
      <c r="F76">
        <v>98.059602025689969</v>
      </c>
      <c r="G76">
        <v>98.45527556140577</v>
      </c>
      <c r="H76">
        <v>78.297777300890871</v>
      </c>
      <c r="I76">
        <v>104.58868218540734</v>
      </c>
      <c r="J76">
        <v>95.306861307888099</v>
      </c>
      <c r="K76">
        <v>0.79835418708710004</v>
      </c>
      <c r="L76">
        <v>81.185307692307703</v>
      </c>
      <c r="M76" s="15">
        <f>+'[3]VAR expectations'!C100</f>
        <v>2.6732813585155433</v>
      </c>
      <c r="N76">
        <v>-1.7993954083179501E-2</v>
      </c>
      <c r="O76">
        <v>5.6173276616820499E-2</v>
      </c>
      <c r="P76">
        <v>-3.4364011024488899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95.661802206846929</v>
      </c>
      <c r="C77">
        <v>91.874675365239057</v>
      </c>
      <c r="D77">
        <v>99.992921895204674</v>
      </c>
      <c r="E77">
        <v>95.203027544697804</v>
      </c>
      <c r="F77">
        <v>98.6001440935039</v>
      </c>
      <c r="G77">
        <v>98.345072870355821</v>
      </c>
      <c r="H77">
        <v>80.928781938447301</v>
      </c>
      <c r="I77">
        <v>104.38446611431067</v>
      </c>
      <c r="J77">
        <v>95.6961338865122</v>
      </c>
      <c r="K77">
        <v>0.78803170707853898</v>
      </c>
      <c r="L77">
        <v>83.181383076923098</v>
      </c>
      <c r="M77" s="15">
        <f>+'[3]VAR expectations'!C101</f>
        <v>2.7328072825683152</v>
      </c>
      <c r="N77">
        <v>-0.117803824131139</v>
      </c>
      <c r="O77">
        <v>-4.3636593431138598E-2</v>
      </c>
      <c r="P77">
        <v>-2.9941883663133302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96.159764357311701</v>
      </c>
      <c r="C78">
        <v>92.663313668231197</v>
      </c>
      <c r="D78">
        <v>100.06939516775917</v>
      </c>
      <c r="E78">
        <v>96.119999589224037</v>
      </c>
      <c r="F78">
        <v>99.226076969181989</v>
      </c>
      <c r="G78">
        <v>98.889201447550008</v>
      </c>
      <c r="H78">
        <v>82.976586647653633</v>
      </c>
      <c r="I78">
        <v>103.68389353012033</v>
      </c>
      <c r="J78">
        <v>96.116384333041793</v>
      </c>
      <c r="K78">
        <v>0.78634969678226596</v>
      </c>
      <c r="L78">
        <v>84.087635384615396</v>
      </c>
      <c r="M78" s="15">
        <f>+'[3]VAR expectations'!C102</f>
        <v>2.6338769922366603</v>
      </c>
      <c r="N78">
        <v>-0.14476976560714899</v>
      </c>
      <c r="O78">
        <v>-7.0602534907149003E-2</v>
      </c>
      <c r="P78">
        <v>-2.5402756353009699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97.162653803946355</v>
      </c>
      <c r="C79">
        <v>93.826505688738777</v>
      </c>
      <c r="D79">
        <v>100.41599195262866</v>
      </c>
      <c r="E79">
        <v>97.577211803717262</v>
      </c>
      <c r="F79">
        <v>100.72036330936733</v>
      </c>
      <c r="G79">
        <v>99.479471053381658</v>
      </c>
      <c r="H79">
        <v>84.635240939770767</v>
      </c>
      <c r="I79">
        <v>105.58542270502367</v>
      </c>
      <c r="J79">
        <v>97.112720884945304</v>
      </c>
      <c r="K79">
        <v>0.78628976005266804</v>
      </c>
      <c r="L79">
        <v>83.635050000000007</v>
      </c>
      <c r="M79" s="15">
        <f>+'[3]VAR expectations'!C103</f>
        <v>2.8395493192289751</v>
      </c>
      <c r="N79">
        <v>9.5853208781249005E-2</v>
      </c>
      <c r="O79">
        <v>0.17002043948124901</v>
      </c>
      <c r="P79">
        <v>-2.5755448966391201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97.878198117782802</v>
      </c>
      <c r="C80">
        <v>94.497653745081209</v>
      </c>
      <c r="D80">
        <v>100.25492973926434</v>
      </c>
      <c r="E80">
        <v>98.933201242921896</v>
      </c>
      <c r="F80">
        <v>101.83120583213734</v>
      </c>
      <c r="G80">
        <v>101.77750637857532</v>
      </c>
      <c r="H80">
        <v>85.719773629560336</v>
      </c>
      <c r="I80">
        <v>108.311567248735</v>
      </c>
      <c r="J80">
        <v>97.939333014318194</v>
      </c>
      <c r="K80">
        <v>0.80702535396044905</v>
      </c>
      <c r="L80">
        <v>80.442884375000006</v>
      </c>
      <c r="M80" s="15">
        <f>+'[3]VAR expectations'!C104</f>
        <v>2.7984394444998073</v>
      </c>
      <c r="N80">
        <v>0.167292821775615</v>
      </c>
      <c r="O80">
        <v>0.241460052475615</v>
      </c>
      <c r="P80">
        <v>-2.8419737654058799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98.251372438668128</v>
      </c>
      <c r="C81">
        <v>95.046526053248726</v>
      </c>
      <c r="D81">
        <v>100.27979228325201</v>
      </c>
      <c r="E81">
        <v>99.859663750343984</v>
      </c>
      <c r="F81">
        <v>102.755031450917</v>
      </c>
      <c r="G81">
        <v>101.83655298638966</v>
      </c>
      <c r="H81">
        <v>87.210874562261736</v>
      </c>
      <c r="I81">
        <v>107.83193843567666</v>
      </c>
      <c r="J81">
        <v>98.271548022740802</v>
      </c>
      <c r="K81">
        <v>0.80061988410660201</v>
      </c>
      <c r="L81">
        <v>80.515092307692299</v>
      </c>
      <c r="M81" s="15">
        <f>+'[3]VAR expectations'!C105</f>
        <v>2.5464188172083313</v>
      </c>
      <c r="N81">
        <v>-0.120433532199784</v>
      </c>
      <c r="O81">
        <v>-4.6266301499783898E-2</v>
      </c>
      <c r="P81">
        <v>-2.8346755754790398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98.752870712781245</v>
      </c>
      <c r="C82">
        <v>95.572928203063839</v>
      </c>
      <c r="D82">
        <v>100.44627437791034</v>
      </c>
      <c r="E82">
        <v>100.64150849939934</v>
      </c>
      <c r="F82">
        <v>103.29674276487965</v>
      </c>
      <c r="G82">
        <v>102.71401526313166</v>
      </c>
      <c r="H82">
        <v>88.583083659073054</v>
      </c>
      <c r="I82">
        <v>108.30882633319266</v>
      </c>
      <c r="J82">
        <v>98.725241252686601</v>
      </c>
      <c r="K82">
        <v>0.80020429606267296</v>
      </c>
      <c r="L82">
        <v>81.208398484848502</v>
      </c>
      <c r="M82" s="15">
        <f>+'[3]VAR expectations'!C106</f>
        <v>2.5748216030053293</v>
      </c>
      <c r="N82">
        <v>-2.39390806224513E-2</v>
      </c>
      <c r="O82">
        <v>5.0228150077548703E-2</v>
      </c>
      <c r="P82">
        <v>-1.97390710609241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99.166454913568131</v>
      </c>
      <c r="C83">
        <v>96.227969062750162</v>
      </c>
      <c r="D83">
        <v>100.78378310575467</v>
      </c>
      <c r="E83">
        <v>101.17456777794534</v>
      </c>
      <c r="F83">
        <v>103.58084841098166</v>
      </c>
      <c r="G83">
        <v>102.56861686850932</v>
      </c>
      <c r="H83">
        <v>90.447359086160873</v>
      </c>
      <c r="I83">
        <v>107.927210918325</v>
      </c>
      <c r="J83">
        <v>99.1467797733266</v>
      </c>
      <c r="K83">
        <v>0.78393808826123101</v>
      </c>
      <c r="L83">
        <v>83.550871212121194</v>
      </c>
      <c r="M83" s="15">
        <f>+'[3]VAR expectations'!C107</f>
        <v>2.8319255146371365</v>
      </c>
      <c r="N83">
        <v>-0.11363015150334201</v>
      </c>
      <c r="O83">
        <v>-3.9462920803342003E-2</v>
      </c>
      <c r="P83">
        <v>-2.1939579291056801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99.6159612904151</v>
      </c>
      <c r="C84">
        <v>96.761783311765797</v>
      </c>
      <c r="D84">
        <v>100.74132263893</v>
      </c>
      <c r="E84">
        <v>101.512547118048</v>
      </c>
      <c r="F84">
        <v>103.69937408525634</v>
      </c>
      <c r="G84">
        <v>102.60363853279466</v>
      </c>
      <c r="H84">
        <v>91.971257398588932</v>
      </c>
      <c r="I84">
        <v>109.70619529154435</v>
      </c>
      <c r="J84">
        <v>99.636317472263599</v>
      </c>
      <c r="K84">
        <v>0.77500807653390702</v>
      </c>
      <c r="L84">
        <v>85.572229687499998</v>
      </c>
      <c r="M84" s="15">
        <f>+'[3]VAR expectations'!C108</f>
        <v>2.2293252935517471</v>
      </c>
      <c r="N84">
        <v>4.4786327834671E-2</v>
      </c>
      <c r="O84">
        <v>0.118953558534671</v>
      </c>
      <c r="P84">
        <v>-1.8825233139826201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99.965822637162205</v>
      </c>
      <c r="C85">
        <v>97.447394614282345</v>
      </c>
      <c r="D85">
        <v>101.19548338597799</v>
      </c>
      <c r="E85">
        <v>101.10263590420202</v>
      </c>
      <c r="F85">
        <v>102.712192139979</v>
      </c>
      <c r="G85">
        <v>102.60718831787166</v>
      </c>
      <c r="H85">
        <v>93.61385825261452</v>
      </c>
      <c r="I85">
        <v>108.99804553389633</v>
      </c>
      <c r="J85">
        <v>99.975686954968793</v>
      </c>
      <c r="K85">
        <v>0.77065630898198501</v>
      </c>
      <c r="L85">
        <v>86.910458461538497</v>
      </c>
      <c r="M85" s="15">
        <f>+'[3]VAR expectations'!C109</f>
        <v>2.056924231171823</v>
      </c>
      <c r="N85">
        <v>-0.11320662613308299</v>
      </c>
      <c r="O85">
        <v>-3.9039395433083303E-2</v>
      </c>
      <c r="P85">
        <v>-1.3807983806505799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100.15677377780668</v>
      </c>
      <c r="C86">
        <v>97.959515324621108</v>
      </c>
      <c r="D86">
        <v>101.009315934952</v>
      </c>
      <c r="E86">
        <v>101.200001705055</v>
      </c>
      <c r="F86">
        <v>102.32977966881167</v>
      </c>
      <c r="G86">
        <v>102.08055865358301</v>
      </c>
      <c r="H86">
        <v>95.727406081787933</v>
      </c>
      <c r="I86">
        <v>108.44567185122601</v>
      </c>
      <c r="J86">
        <v>100.153671958708</v>
      </c>
      <c r="K86">
        <v>0.75998496996257003</v>
      </c>
      <c r="L86">
        <v>88.037404545454606</v>
      </c>
      <c r="M86" s="15">
        <f>+'[3]VAR expectations'!C110</f>
        <v>2.1248729237613553</v>
      </c>
      <c r="N86">
        <v>-9.1782082846566596E-2</v>
      </c>
      <c r="O86">
        <v>-1.7614852146566599E-2</v>
      </c>
      <c r="P86">
        <v>-1.33723451802505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100.07195689215551</v>
      </c>
      <c r="C87">
        <v>98.543140275899944</v>
      </c>
      <c r="D87">
        <v>100.49869731187266</v>
      </c>
      <c r="E87">
        <v>101.34965790712567</v>
      </c>
      <c r="F87">
        <v>101.90261497815702</v>
      </c>
      <c r="G87">
        <v>102.87871440301866</v>
      </c>
      <c r="H87">
        <v>97.585239418513524</v>
      </c>
      <c r="I87">
        <v>105.707564538445</v>
      </c>
      <c r="J87">
        <v>100.072912174962</v>
      </c>
      <c r="K87">
        <v>0.75127142152237703</v>
      </c>
      <c r="L87">
        <v>87.311537878787902</v>
      </c>
      <c r="M87" s="15">
        <f>+'[3]VAR expectations'!C111</f>
        <v>1.7035599242558022</v>
      </c>
      <c r="N87">
        <v>-0.284908450058592</v>
      </c>
      <c r="O87">
        <v>-0.210741219358592</v>
      </c>
      <c r="P87">
        <v>-1.24990027413505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99.755678847513764</v>
      </c>
      <c r="C88">
        <v>99.111175025303211</v>
      </c>
      <c r="D88">
        <v>100.21648933317857</v>
      </c>
      <c r="E88">
        <v>100.36807332402334</v>
      </c>
      <c r="F88">
        <v>100.68616348124567</v>
      </c>
      <c r="G88">
        <v>100.86580253861068</v>
      </c>
      <c r="H88">
        <v>98.71472155997877</v>
      </c>
      <c r="I88">
        <v>100.83092049987799</v>
      </c>
      <c r="J88">
        <v>99.737833423408404</v>
      </c>
      <c r="K88">
        <v>0.73099702131507505</v>
      </c>
      <c r="L88">
        <v>89.392121875000001</v>
      </c>
      <c r="M88" s="15">
        <f>+'[3]VAR expectations'!C112</f>
        <v>1.1817637648378063</v>
      </c>
      <c r="N88">
        <v>-0.46706918583478702</v>
      </c>
      <c r="O88">
        <v>-0.39290195513478698</v>
      </c>
      <c r="P88">
        <v>-1.30516526435338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99.962459813489872</v>
      </c>
      <c r="C89">
        <v>99.576360674338773</v>
      </c>
      <c r="D89">
        <v>100.00498832054666</v>
      </c>
      <c r="E89">
        <v>100.172202109015</v>
      </c>
      <c r="F89">
        <v>100.356511283496</v>
      </c>
      <c r="G89">
        <v>100.54313780561233</v>
      </c>
      <c r="H89">
        <v>99.287866594347364</v>
      </c>
      <c r="I89">
        <v>101.88175418202167</v>
      </c>
      <c r="J89">
        <v>99.968729075332206</v>
      </c>
      <c r="K89">
        <v>0.726376257800047</v>
      </c>
      <c r="L89">
        <v>91.205161538461496</v>
      </c>
      <c r="M89" s="15">
        <f>+'[3]VAR expectations'!C113</f>
        <v>1.1947961687177484</v>
      </c>
      <c r="N89">
        <v>3.8384020170732003E-2</v>
      </c>
      <c r="O89">
        <v>0.11255125087073201</v>
      </c>
      <c r="P89">
        <v>-1.46683099584006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100.13001793171399</v>
      </c>
      <c r="C90">
        <v>100.26240167741567</v>
      </c>
      <c r="D90">
        <v>100.00270677092981</v>
      </c>
      <c r="E90">
        <v>99.895691414039064</v>
      </c>
      <c r="F90">
        <v>99.795505851521355</v>
      </c>
      <c r="G90">
        <v>99.805123626887237</v>
      </c>
      <c r="H90">
        <v>100.32532846825933</v>
      </c>
      <c r="I90">
        <v>99.958838707802371</v>
      </c>
      <c r="J90">
        <v>100.14609407088901</v>
      </c>
      <c r="K90">
        <v>0.71661122800277499</v>
      </c>
      <c r="L90">
        <v>92.868804545454594</v>
      </c>
      <c r="M90" s="15">
        <f>+'[3]VAR expectations'!C114</f>
        <v>1.4668407504949574</v>
      </c>
      <c r="N90">
        <v>-0.19086165600438301</v>
      </c>
      <c r="O90">
        <v>-0.116694425304383</v>
      </c>
      <c r="P90">
        <v>-1.2739108183369099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100.13199459192732</v>
      </c>
      <c r="C91">
        <v>101.037674794287</v>
      </c>
      <c r="D91">
        <v>99.774766166349934</v>
      </c>
      <c r="E91">
        <v>99.559595203548554</v>
      </c>
      <c r="F91">
        <v>99.150568914758423</v>
      </c>
      <c r="G91">
        <v>98.666237573579039</v>
      </c>
      <c r="H91">
        <v>101.75440911066266</v>
      </c>
      <c r="I91">
        <v>97.167090222985337</v>
      </c>
      <c r="J91">
        <v>100.14734343037</v>
      </c>
      <c r="K91">
        <v>0.70785219429855795</v>
      </c>
      <c r="L91">
        <v>92.134557575757597</v>
      </c>
      <c r="M91" s="15">
        <f>+'[3]VAR expectations'!C115</f>
        <v>1.2905237090286479</v>
      </c>
      <c r="N91">
        <v>-0.29299711775222798</v>
      </c>
      <c r="O91">
        <v>-0.218829887052228</v>
      </c>
      <c r="P91">
        <v>-0.81570794414581904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100.133651427467</v>
      </c>
      <c r="C92">
        <v>101.63161295911367</v>
      </c>
      <c r="D92">
        <v>99.608947796312364</v>
      </c>
      <c r="E92">
        <v>98.871292369520134</v>
      </c>
      <c r="F92">
        <v>98.164417321359522</v>
      </c>
      <c r="G92">
        <v>97.541769602762656</v>
      </c>
      <c r="H92">
        <v>102.86832122410699</v>
      </c>
      <c r="I92">
        <v>95.367746185255726</v>
      </c>
      <c r="J92">
        <v>100.086378883487</v>
      </c>
      <c r="K92">
        <v>0.72234316086335104</v>
      </c>
      <c r="L92">
        <v>86.998107692307698</v>
      </c>
      <c r="M92" s="15">
        <f>+'[3]VAR expectations'!C116</f>
        <v>1.4081096049117914</v>
      </c>
      <c r="N92">
        <v>-0.270440912324174</v>
      </c>
      <c r="O92">
        <v>-0.196273681624174</v>
      </c>
      <c r="P92">
        <v>-0.66960981870284897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100.31888734806866</v>
      </c>
      <c r="C93">
        <v>102.171975536256</v>
      </c>
      <c r="D93">
        <v>99.215995464007946</v>
      </c>
      <c r="E93">
        <v>98.48524777388576</v>
      </c>
      <c r="F93">
        <v>97.581495765793832</v>
      </c>
      <c r="G93">
        <v>96.320089920227645</v>
      </c>
      <c r="H93">
        <v>104.01641276904333</v>
      </c>
      <c r="I93">
        <v>96.8435475512794</v>
      </c>
      <c r="J93">
        <v>100.330730039553</v>
      </c>
      <c r="K93">
        <v>0.73890891526929603</v>
      </c>
      <c r="L93">
        <v>85.581083076923093</v>
      </c>
      <c r="M93" s="15">
        <f>+'[3]VAR expectations'!C117</f>
        <v>1.5354544995855299</v>
      </c>
      <c r="N93">
        <v>9.0319045602597001E-2</v>
      </c>
      <c r="O93">
        <v>0.16448627630259699</v>
      </c>
      <c r="P93">
        <v>-0.95067607782835395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100.82488919852132</v>
      </c>
      <c r="C94">
        <v>102.979314992352</v>
      </c>
      <c r="D94">
        <v>99.172529371490896</v>
      </c>
      <c r="E94">
        <v>98.706888984372725</v>
      </c>
      <c r="F94">
        <v>97.440130672644145</v>
      </c>
      <c r="G94">
        <v>96.302232716803033</v>
      </c>
      <c r="H94">
        <v>105.93411124727233</v>
      </c>
      <c r="I94">
        <v>97.784374257252765</v>
      </c>
      <c r="J94">
        <v>100.85079847265401</v>
      </c>
      <c r="K94">
        <v>0.77072553054453496</v>
      </c>
      <c r="L94">
        <v>78.850371212121203</v>
      </c>
      <c r="M94" s="15">
        <f>+'[3]VAR expectations'!C118</f>
        <v>1.7661002699234809</v>
      </c>
      <c r="N94">
        <v>1.9027711311814799E-2</v>
      </c>
      <c r="O94">
        <v>9.3194942011814802E-2</v>
      </c>
      <c r="P94">
        <v>-0.74109540686251096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101.352412926832</v>
      </c>
      <c r="C95">
        <v>103.43146926257833</v>
      </c>
      <c r="D95">
        <v>99.731407425945974</v>
      </c>
      <c r="E95">
        <v>98.873846078588898</v>
      </c>
      <c r="F95">
        <v>97.338835797739662</v>
      </c>
      <c r="G95">
        <v>97.0075906605108</v>
      </c>
      <c r="H95">
        <v>106.76369317414201</v>
      </c>
      <c r="I95">
        <v>100.01262338809084</v>
      </c>
      <c r="J95">
        <v>101.37228534082099</v>
      </c>
      <c r="K95">
        <v>0.788207537233098</v>
      </c>
      <c r="L95">
        <v>76.623536923076898</v>
      </c>
      <c r="M95" s="15">
        <f>+'[3]VAR expectations'!C119</f>
        <v>2.4293341619440096</v>
      </c>
      <c r="N95">
        <v>6.9933492011588994E-2</v>
      </c>
      <c r="O95">
        <v>0.144100722711589</v>
      </c>
      <c r="P95">
        <v>-0.67627689860659901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102.29140430502032</v>
      </c>
      <c r="C96">
        <v>104.16720010407398</v>
      </c>
      <c r="D96">
        <v>100.32457385042187</v>
      </c>
      <c r="E96">
        <v>100.01462220898573</v>
      </c>
      <c r="F96">
        <v>98.468704415745108</v>
      </c>
      <c r="G96">
        <v>97.888120050353223</v>
      </c>
      <c r="H96">
        <v>108.38744656736499</v>
      </c>
      <c r="I96">
        <v>103.56427820793333</v>
      </c>
      <c r="J96">
        <v>102.22725627040801</v>
      </c>
      <c r="K96">
        <v>0.798228893411986</v>
      </c>
      <c r="L96">
        <v>77.053801538461499</v>
      </c>
      <c r="M96" s="15">
        <f>+'[3]VAR expectations'!C120</f>
        <v>2.5776958521780435</v>
      </c>
      <c r="N96">
        <v>7.4166150646753998E-2</v>
      </c>
      <c r="O96">
        <v>0.148333381346754</v>
      </c>
      <c r="P96">
        <v>-0.56428853934081502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103.07610057814134</v>
      </c>
      <c r="C97">
        <v>105.06112495201866</v>
      </c>
      <c r="D97">
        <v>101.16640942305666</v>
      </c>
      <c r="E97">
        <v>101.23379299190367</v>
      </c>
      <c r="F97">
        <v>99.494258800640793</v>
      </c>
      <c r="G97">
        <v>99.076124251291205</v>
      </c>
      <c r="H97">
        <v>110.41392386519966</v>
      </c>
      <c r="I97">
        <v>102.38860196197265</v>
      </c>
      <c r="J97">
        <v>103.096945542566</v>
      </c>
      <c r="K97">
        <v>0.79550803385803104</v>
      </c>
      <c r="L97">
        <v>77.968176923076896</v>
      </c>
      <c r="M97" s="15">
        <f>+'[3]VAR expectations'!C121</f>
        <v>2.5814129404766706</v>
      </c>
      <c r="N97">
        <v>-7.0637343691615395E-2</v>
      </c>
      <c r="O97">
        <v>3.52988700838464E-3</v>
      </c>
      <c r="P97">
        <v>-0.63591345207347805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103.64365629668868</v>
      </c>
      <c r="C98">
        <v>105.71272651173565</v>
      </c>
      <c r="D98">
        <v>101.61653880960067</v>
      </c>
      <c r="E98">
        <v>101.81712128612067</v>
      </c>
      <c r="F98">
        <v>99.910103224689536</v>
      </c>
      <c r="G98">
        <v>99.604752317152759</v>
      </c>
      <c r="H98">
        <v>111.81874521923066</v>
      </c>
      <c r="I98">
        <v>102.44950526329232</v>
      </c>
      <c r="J98">
        <v>103.67168355073601</v>
      </c>
      <c r="K98">
        <v>0.802661568707982</v>
      </c>
      <c r="L98">
        <v>76.548027692307699</v>
      </c>
      <c r="M98" s="15">
        <f>+'[3]VAR expectations'!C122</f>
        <v>2.5453003999512136</v>
      </c>
      <c r="N98">
        <v>-3.62008875478066E-2</v>
      </c>
      <c r="O98">
        <v>3.7966343152193403E-2</v>
      </c>
      <c r="P98">
        <v>-0.80500965809484604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104.42628659874568</v>
      </c>
      <c r="C99">
        <v>106.23511906613834</v>
      </c>
      <c r="D99">
        <v>102.243522696483</v>
      </c>
      <c r="E99">
        <v>103.08202661299698</v>
      </c>
      <c r="F99">
        <v>101.25607027790568</v>
      </c>
      <c r="G99">
        <v>99.752831754060409</v>
      </c>
      <c r="H99">
        <v>113.51161297522499</v>
      </c>
      <c r="I99">
        <v>105.16803138512067</v>
      </c>
      <c r="J99">
        <v>104.44465408283099</v>
      </c>
      <c r="K99">
        <v>0.80846109130113097</v>
      </c>
      <c r="L99">
        <v>77.708216923076904</v>
      </c>
      <c r="M99" s="15">
        <f>+'[3]VAR expectations'!C123</f>
        <v>2.7170212072523583</v>
      </c>
      <c r="N99">
        <v>7.4935677734509001E-2</v>
      </c>
      <c r="O99">
        <v>0.14910290843450899</v>
      </c>
      <c r="P99">
        <v>-0.83029361009906699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105.07949333834365</v>
      </c>
      <c r="C100">
        <v>106.84526073590865</v>
      </c>
      <c r="D100">
        <v>102.60601025241168</v>
      </c>
      <c r="E100">
        <v>103.735413260269</v>
      </c>
      <c r="F100">
        <v>101.674006978496</v>
      </c>
      <c r="G100">
        <v>99.915201896403531</v>
      </c>
      <c r="H100">
        <v>116.01762872715601</v>
      </c>
      <c r="I100">
        <v>107.601081046326</v>
      </c>
      <c r="J100">
        <v>105.00412586352201</v>
      </c>
      <c r="K100">
        <v>0.811856855436904</v>
      </c>
      <c r="L100">
        <v>79.033741538461499</v>
      </c>
      <c r="M100" s="15">
        <f>+'[3]VAR expectations'!C124</f>
        <v>2.4396786818528224</v>
      </c>
      <c r="N100">
        <v>-1.96633274311734E-2</v>
      </c>
      <c r="O100">
        <v>5.4503903268826599E-2</v>
      </c>
      <c r="P100">
        <v>-0.90363888546006399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105.56103391680567</v>
      </c>
      <c r="C101">
        <v>107.412220798676</v>
      </c>
      <c r="D101">
        <v>102.911659567269</v>
      </c>
      <c r="E101">
        <v>104.06525181777734</v>
      </c>
      <c r="F101">
        <v>101.77392514251767</v>
      </c>
      <c r="G101">
        <v>99.722405139708201</v>
      </c>
      <c r="H101">
        <v>118.06016729927801</v>
      </c>
      <c r="I101">
        <v>108.660256431623</v>
      </c>
      <c r="J101">
        <v>105.598902994669</v>
      </c>
      <c r="K101">
        <v>0.82016303423232595</v>
      </c>
      <c r="L101">
        <v>79.101027692307696</v>
      </c>
      <c r="M101" s="15">
        <f>+'[3]VAR expectations'!C125</f>
        <v>2.4860103785103598</v>
      </c>
      <c r="N101">
        <v>9.0203024034362006E-2</v>
      </c>
      <c r="O101">
        <v>0.16437025473436201</v>
      </c>
      <c r="P101">
        <v>-0.74805546110960797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106.24224912177699</v>
      </c>
      <c r="C102">
        <v>108.26007397610566</v>
      </c>
      <c r="D102">
        <v>102.85052961966733</v>
      </c>
      <c r="E102">
        <v>104.47264306652767</v>
      </c>
      <c r="F102">
        <v>101.96987056680801</v>
      </c>
      <c r="G102">
        <v>99.982204821110074</v>
      </c>
      <c r="H102">
        <v>119.75493565925501</v>
      </c>
      <c r="I102">
        <v>111.747550497318</v>
      </c>
      <c r="J102">
        <v>106.26539030187899</v>
      </c>
      <c r="K102">
        <v>0.82872608317530305</v>
      </c>
      <c r="L102">
        <v>77.813970769230806</v>
      </c>
      <c r="M102" s="15">
        <f>+'[3]VAR expectations'!C126</f>
        <v>2.6759360893479318</v>
      </c>
      <c r="N102">
        <v>0.145516925753987</v>
      </c>
      <c r="O102">
        <v>0.21968415645398701</v>
      </c>
      <c r="P102">
        <v>-0.56417996101975498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106.79995603666833</v>
      </c>
      <c r="C103">
        <v>108.85970142193999</v>
      </c>
      <c r="D103">
        <v>103.19034833665766</v>
      </c>
      <c r="E103">
        <v>104.96947813410235</v>
      </c>
      <c r="F103">
        <v>101.961907458356</v>
      </c>
      <c r="G103">
        <v>100.260689808574</v>
      </c>
      <c r="H103">
        <v>122.71357247944134</v>
      </c>
      <c r="I103">
        <v>113.99925008088799</v>
      </c>
      <c r="J103">
        <v>106.81529079000001</v>
      </c>
      <c r="K103">
        <v>0.82467856051641997</v>
      </c>
      <c r="L103">
        <v>77.843365151515201</v>
      </c>
      <c r="M103" s="15">
        <f>+'[3]VAR expectations'!C127</f>
        <v>2.7140589507350836</v>
      </c>
      <c r="N103">
        <v>2.1797409982364499E-2</v>
      </c>
      <c r="O103">
        <v>9.5964640682364502E-2</v>
      </c>
      <c r="P103">
        <v>-0.54654668446710997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107.07246993159232</v>
      </c>
      <c r="C104">
        <v>109.50408780439034</v>
      </c>
      <c r="D104">
        <v>103.551487893863</v>
      </c>
      <c r="E104">
        <v>105.877037417331</v>
      </c>
      <c r="F104">
        <v>102.658354124648</v>
      </c>
      <c r="G104">
        <v>100.89305520041466</v>
      </c>
      <c r="H104">
        <v>125.21663652909901</v>
      </c>
      <c r="I104">
        <v>109.37842475292933</v>
      </c>
      <c r="J104">
        <v>106.981224358573</v>
      </c>
      <c r="K104">
        <v>0.82446537246885199</v>
      </c>
      <c r="L104">
        <v>78.730262499999995</v>
      </c>
      <c r="M104" s="15">
        <f>+'[3]VAR expectations'!C128</f>
        <v>2.7331364493732195</v>
      </c>
      <c r="N104">
        <v>-0.39889522319681298</v>
      </c>
      <c r="O104">
        <v>-0.324727992496813</v>
      </c>
      <c r="P104">
        <v>-0.12866081763275999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107.69508772501801</v>
      </c>
      <c r="C105">
        <v>110.24833949634167</v>
      </c>
      <c r="D105">
        <v>103.31466792354934</v>
      </c>
      <c r="E105">
        <v>105.962027480104</v>
      </c>
      <c r="F105">
        <v>102.90581996973999</v>
      </c>
      <c r="G105">
        <v>100.39656301413</v>
      </c>
      <c r="H105">
        <v>125.29501859802667</v>
      </c>
      <c r="I105">
        <v>115.25825393955201</v>
      </c>
      <c r="J105">
        <v>107.764418437091</v>
      </c>
      <c r="K105">
        <v>0.83105875414883501</v>
      </c>
      <c r="L105">
        <v>78.4577861538462</v>
      </c>
      <c r="M105" s="15">
        <f>+'[3]VAR expectations'!C129</f>
        <v>2.6212425518623172</v>
      </c>
      <c r="N105">
        <v>0.37602675200130897</v>
      </c>
      <c r="O105">
        <v>0.450193982701309</v>
      </c>
      <c r="P105">
        <v>-0.56572836712670105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108.19150361395167</v>
      </c>
      <c r="C106">
        <v>110.89175062794133</v>
      </c>
      <c r="D106">
        <v>103.49017597433401</v>
      </c>
      <c r="E106">
        <v>106.69444647632734</v>
      </c>
      <c r="F106">
        <v>103.624649894792</v>
      </c>
      <c r="G106">
        <v>100.93199560176465</v>
      </c>
      <c r="H106">
        <v>126.25236994582599</v>
      </c>
      <c r="I106">
        <v>114.87395646519167</v>
      </c>
      <c r="J106">
        <v>108.19884884253401</v>
      </c>
      <c r="K106">
        <v>0.84333593957728503</v>
      </c>
      <c r="L106">
        <v>75.796048484848498</v>
      </c>
      <c r="M106" s="15">
        <f>+'[3]VAR expectations'!C130</f>
        <v>2.9781745842670815</v>
      </c>
      <c r="N106">
        <v>-8.2378865126797304E-2</v>
      </c>
      <c r="O106">
        <v>-8.21163442679727E-3</v>
      </c>
      <c r="P106">
        <v>-0.44872501031791101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108.30628541541266</v>
      </c>
      <c r="C107">
        <v>111.42069673928768</v>
      </c>
      <c r="D107">
        <v>103.64884163264766</v>
      </c>
      <c r="E107">
        <v>106.92769018415333</v>
      </c>
      <c r="F107">
        <v>103.704200010777</v>
      </c>
      <c r="G107">
        <v>101.5542425273</v>
      </c>
      <c r="H107">
        <v>126.29786356157366</v>
      </c>
      <c r="I107">
        <v>112.10495687610434</v>
      </c>
      <c r="J107">
        <v>108.320895309317</v>
      </c>
      <c r="K107">
        <v>0.82843226110685597</v>
      </c>
      <c r="L107">
        <v>79.404298484848496</v>
      </c>
      <c r="M107" s="15">
        <f>+'[3]VAR expectations'!C131</f>
        <v>2.5033196655575458</v>
      </c>
      <c r="N107">
        <v>-0.26741006536898199</v>
      </c>
      <c r="O107">
        <v>-0.19324283466898201</v>
      </c>
      <c r="P107">
        <v>-0.54979625031878399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108.90932271592334</v>
      </c>
      <c r="C108">
        <v>112.20599233445132</v>
      </c>
      <c r="D108">
        <v>103.99586319878767</v>
      </c>
      <c r="E108">
        <v>107.271307312292</v>
      </c>
      <c r="F108">
        <v>104.04515076411099</v>
      </c>
      <c r="G108">
        <v>101.86492851403034</v>
      </c>
      <c r="H108">
        <v>126.68141516381134</v>
      </c>
      <c r="I108">
        <v>112.95456626139899</v>
      </c>
      <c r="J108">
        <v>108.79750692334299</v>
      </c>
      <c r="K108">
        <v>0.82376799530747102</v>
      </c>
      <c r="L108">
        <v>79.231909230769205</v>
      </c>
      <c r="M108" s="15">
        <f>+'[3]VAR expectations'!C132</f>
        <v>2.6753569594618285</v>
      </c>
      <c r="N108">
        <v>-0.12629587397758499</v>
      </c>
      <c r="O108">
        <v>-5.2128643277585103E-2</v>
      </c>
      <c r="P108">
        <v>-0.626266052524175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108.29669627772266</v>
      </c>
      <c r="C109">
        <v>112.32280382859334</v>
      </c>
      <c r="D109">
        <v>103.79737697224368</v>
      </c>
      <c r="E109">
        <v>107.74422644033534</v>
      </c>
      <c r="F109">
        <v>104.347558121495</v>
      </c>
      <c r="G109">
        <v>102.457672425551</v>
      </c>
      <c r="H109">
        <v>128.62856246788667</v>
      </c>
      <c r="I109">
        <v>102.49633960775134</v>
      </c>
      <c r="J109">
        <v>108.41076761050201</v>
      </c>
      <c r="K109">
        <v>0.81302965278783501</v>
      </c>
      <c r="L109">
        <v>77.417078461538495</v>
      </c>
      <c r="M109" s="15">
        <f>+'[3]VAR expectations'!C133</f>
        <v>3.0786650622291059</v>
      </c>
      <c r="N109">
        <v>-0.53072475668021002</v>
      </c>
      <c r="O109">
        <v>-0.45655752598020999</v>
      </c>
      <c r="P109">
        <v>-2.7966111851981501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108.846639094602</v>
      </c>
      <c r="C110">
        <v>112.46780580845166</v>
      </c>
      <c r="D110">
        <v>104.63033411962033</v>
      </c>
      <c r="E110">
        <v>107.63740742321102</v>
      </c>
      <c r="F110">
        <v>103.96322841508668</v>
      </c>
      <c r="G110">
        <v>101.79472775181132</v>
      </c>
      <c r="H110">
        <v>130.62184201268269</v>
      </c>
      <c r="I110">
        <v>104.96386151543265</v>
      </c>
      <c r="J110">
        <v>108.82768380554501</v>
      </c>
      <c r="K110">
        <v>0.81523673020943999</v>
      </c>
      <c r="L110">
        <v>77.453536363636402</v>
      </c>
      <c r="M110" s="15">
        <f>+'[3]VAR expectations'!C134</f>
        <v>3.1319434989789481</v>
      </c>
      <c r="N110">
        <v>4.4733657054048998E-2</v>
      </c>
      <c r="O110">
        <v>0.118900887754049</v>
      </c>
      <c r="P110">
        <v>-1.96822852794972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108.88847999238533</v>
      </c>
      <c r="C111">
        <v>112.99560769064466</v>
      </c>
      <c r="D111">
        <v>104.88835199015034</v>
      </c>
      <c r="E111">
        <v>107.31626182712932</v>
      </c>
      <c r="F111">
        <v>103.201413361234</v>
      </c>
      <c r="G111">
        <v>101.91681575362134</v>
      </c>
      <c r="H111">
        <v>131.88726938724301</v>
      </c>
      <c r="I111">
        <v>102.05910513318634</v>
      </c>
      <c r="J111">
        <v>108.89712256473599</v>
      </c>
      <c r="K111">
        <v>0.82770637555197202</v>
      </c>
      <c r="L111">
        <v>77.966816666666702</v>
      </c>
      <c r="M111" s="15">
        <f>+'[3]VAR expectations'!C135</f>
        <v>3.4145577808828897</v>
      </c>
      <c r="N111">
        <v>-0.26794155270097503</v>
      </c>
      <c r="O111">
        <v>-0.193774322000975</v>
      </c>
      <c r="P111">
        <v>-1.6891033776454201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109.62821885535834</v>
      </c>
      <c r="C112">
        <v>114.02244042211301</v>
      </c>
      <c r="D112">
        <v>104.76080141737201</v>
      </c>
      <c r="E112">
        <v>107.47905437704934</v>
      </c>
      <c r="F112">
        <v>103.15819295587899</v>
      </c>
      <c r="G112">
        <v>102.19294843651333</v>
      </c>
      <c r="H112">
        <v>133.17386557699399</v>
      </c>
      <c r="I112">
        <v>106.478260635544</v>
      </c>
      <c r="J112">
        <v>109.515548878511</v>
      </c>
      <c r="K112">
        <v>0.81997916491071399</v>
      </c>
      <c r="L112">
        <v>80.482731250000001</v>
      </c>
      <c r="M112" s="15">
        <f>+'[3]VAR expectations'!C136</f>
        <v>2.9821807365306072</v>
      </c>
      <c r="N112">
        <v>9.6634489959476003E-2</v>
      </c>
      <c r="O112">
        <v>0.17080172065947599</v>
      </c>
      <c r="P112">
        <v>-0.91172902368008502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110.44242291507867</v>
      </c>
      <c r="C113">
        <v>114.37462550292899</v>
      </c>
      <c r="D113">
        <v>105.83541803620666</v>
      </c>
      <c r="E113">
        <v>107.76188085351733</v>
      </c>
      <c r="F113">
        <v>103.53510877937235</v>
      </c>
      <c r="G113">
        <v>103.35069761079801</v>
      </c>
      <c r="H113">
        <v>132.47996224512767</v>
      </c>
      <c r="I113">
        <v>111.42128690884199</v>
      </c>
      <c r="J113">
        <v>110.595293288211</v>
      </c>
      <c r="K113">
        <v>0.82659569796815602</v>
      </c>
      <c r="L113">
        <v>81.786427692307697</v>
      </c>
      <c r="M113" s="15">
        <f>+'[3]VAR expectations'!C137</f>
        <v>2.7653976909254645</v>
      </c>
      <c r="N113">
        <v>0.37930805045059501</v>
      </c>
      <c r="O113">
        <v>0.45347528115059499</v>
      </c>
      <c r="P113">
        <v>0.12595336082140801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111.87414542019701</v>
      </c>
      <c r="C114">
        <v>115.18181827449034</v>
      </c>
      <c r="D114">
        <v>107.75858301526466</v>
      </c>
      <c r="E114">
        <v>108.41983816173433</v>
      </c>
      <c r="F114">
        <v>104.09935600399335</v>
      </c>
      <c r="G114">
        <v>103.39773886076</v>
      </c>
      <c r="H114">
        <v>134.12190148702868</v>
      </c>
      <c r="I114">
        <v>115.26967596052167</v>
      </c>
      <c r="J114">
        <v>111.819308119124</v>
      </c>
      <c r="K114">
        <v>0.85503420500566196</v>
      </c>
      <c r="L114">
        <v>81.769348484848507</v>
      </c>
      <c r="M114" s="15">
        <f>+'[3]VAR expectations'!C138</f>
        <v>3.4330399377282408</v>
      </c>
      <c r="N114">
        <v>6.8003916803643996E-2</v>
      </c>
      <c r="O114">
        <v>0.14217114750364401</v>
      </c>
      <c r="P114">
        <v>0.25777573412678101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114.24990572985166</v>
      </c>
      <c r="C115">
        <v>116.71452077073967</v>
      </c>
      <c r="D115">
        <v>109.68154081124567</v>
      </c>
      <c r="E115">
        <v>110.41374891510401</v>
      </c>
      <c r="F115">
        <v>105.928549494555</v>
      </c>
      <c r="G115">
        <v>104.07302695516101</v>
      </c>
      <c r="H115">
        <v>138.22975556620767</v>
      </c>
      <c r="I115">
        <v>126.85086104389266</v>
      </c>
      <c r="J115">
        <v>114.24813433793101</v>
      </c>
      <c r="K115">
        <v>0.89904007625108595</v>
      </c>
      <c r="L115">
        <v>81.601331818181805</v>
      </c>
      <c r="M115" s="15">
        <f>+'[3]VAR expectations'!C139</f>
        <v>5.1936780789271362</v>
      </c>
      <c r="N115">
        <v>0.55811388677361795</v>
      </c>
      <c r="O115">
        <v>0.63228111747361804</v>
      </c>
      <c r="P115">
        <v>0.77441285222195699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116.50190006230567</v>
      </c>
      <c r="C116">
        <v>118.19535145802799</v>
      </c>
      <c r="D116">
        <v>112.14774685204668</v>
      </c>
      <c r="E116">
        <v>112.63255578761932</v>
      </c>
      <c r="F116">
        <v>108.46123280090565</v>
      </c>
      <c r="G116">
        <v>104.046651975727</v>
      </c>
      <c r="H116">
        <v>141.261602233546</v>
      </c>
      <c r="I116">
        <v>132.26047132858099</v>
      </c>
      <c r="J116">
        <v>116.397043248504</v>
      </c>
      <c r="K116">
        <v>0.93243291258427596</v>
      </c>
      <c r="L116">
        <v>82.320465624997198</v>
      </c>
      <c r="M116" s="15">
        <f>+'[3]VAR expectations'!C140</f>
        <v>6.6732619097853254</v>
      </c>
      <c r="N116">
        <v>0.15065309268381599</v>
      </c>
      <c r="O116">
        <v>0.224820323383816</v>
      </c>
      <c r="P116">
        <v>1.84030472986855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120.47331542336133</v>
      </c>
      <c r="C117">
        <v>119.96241331355766</v>
      </c>
      <c r="D117">
        <v>113.38444501238966</v>
      </c>
      <c r="E117">
        <v>115.53213867607265</v>
      </c>
      <c r="F117">
        <v>112.13970700025665</v>
      </c>
      <c r="G117">
        <v>104.85444412767033</v>
      </c>
      <c r="H117">
        <v>143.00118959287701</v>
      </c>
      <c r="I117">
        <v>171.18198769313199</v>
      </c>
      <c r="J117">
        <v>120.66825786055</v>
      </c>
      <c r="K117">
        <v>0.989797540107896</v>
      </c>
      <c r="L117">
        <v>80.190636866096895</v>
      </c>
      <c r="M117" s="15">
        <f>+'[3]VAR expectations'!C141</f>
        <v>8.7447876447877011</v>
      </c>
      <c r="N117">
        <v>2.21465145906049</v>
      </c>
      <c r="O117">
        <v>2.2888186897604901</v>
      </c>
      <c r="P117">
        <v>1.8834081598416501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123.10656090803667</v>
      </c>
      <c r="C118">
        <v>122.00056051544232</v>
      </c>
      <c r="D118">
        <v>114.989854843496</v>
      </c>
      <c r="E118">
        <v>120.3616122502</v>
      </c>
      <c r="F118">
        <v>118.04232445217833</v>
      </c>
      <c r="G118">
        <v>106.35794517459499</v>
      </c>
      <c r="H118">
        <v>145.07688958935731</v>
      </c>
      <c r="I118">
        <v>177.31938633118202</v>
      </c>
      <c r="J118">
        <v>123.007882119001</v>
      </c>
      <c r="K118">
        <v>1.0549677290056301</v>
      </c>
      <c r="L118">
        <v>78.205745454544996</v>
      </c>
      <c r="M118" s="15">
        <f>+'[3]VAR expectations'!C142</f>
        <v>8.9090090090090914</v>
      </c>
      <c r="N118">
        <v>6.4610124737729993E-2</v>
      </c>
      <c r="O118">
        <v>0.13877735543773001</v>
      </c>
      <c r="P118">
        <v>1.65748649833216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126.552577595286</v>
      </c>
      <c r="C119">
        <v>124.24384765319299</v>
      </c>
      <c r="D119">
        <v>116.620104374257</v>
      </c>
      <c r="E119">
        <v>124.671708395333</v>
      </c>
      <c r="F119">
        <v>123.38164377353235</v>
      </c>
      <c r="G119">
        <v>107.92410080059301</v>
      </c>
      <c r="H119">
        <v>145.88619232070533</v>
      </c>
      <c r="I119">
        <v>197.73204918888669</v>
      </c>
      <c r="J119">
        <v>126.54786239078</v>
      </c>
      <c r="K119">
        <v>1.0246932577811401</v>
      </c>
      <c r="L119">
        <v>78.037909230769202</v>
      </c>
      <c r="M119" s="15">
        <f>+'[3]VAR expectations'!C143</f>
        <v>7.2128482156615119</v>
      </c>
      <c r="N119">
        <v>0.95151354817582001</v>
      </c>
      <c r="O119">
        <v>1.02568077887582</v>
      </c>
      <c r="P119">
        <v>1.46148155293007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128.40422585992368</v>
      </c>
      <c r="C120">
        <v>125.86072588236932</v>
      </c>
      <c r="D120">
        <v>118.55158540337466</v>
      </c>
      <c r="E120">
        <v>128.63434544360666</v>
      </c>
      <c r="F120">
        <v>127.99105357579235</v>
      </c>
      <c r="G120">
        <v>110.10679436477733</v>
      </c>
      <c r="H120">
        <v>148.33452904327967</v>
      </c>
      <c r="I120">
        <v>193.42561057733499</v>
      </c>
      <c r="J120">
        <v>128.303800364127</v>
      </c>
      <c r="K120">
        <v>1.03120866633134</v>
      </c>
      <c r="L120">
        <v>78.1068492307692</v>
      </c>
      <c r="M120" s="15">
        <f>+'[3]VAR expectations'!C144</f>
        <v>5.4496808271530108</v>
      </c>
      <c r="N120">
        <v>-0.24428789496360101</v>
      </c>
      <c r="O120">
        <v>-0.17012066426360101</v>
      </c>
      <c r="P120">
        <v>1.18523637002272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130.54141947093933</v>
      </c>
      <c r="C121">
        <v>128.48956289831665</v>
      </c>
      <c r="D121">
        <v>120.76957677779733</v>
      </c>
      <c r="E121">
        <v>133.40979537286967</v>
      </c>
      <c r="F121">
        <v>132.51720958673135</v>
      </c>
      <c r="G121">
        <v>112.18807910556599</v>
      </c>
      <c r="H121">
        <v>158.90367130995833</v>
      </c>
      <c r="I121">
        <v>183.746448542954</v>
      </c>
      <c r="J121">
        <v>130.77103364559599</v>
      </c>
      <c r="K121">
        <v>1.01233991184456</v>
      </c>
      <c r="L121">
        <v>80.384953846153806</v>
      </c>
      <c r="M121" s="15">
        <f>+'[3]VAR expectations'!C145</f>
        <v>4.9659010810981856</v>
      </c>
      <c r="N121">
        <v>-0.30541858086226698</v>
      </c>
      <c r="O121">
        <v>-0.231251350162267</v>
      </c>
      <c r="P121">
        <v>0.93702380873638502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131.38754328209333</v>
      </c>
      <c r="C122">
        <v>130.59319152478969</v>
      </c>
      <c r="D122">
        <v>121.05140358827934</v>
      </c>
      <c r="E122">
        <v>135.44941771527968</v>
      </c>
      <c r="F122">
        <v>133.965586664223</v>
      </c>
      <c r="G122">
        <v>115.75508145641368</v>
      </c>
      <c r="H122">
        <v>162.32000718513464</v>
      </c>
      <c r="I122">
        <v>171.29224044532802</v>
      </c>
      <c r="J122">
        <v>131.25083582158601</v>
      </c>
      <c r="K122">
        <v>1.0047382317261699</v>
      </c>
      <c r="L122">
        <v>82.125763076923107</v>
      </c>
      <c r="M122" s="15">
        <f>+'[3]VAR expectations'!C146</f>
        <v>4.3007323969777262</v>
      </c>
      <c r="N122">
        <v>-0.74760058363424298</v>
      </c>
      <c r="O122">
        <v>-0.673433352934243</v>
      </c>
      <c r="P122">
        <v>0.59690750134368697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131.858637251716</v>
      </c>
      <c r="C123">
        <v>132.19318340043668</v>
      </c>
      <c r="D123">
        <v>120.83809609115234</v>
      </c>
      <c r="E123">
        <v>136.73532510396834</v>
      </c>
      <c r="F123">
        <v>134.61657796490235</v>
      </c>
      <c r="G123">
        <v>117.98843517078967</v>
      </c>
      <c r="H123">
        <v>165.51944290053865</v>
      </c>
      <c r="I123">
        <v>164.786447165917</v>
      </c>
      <c r="J123">
        <v>131.856119045036</v>
      </c>
      <c r="K123">
        <v>1.01351894876806</v>
      </c>
      <c r="L123">
        <v>81.116464615384601</v>
      </c>
      <c r="M123" s="15">
        <f>+'[3]VAR expectations'!C147</f>
        <v>3.8582721147576735</v>
      </c>
      <c r="N123">
        <v>-0.29111279218073699</v>
      </c>
      <c r="O123">
        <v>-0.21694556148073699</v>
      </c>
      <c r="P123">
        <v>0.14615348588892499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B124">
        <v>132.98109055563165</v>
      </c>
      <c r="C124">
        <v>133.75882943531499</v>
      </c>
      <c r="D124">
        <v>120.96524205942534</v>
      </c>
      <c r="E124">
        <v>137.68331240937297</v>
      </c>
      <c r="F124">
        <v>134.79797919299133</v>
      </c>
      <c r="G124">
        <v>118.85752917178233</v>
      </c>
      <c r="H124">
        <v>172.26792446327235</v>
      </c>
      <c r="I124">
        <v>166.26815954029368</v>
      </c>
      <c r="J124">
        <v>132.90446103726001</v>
      </c>
      <c r="K124">
        <v>1.0045717885333101</v>
      </c>
      <c r="L124">
        <v>82.494893846153801</v>
      </c>
      <c r="M124" s="15">
        <f>+'[3]VAR expectations'!C148</f>
        <v>3.6255376960251078</v>
      </c>
      <c r="N124">
        <v>-3.0625384674539999E-2</v>
      </c>
      <c r="O124">
        <v>4.3541846025459997E-2</v>
      </c>
      <c r="P124">
        <v>6.2709847538820099E-2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B125">
        <v>133.21946307455667</v>
      </c>
      <c r="C125">
        <v>135.83326788920536</v>
      </c>
      <c r="D125">
        <v>120.87275143934767</v>
      </c>
      <c r="E125">
        <v>138.01918855357033</v>
      </c>
      <c r="F125">
        <v>135.19070650676233</v>
      </c>
      <c r="G125">
        <v>118.71434719711466</v>
      </c>
      <c r="H125">
        <v>174.2821878847933</v>
      </c>
      <c r="I125">
        <v>154.19177829238035</v>
      </c>
      <c r="J125">
        <v>133.45314987446901</v>
      </c>
      <c r="K125">
        <v>1.0096110025674501</v>
      </c>
      <c r="L125">
        <v>82.864006153846105</v>
      </c>
      <c r="M125" s="15">
        <f>+'[3]VAR expectations'!C149</f>
        <v>2.979353541970323</v>
      </c>
      <c r="N125">
        <v>-0.47860337647732498</v>
      </c>
      <c r="O125">
        <v>-0.40443614577732501</v>
      </c>
      <c r="P125">
        <v>4.2690231037879098E-2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B126">
        <v>134.08508803918565</v>
      </c>
      <c r="C126">
        <v>137.40309518144301</v>
      </c>
      <c r="D126">
        <v>121.29105196055467</v>
      </c>
      <c r="E126">
        <v>139.06951751286701</v>
      </c>
      <c r="F126">
        <v>136.05101094247001</v>
      </c>
      <c r="G126">
        <v>118.81760172240233</v>
      </c>
      <c r="H126">
        <v>177.51435435645399</v>
      </c>
      <c r="I126">
        <v>148.41414963162265</v>
      </c>
      <c r="J126">
        <v>133.926272519685</v>
      </c>
      <c r="K126">
        <v>0.98968285178930804</v>
      </c>
      <c r="L126">
        <v>84.227827272727296</v>
      </c>
      <c r="M126" s="15">
        <f>+'[3]VAR expectations'!C150</f>
        <v>2.9717312535901965</v>
      </c>
      <c r="N126">
        <v>-0.47245330664789997</v>
      </c>
      <c r="O126">
        <v>-0.3982860759479</v>
      </c>
      <c r="P126">
        <v>3.02122262030909E-2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B127">
        <v>135.12940973982998</v>
      </c>
      <c r="C127">
        <v>138.52742481424067</v>
      </c>
      <c r="D127">
        <v>121.98148040551401</v>
      </c>
      <c r="E127">
        <v>140.75587350557336</v>
      </c>
      <c r="F127">
        <v>137.26033866267801</v>
      </c>
      <c r="G127">
        <v>119.73562178305833</v>
      </c>
      <c r="H127">
        <v>182.75702882727467</v>
      </c>
      <c r="I127">
        <v>151.15032755454735</v>
      </c>
      <c r="J127">
        <v>135.125066018361</v>
      </c>
      <c r="K127">
        <v>0.98386122397388598</v>
      </c>
      <c r="L127">
        <v>84.529574242424204</v>
      </c>
      <c r="M127" s="15">
        <f>+'[3]VAR expectations'!C151</f>
        <v>3.468785277541127</v>
      </c>
      <c r="N127">
        <v>9.0838827430000005E-2</v>
      </c>
      <c r="O127">
        <v>0.16500605812999999</v>
      </c>
      <c r="P127">
        <v>-0.16041932877965501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B128">
        <v>136.70095421483532</v>
      </c>
      <c r="C128">
        <v>140.56164983440632</v>
      </c>
      <c r="D128">
        <v>122.38225215781</v>
      </c>
      <c r="E128">
        <v>142.85375282792202</v>
      </c>
      <c r="F128">
        <v>138.27123803051433</v>
      </c>
      <c r="G128">
        <v>121.23504738542233</v>
      </c>
      <c r="H128">
        <v>187.84908314907798</v>
      </c>
      <c r="I128">
        <v>154.73365548880733</v>
      </c>
      <c r="J128">
        <v>136.64852996269599</v>
      </c>
      <c r="K128">
        <v>1.0033682849024499</v>
      </c>
      <c r="L128">
        <v>82.896921137361502</v>
      </c>
      <c r="M128" s="15">
        <f>+'[3]VAR expectations'!C152</f>
        <v>3.8021957884789486</v>
      </c>
      <c r="N128">
        <v>6.4917190269999994E-2</v>
      </c>
      <c r="O128">
        <v>0.13908442097000001</v>
      </c>
      <c r="P128">
        <v>-0.32493167282612201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B129">
        <v>137.91746026394398</v>
      </c>
      <c r="C129">
        <v>142.36861108470734</v>
      </c>
      <c r="D129">
        <v>122.85360074509235</v>
      </c>
      <c r="E129">
        <v>144.30115448827735</v>
      </c>
      <c r="F129">
        <v>139.22557048926669</v>
      </c>
      <c r="G129">
        <v>123.49669602794101</v>
      </c>
      <c r="H129">
        <v>187.92447451559835</v>
      </c>
      <c r="I129">
        <v>157.93445603594634</v>
      </c>
      <c r="J129">
        <v>138.14422849488901</v>
      </c>
      <c r="K129">
        <v>0.99591735267033599</v>
      </c>
      <c r="L129">
        <v>82.596564766451905</v>
      </c>
      <c r="M129" s="15">
        <f>+'[3]VAR expectations'!C153</f>
        <v>4.011042611251681</v>
      </c>
      <c r="N129">
        <v>0.14246817175000001</v>
      </c>
      <c r="O129">
        <v>0.21045479994999999</v>
      </c>
      <c r="P129">
        <v>-0.29854392983112799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I130">
        <v>158.43711397061369</v>
      </c>
      <c r="J130">
        <v>138.89548184727599</v>
      </c>
      <c r="K130">
        <v>0.99096280465142295</v>
      </c>
      <c r="L130">
        <v>82.445550218428394</v>
      </c>
      <c r="M130" s="15">
        <f>+'[3]VAR expectations'!C154</f>
        <v>3.9691108090385026</v>
      </c>
      <c r="N130">
        <v>-0.15602295737999999</v>
      </c>
      <c r="O130">
        <v>-9.4216931779999902E-2</v>
      </c>
      <c r="P130">
        <v>-0.29958405377373098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I131">
        <v>157.18426312280235</v>
      </c>
      <c r="J131">
        <v>139.88395094581</v>
      </c>
      <c r="K131">
        <v>0.98682861120915499</v>
      </c>
      <c r="L131">
        <v>82.296712008888704</v>
      </c>
      <c r="M131" s="15">
        <f>+'[3]VAR expectations'!C155</f>
        <v>3.8470567349792795</v>
      </c>
      <c r="N131">
        <v>-6.9248331880000097E-2</v>
      </c>
      <c r="O131">
        <v>-1.36229088800001E-2</v>
      </c>
      <c r="P131">
        <v>-0.39627098262229599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I132">
        <v>155.30698096103032</v>
      </c>
      <c r="J132">
        <v>140.743001920317</v>
      </c>
      <c r="K132">
        <v>0.98265233281941899</v>
      </c>
      <c r="L132">
        <v>82.150921123948606</v>
      </c>
      <c r="M132" s="15">
        <f>+'[3]VAR expectations'!C156</f>
        <v>4.1639091291217634</v>
      </c>
      <c r="N132">
        <v>-0.11161499630000001</v>
      </c>
      <c r="O132">
        <v>-6.2170175800000102E-2</v>
      </c>
      <c r="P132">
        <v>-0.47395926780966502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I133">
        <v>155.411021584975</v>
      </c>
      <c r="J133">
        <v>141.691179305454</v>
      </c>
      <c r="K133">
        <v>0.97904103212794202</v>
      </c>
      <c r="L133">
        <v>82.0071768605073</v>
      </c>
      <c r="M133" s="15">
        <f>+'[3]VAR expectations'!C157</f>
        <v>5.4104651194166893</v>
      </c>
      <c r="N133">
        <v>9.3664721899999401E-3</v>
      </c>
      <c r="O133">
        <v>5.2630690089999897E-2</v>
      </c>
      <c r="P133">
        <v>-0.56919950726097701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I134">
        <v>156.31076024162834</v>
      </c>
      <c r="J134">
        <v>142.46801735243699</v>
      </c>
      <c r="K134">
        <v>0.97746767229304599</v>
      </c>
      <c r="L134">
        <v>81.8661182572163</v>
      </c>
      <c r="M134" s="15">
        <f>+'[3]VAR expectations'!C158</f>
        <v>4.9139696600199789</v>
      </c>
      <c r="N134">
        <v>-7.8761294450000102E-2</v>
      </c>
      <c r="O134">
        <v>-4.1677679050000097E-2</v>
      </c>
      <c r="P134">
        <v>-0.61990508144128897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I135">
        <v>155.073022774837</v>
      </c>
      <c r="J135">
        <v>143.26546259634699</v>
      </c>
      <c r="K135">
        <v>0.97652103020292502</v>
      </c>
      <c r="L135">
        <v>81.7292949050359</v>
      </c>
      <c r="M135" s="15">
        <f>+'[3]VAR expectations'!C159</f>
        <v>4.0011512098701685</v>
      </c>
      <c r="N135">
        <v>-5.7138267280000099E-2</v>
      </c>
      <c r="O135">
        <v>-2.6235254480000102E-2</v>
      </c>
      <c r="P135">
        <v>-0.67810891019155195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I136">
        <v>153.52388534757634</v>
      </c>
      <c r="J136">
        <v>144.02747133144399</v>
      </c>
      <c r="K136">
        <v>0.97590817419804099</v>
      </c>
      <c r="L136">
        <v>81.597699867976701</v>
      </c>
      <c r="M136" s="15">
        <f>+'[3]VAR expectations'!C160</f>
        <v>3.3715300668176842</v>
      </c>
      <c r="N136">
        <v>-8.0844345210000002E-2</v>
      </c>
      <c r="O136">
        <v>-5.6121935009999999E-2</v>
      </c>
      <c r="P136">
        <v>-0.70436893392586097</v>
      </c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I137">
        <v>152.13448815069899</v>
      </c>
      <c r="J137">
        <v>144.732171354461</v>
      </c>
      <c r="K137">
        <v>0.97524633667331295</v>
      </c>
      <c r="L137">
        <v>81.471102574643893</v>
      </c>
      <c r="M137" s="15">
        <f>+'[3]VAR expectations'!C161</f>
        <v>2.9319715449134089</v>
      </c>
      <c r="N137">
        <v>-3.8070370819999901E-2</v>
      </c>
      <c r="O137">
        <v>-1.9528563119999901E-2</v>
      </c>
      <c r="P137">
        <v>-0.66174469570829197</v>
      </c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I138">
        <v>153.20982782005066</v>
      </c>
      <c r="J138">
        <v>145.448737738387</v>
      </c>
      <c r="K138">
        <v>0.97436484830863501</v>
      </c>
      <c r="L138">
        <v>81.349202419742994</v>
      </c>
      <c r="M138" s="15">
        <f>+'[3]VAR expectations'!C162</f>
        <v>2.624058833894372</v>
      </c>
      <c r="N138">
        <v>-1.9748568549999901E-2</v>
      </c>
      <c r="O138">
        <v>-7.3873634499998803E-3</v>
      </c>
      <c r="P138">
        <v>-0.573590092032086</v>
      </c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I139">
        <v>151.99178583709434</v>
      </c>
      <c r="J139">
        <v>146.123929146535</v>
      </c>
      <c r="K139">
        <v>0.97341524866064999</v>
      </c>
      <c r="L139">
        <v>81.231625608178206</v>
      </c>
      <c r="M139" s="15">
        <f>+'[3]VAR expectations'!C163</f>
        <v>2.4687156565697737</v>
      </c>
      <c r="N139">
        <v>-4.1277562319999898E-2</v>
      </c>
      <c r="O139">
        <v>-3.5096959719999897E-2</v>
      </c>
      <c r="P139">
        <v>-0.484953579371659</v>
      </c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I140">
        <v>151.5455506879</v>
      </c>
      <c r="J140">
        <v>146.848942185402</v>
      </c>
      <c r="K140">
        <v>0.97263977830052195</v>
      </c>
      <c r="L140">
        <v>81.117894310062098</v>
      </c>
      <c r="M140" s="15">
        <f>+'[3]VAR expectations'!C164</f>
        <v>2.4272584547421974</v>
      </c>
      <c r="N140">
        <v>-2.2610205210000001E-2</v>
      </c>
      <c r="O140">
        <v>-2.2610205210000001E-2</v>
      </c>
      <c r="P140">
        <v>-0.35925011477395102</v>
      </c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I141">
        <v>150.88848849808633</v>
      </c>
      <c r="M141" s="15">
        <f>+'[3]VAR expectations'!C165</f>
        <v>2.4505337246023733</v>
      </c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I142">
        <v>151.61104623304166</v>
      </c>
      <c r="M142" s="15">
        <f>+'[3]VAR expectations'!C166</f>
        <v>2.4399426350808717</v>
      </c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I143">
        <v>151.32129866636799</v>
      </c>
      <c r="M143" s="15">
        <f>+'[3]VAR expectations'!C167</f>
        <v>2.4724757454078841</v>
      </c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M144" s="15">
        <f>+'[3]VAR expectations'!C168</f>
        <v>2.5381252562448622</v>
      </c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/>
      <c r="M145" s="15">
        <f>+'[3]VAR expectations'!C169</f>
        <v>2.6576871518365146</v>
      </c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DA88-DA61-45A3-BAC9-C66777F63D53}">
  <dimension ref="A1:W172"/>
  <sheetViews>
    <sheetView zoomScaleNormal="100" workbookViewId="0">
      <selection activeCell="Q12" sqref="Q12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I3" s="1" t="s">
        <v>7</v>
      </c>
      <c r="J3" s="2" t="s">
        <v>5</v>
      </c>
      <c r="K3" s="2"/>
      <c r="L3" t="s">
        <v>103</v>
      </c>
    </row>
    <row r="4" spans="1:23" x14ac:dyDescent="0.25">
      <c r="A4" t="s">
        <v>287</v>
      </c>
      <c r="B4" s="2" t="s">
        <v>8</v>
      </c>
      <c r="C4" s="2"/>
      <c r="D4" s="3" t="s">
        <v>288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272</v>
      </c>
      <c r="J5" s="2" t="s">
        <v>9</v>
      </c>
      <c r="K5" s="2"/>
    </row>
    <row r="6" spans="1:23" x14ac:dyDescent="0.25">
      <c r="A6" t="s">
        <v>286</v>
      </c>
      <c r="I6" t="s">
        <v>271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conv2qa(X12(stifidx_apr2025.m,MULT,1996m1,2025m9))</v>
      </c>
      <c r="C10" s="11" t="str">
        <f t="shared" ref="C10:D10" si="0">"conv2qa(X12("&amp;$D$5&amp;$D$3&amp;C9&amp;$D$4&amp;",MULT," &amp; TEXT($A$3,"yyyy""m""m") &amp; "," &amp; TEXT($A$4,"yyyy""m""m") &amp; "))"</f>
        <v>conv2qa(X12(stif_srv_apr2025.m,MULT,1996m1,2025m9))</v>
      </c>
      <c r="D10" s="11" t="str">
        <f t="shared" si="0"/>
        <v>conv2qa(X12(stif_gds_xeatfnab_apr2025.m,MULT,1996m1,2025m9))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booze.m,fags.m,#,#,#,#,#,#,#,#,#,#,#,#,#,#,#,#,#),MULT,1996m1,2025m9))</v>
      </c>
      <c r="F10" s="11" t="str">
        <f>"conv2qa(X12("&amp;$D$5&amp;$D$3&amp;F9&amp;$D$4&amp;",MULT," &amp; TEXT($A$3,"yyyy""m""m") &amp; "," &amp; TEXT($A$4,"yyyy""m""m") &amp; "))"</f>
        <v>conv2qa(X12(stif_fnab_apr2025.m,MULT,1996m1,2025m9))</v>
      </c>
      <c r="G10" s="11" t="str">
        <f>"conv2qa(X12("&amp;G9&amp;",MULT," &amp; TEXT($A$3,"yyyy""m""m") &amp; "," &amp; TEXT($A$4,"yyyy""m""m") &amp; "))"</f>
        <v>conv2qa(X12(booze.m,MULT,1996m1,2025m9))</v>
      </c>
      <c r="H10" s="11" t="str">
        <f>"conv2qa(X12("&amp;H9&amp;",MULT," &amp; TEXT($A$3,"yyyy""m""m") &amp; "," &amp; TEXT($A$4,"yyyy""m""m") &amp; "))"</f>
        <v>conv2qa(X12(fags.m,MULT,1996m1,2025m9))</v>
      </c>
      <c r="I10" s="11" t="str">
        <f>"conv2qa(X12("&amp;$D$5&amp;$D$3&amp;I9&amp;$D$4&amp;",MULT," &amp; TEXT($A$3,"yyyy""m""m") &amp; "," &amp; TEXT($I$5,"yyyy""m""m") &amp; "))"</f>
        <v>conv2qa(X12(stif_pu_apr2025.m,MULT,1996m1,2028m12))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68.336249781639438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58.553707089085329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77.833862631324294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>
        <f>[2]!FAMEData($L$5&amp;$L$3&amp;J9&amp;$L$4, $I$3, $I$4, 0,"Quarterly", "Down", "No Heading", "Normal")</f>
        <v>68.291668825013403</v>
      </c>
      <c r="K12">
        <f>[2]!FAMEData($L$5&amp;$L$3&amp;K9&amp;$L$4, $I$3, $I$4, 0,"Quarterly", "Down", "No Heading", "Normal")</f>
        <v>0.71982449635397405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0.3</v>
      </c>
      <c r="O12">
        <f>[2]!FAMEData($L$5&amp;$L$3&amp;O9&amp;$L$4, $I$3, $I$4, 0,"Quarterly", "Down", "No Heading", "Normal")</f>
        <v>0.20789577611610899</v>
      </c>
      <c r="P12">
        <f>[2]!FAMEData($L$5&amp;$L$3&amp;P9&amp;$L$4, $I$3, $I$4, 0,"Quarterly", "Down", "No Heading", "Normal")</f>
        <v>-0.67179062000018097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68.743762162146396</v>
      </c>
      <c r="K13">
        <v>0.72027305921574902</v>
      </c>
      <c r="L13">
        <v>81.882196923076904</v>
      </c>
      <c r="M13" s="15">
        <f>+'[3]VAR expectations'!C37</f>
        <v>2.6154884948264598</v>
      </c>
      <c r="N13">
        <v>0.3</v>
      </c>
      <c r="O13">
        <v>-0.16120155703172701</v>
      </c>
      <c r="P13">
        <v>-0.90951431999948096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78.989247520031924</v>
      </c>
      <c r="H14">
        <v>30.929830737469164</v>
      </c>
      <c r="I14">
        <v>43.346266616041838</v>
      </c>
      <c r="J14">
        <v>68.996227500213394</v>
      </c>
      <c r="K14">
        <v>0.704611295999234</v>
      </c>
      <c r="L14">
        <v>82.869486363636398</v>
      </c>
      <c r="M14" s="15">
        <f>+'[3]VAR expectations'!C38</f>
        <v>2.6428562485995646</v>
      </c>
      <c r="N14">
        <v>0.3</v>
      </c>
      <c r="O14">
        <v>0.32912444162450999</v>
      </c>
      <c r="P14">
        <v>-0.98499010000016896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69.259947297382666</v>
      </c>
      <c r="C15">
        <v>52.311071312771929</v>
      </c>
      <c r="D15">
        <v>120.63002394083701</v>
      </c>
      <c r="E15">
        <v>58.834792121222769</v>
      </c>
      <c r="F15">
        <v>65.084105610473657</v>
      </c>
      <c r="G15">
        <v>79.125642753287138</v>
      </c>
      <c r="H15">
        <v>31.483583173415866</v>
      </c>
      <c r="I15">
        <v>44.7267749910337</v>
      </c>
      <c r="J15">
        <v>69.279251504424195</v>
      </c>
      <c r="K15">
        <v>0.69546448918473103</v>
      </c>
      <c r="L15">
        <v>88.333556060606099</v>
      </c>
      <c r="M15" s="15">
        <f>+'[3]VAR expectations'!C39</f>
        <v>2.8292929206876933</v>
      </c>
      <c r="N15">
        <v>0.3</v>
      </c>
      <c r="O15">
        <v>-2.2510150918334201E-3</v>
      </c>
      <c r="P15">
        <v>-0.94538048999989799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69.656172144574199</v>
      </c>
      <c r="C16">
        <v>52.833527081934534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69.6078343654885</v>
      </c>
      <c r="K16">
        <v>0.67245396810892299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-0.262290558696672</v>
      </c>
      <c r="P16">
        <v>-8.1624399997278201E-3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69.818827320614488</v>
      </c>
      <c r="C17">
        <v>53.331404584016035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69.841257107063797</v>
      </c>
      <c r="K17">
        <v>0.658342915410149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-0.18076935065413899</v>
      </c>
      <c r="P17">
        <v>7.83533299999771E-2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70.281779806161396</v>
      </c>
      <c r="C18">
        <v>53.831610222106036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70.330892659527606</v>
      </c>
      <c r="K18">
        <v>0.65392958085931496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0.135072712526874</v>
      </c>
      <c r="P18">
        <v>5.2405800004195497E-3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45.165943591837333</v>
      </c>
      <c r="J19">
        <v>70.553234761940601</v>
      </c>
      <c r="K19">
        <v>0.65336658354114696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-0.18038836269067801</v>
      </c>
      <c r="P19">
        <v>-0.113323839999526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70.7608317169408</v>
      </c>
      <c r="C20">
        <v>54.867317852625668</v>
      </c>
      <c r="D20">
        <v>119.84603007593834</v>
      </c>
      <c r="E20">
        <v>60.324796116075561</v>
      </c>
      <c r="F20">
        <v>65.556439010962166</v>
      </c>
      <c r="G20">
        <v>80.314829273702401</v>
      </c>
      <c r="H20">
        <v>35.043737560232806</v>
      </c>
      <c r="I20">
        <v>45.066788167537368</v>
      </c>
      <c r="J20">
        <v>70.707690288178796</v>
      </c>
      <c r="K20">
        <v>0.64381232528059396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-0.40106993870267899</v>
      </c>
      <c r="P20">
        <v>0.35224228000025998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71.100692129748836</v>
      </c>
      <c r="C21">
        <v>55.376840634027502</v>
      </c>
      <c r="D21">
        <v>119.471764844226</v>
      </c>
      <c r="E21">
        <v>60.759837540213304</v>
      </c>
      <c r="F21">
        <v>65.968165559058164</v>
      </c>
      <c r="G21">
        <v>80.697417805776254</v>
      </c>
      <c r="H21">
        <v>35.534825019560863</v>
      </c>
      <c r="I21">
        <v>45.512400795735232</v>
      </c>
      <c r="J21">
        <v>71.126513447044601</v>
      </c>
      <c r="K21">
        <v>0.63430889006644098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-0.121959828355084</v>
      </c>
      <c r="P21">
        <v>0.18539484000045001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71.255609421750492</v>
      </c>
      <c r="C22">
        <v>55.8344940627168</v>
      </c>
      <c r="D22">
        <v>118.95366575846867</v>
      </c>
      <c r="E22">
        <v>61.32656451816981</v>
      </c>
      <c r="F22">
        <v>66.599884378909394</v>
      </c>
      <c r="G22">
        <v>81.111237273143402</v>
      </c>
      <c r="H22">
        <v>36.009377724456634</v>
      </c>
      <c r="I22">
        <v>45.240117527977397</v>
      </c>
      <c r="J22">
        <v>71.308148711158594</v>
      </c>
      <c r="K22">
        <v>0.62982939021675299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0.148148898493562</v>
      </c>
      <c r="P22">
        <v>0.157820159999876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71.539883561847134</v>
      </c>
      <c r="C23">
        <v>56.342645165224098</v>
      </c>
      <c r="D23">
        <v>118.50979090512165</v>
      </c>
      <c r="E23">
        <v>61.798219499311834</v>
      </c>
      <c r="F23">
        <v>66.931585635713901</v>
      </c>
      <c r="G23">
        <v>81.345598400718742</v>
      </c>
      <c r="H23">
        <v>36.7684335468143</v>
      </c>
      <c r="I23">
        <v>45.182611283650964</v>
      </c>
      <c r="J23">
        <v>71.555523482852394</v>
      </c>
      <c r="K23">
        <v>0.63229951935239104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-0.44461325206669999</v>
      </c>
      <c r="P23">
        <v>-0.51318826999976597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71.869448362919002</v>
      </c>
      <c r="C24">
        <v>56.8203373020499</v>
      </c>
      <c r="D24">
        <v>117.91126120930566</v>
      </c>
      <c r="E24">
        <v>62.464147948596462</v>
      </c>
      <c r="F24">
        <v>67.238659277963407</v>
      </c>
      <c r="G24">
        <v>81.576404148116808</v>
      </c>
      <c r="H24">
        <v>38.3837411422816</v>
      </c>
      <c r="I24">
        <v>45.605839036949597</v>
      </c>
      <c r="J24">
        <v>71.8123774025145</v>
      </c>
      <c r="K24">
        <v>0.62982900352708404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0.52782221066476598</v>
      </c>
      <c r="P24">
        <v>-0.37213479000032401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72.089045435709636</v>
      </c>
      <c r="C25">
        <v>57.315645524915034</v>
      </c>
      <c r="D25">
        <v>117.102020370133</v>
      </c>
      <c r="E25">
        <v>62.32761024097524</v>
      </c>
      <c r="F25">
        <v>66.5718447626803</v>
      </c>
      <c r="G25">
        <v>81.622908379807242</v>
      </c>
      <c r="H25">
        <v>39.566559269042301</v>
      </c>
      <c r="I25">
        <v>46.924886016740167</v>
      </c>
      <c r="J25">
        <v>72.1216734782369</v>
      </c>
      <c r="K25">
        <v>0.62571857921866703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0.48725261916995399</v>
      </c>
      <c r="P25">
        <v>4.5377830000379198E-2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72.12539507880453</v>
      </c>
      <c r="C26">
        <v>57.725891052137705</v>
      </c>
      <c r="D26">
        <v>116.21646773960333</v>
      </c>
      <c r="E26">
        <v>62.266005901013273</v>
      </c>
      <c r="F26">
        <v>65.966078638823205</v>
      </c>
      <c r="G26">
        <v>81.700276436857678</v>
      </c>
      <c r="H26">
        <v>40.694457856537099</v>
      </c>
      <c r="I26">
        <v>47.676146770894697</v>
      </c>
      <c r="J26">
        <v>72.178577439252194</v>
      </c>
      <c r="K26">
        <v>0.62744633608854405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0.67076862974608797</v>
      </c>
      <c r="P26">
        <v>0.16253140999992199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72.359803406135839</v>
      </c>
      <c r="C27">
        <v>58.260597172429264</v>
      </c>
      <c r="D27">
        <v>115.11724534960399</v>
      </c>
      <c r="E27">
        <v>62.425190149027067</v>
      </c>
      <c r="F27">
        <v>66.000462650335564</v>
      </c>
      <c r="G27">
        <v>81.899917498003006</v>
      </c>
      <c r="H27">
        <v>41.07029794000443</v>
      </c>
      <c r="I27">
        <v>48.744128850988567</v>
      </c>
      <c r="J27">
        <v>72.369583045715103</v>
      </c>
      <c r="K27">
        <v>0.628879165488197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0.25537877518103203</v>
      </c>
      <c r="P27">
        <v>0.81449639999964296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72.440743283146261</v>
      </c>
      <c r="C28">
        <v>58.772737337574235</v>
      </c>
      <c r="D28">
        <v>113.71050289670033</v>
      </c>
      <c r="E28">
        <v>62.294225732533597</v>
      </c>
      <c r="F28">
        <v>65.738951218718412</v>
      </c>
      <c r="G28">
        <v>81.953847149906309</v>
      </c>
      <c r="H28">
        <v>41.192698366655833</v>
      </c>
      <c r="I28">
        <v>50.014345022098006</v>
      </c>
      <c r="J28">
        <v>72.387032791443502</v>
      </c>
      <c r="K28">
        <v>0.63496423654172396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9.2271063782413995E-2</v>
      </c>
      <c r="P28">
        <v>-0.80713768000018604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72.539182312841305</v>
      </c>
      <c r="C29">
        <v>59.022039679803406</v>
      </c>
      <c r="D29">
        <v>113.062466385126</v>
      </c>
      <c r="E29">
        <v>62.695488488984431</v>
      </c>
      <c r="F29">
        <v>65.54757652531444</v>
      </c>
      <c r="G29">
        <v>81.549251880082963</v>
      </c>
      <c r="H29">
        <v>43.499742188331133</v>
      </c>
      <c r="I29">
        <v>50.294131092571568</v>
      </c>
      <c r="J29">
        <v>72.576471412146603</v>
      </c>
      <c r="K29">
        <v>0.63548425849859203</v>
      </c>
      <c r="L29">
        <v>101.013821538462</v>
      </c>
      <c r="M29" s="15">
        <f>+'[3]VAR expectations'!C53</f>
        <v>2.480790509902373</v>
      </c>
      <c r="N29">
        <v>0.578228356186961</v>
      </c>
      <c r="O29">
        <v>6.4185673634936505E-2</v>
      </c>
      <c r="P29">
        <v>0.53258052999994498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72.707840576543902</v>
      </c>
      <c r="C30">
        <v>59.618307460285799</v>
      </c>
      <c r="D30">
        <v>111.70485772051801</v>
      </c>
      <c r="E30">
        <v>63.480786414583967</v>
      </c>
      <c r="F30">
        <v>66.470733130128295</v>
      </c>
      <c r="G30">
        <v>81.400383542533731</v>
      </c>
      <c r="H30">
        <v>44.129516914153498</v>
      </c>
      <c r="I30">
        <v>50.848549060358401</v>
      </c>
      <c r="J30">
        <v>72.758463406983594</v>
      </c>
      <c r="K30">
        <v>0.64916170071338097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0.321076211975517</v>
      </c>
      <c r="P30">
        <v>0.27187322999959301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73.058296991469632</v>
      </c>
      <c r="C31">
        <v>60.261873317666407</v>
      </c>
      <c r="D31">
        <v>111.14640687755167</v>
      </c>
      <c r="E31">
        <v>63.852768971106862</v>
      </c>
      <c r="F31">
        <v>66.715067260735637</v>
      </c>
      <c r="G31">
        <v>81.765643927003495</v>
      </c>
      <c r="H31">
        <v>44.729361748293229</v>
      </c>
      <c r="I31">
        <v>51.114811152053932</v>
      </c>
      <c r="J31">
        <v>73.060657908277705</v>
      </c>
      <c r="K31">
        <v>0.64840352087451603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-1.6390389462865099E-2</v>
      </c>
      <c r="P31">
        <v>0.70676578999984596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73.057199972198902</v>
      </c>
      <c r="C32">
        <v>60.743618510497896</v>
      </c>
      <c r="D32">
        <v>110.17048885713467</v>
      </c>
      <c r="E32">
        <v>64.304947564599033</v>
      </c>
      <c r="F32">
        <v>67.219576569641873</v>
      </c>
      <c r="G32">
        <v>81.956356251027231</v>
      </c>
      <c r="H32">
        <v>45.213764851186134</v>
      </c>
      <c r="I32">
        <v>49.77677269875857</v>
      </c>
      <c r="J32">
        <v>73.010134874556201</v>
      </c>
      <c r="K32">
        <v>0.64909645815575601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-0.227577979531076</v>
      </c>
      <c r="P32">
        <v>0.41767657000032898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73.640782847443191</v>
      </c>
      <c r="C33">
        <v>61.544420219873039</v>
      </c>
      <c r="D33">
        <v>109.89504456781499</v>
      </c>
      <c r="E33">
        <v>65.671562289784546</v>
      </c>
      <c r="F33">
        <v>69.291698510712777</v>
      </c>
      <c r="G33">
        <v>81.894722916119235</v>
      </c>
      <c r="H33">
        <v>45.475672671788864</v>
      </c>
      <c r="I33">
        <v>49.554685240332532</v>
      </c>
      <c r="J33">
        <v>73.683329119477705</v>
      </c>
      <c r="K33">
        <v>0.64465605564276696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0.14427868690463599</v>
      </c>
      <c r="P33">
        <v>0.27177293000019898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73.825368346704707</v>
      </c>
      <c r="C34">
        <v>62.223963784232033</v>
      </c>
      <c r="D34">
        <v>109.34835279541399</v>
      </c>
      <c r="E34">
        <v>65.641448713928767</v>
      </c>
      <c r="F34">
        <v>68.979536133804103</v>
      </c>
      <c r="G34">
        <v>82.063297448355556</v>
      </c>
      <c r="H34">
        <v>45.842531038767639</v>
      </c>
      <c r="I34">
        <v>49.541042554852332</v>
      </c>
      <c r="J34">
        <v>73.868491233165003</v>
      </c>
      <c r="K34">
        <v>0.63552659085590302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-0.145405425617782</v>
      </c>
      <c r="P34">
        <v>2.9689800000429499E-2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73.809976698456708</v>
      </c>
      <c r="C35">
        <v>62.586922212722833</v>
      </c>
      <c r="D35">
        <v>108.73663622536667</v>
      </c>
      <c r="E35">
        <v>65.828698669307229</v>
      </c>
      <c r="F35">
        <v>68.970945389864298</v>
      </c>
      <c r="G35">
        <v>82.057820783110074</v>
      </c>
      <c r="H35">
        <v>46.482425595789358</v>
      </c>
      <c r="I35">
        <v>48.008808713625996</v>
      </c>
      <c r="J35">
        <v>73.8080293738048</v>
      </c>
      <c r="K35">
        <v>0.62682732713061395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-0.40207821981541297</v>
      </c>
      <c r="P35">
        <v>-0.63991584999992301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74.172709547615355</v>
      </c>
      <c r="C36">
        <v>63.253448974826398</v>
      </c>
      <c r="D36">
        <v>108.25388781241934</v>
      </c>
      <c r="E36">
        <v>66.271856797842347</v>
      </c>
      <c r="F36">
        <v>69.566869099617065</v>
      </c>
      <c r="G36">
        <v>82.184032836290001</v>
      </c>
      <c r="H36">
        <v>46.712875198207705</v>
      </c>
      <c r="I36">
        <v>48.300000597160363</v>
      </c>
      <c r="J36">
        <v>74.136203183481499</v>
      </c>
      <c r="K36">
        <v>0.62476284325203701</v>
      </c>
      <c r="L36">
        <v>100.22180625</v>
      </c>
      <c r="M36" s="15">
        <f>+'[3]VAR expectations'!C60</f>
        <v>2.2636382290406152</v>
      </c>
      <c r="N36">
        <v>-0.19866515250366801</v>
      </c>
      <c r="O36">
        <v>0.181561700258596</v>
      </c>
      <c r="P36">
        <v>-0.63541897999959396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74.341060971654201</v>
      </c>
      <c r="C37">
        <v>64.098357828325959</v>
      </c>
      <c r="D37">
        <v>107.159753823701</v>
      </c>
      <c r="E37">
        <v>65.841453783605957</v>
      </c>
      <c r="F37">
        <v>69.07276780412559</v>
      </c>
      <c r="G37">
        <v>82.070455382233902</v>
      </c>
      <c r="H37">
        <v>46.699129956400839</v>
      </c>
      <c r="I37">
        <v>48.834968279365796</v>
      </c>
      <c r="J37">
        <v>74.384985435127902</v>
      </c>
      <c r="K37">
        <v>0.62706418971656097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0.26583891266085302</v>
      </c>
      <c r="P37">
        <v>-0.844244290000153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74.586828837549191</v>
      </c>
      <c r="C38">
        <v>64.806065669922134</v>
      </c>
      <c r="D38">
        <v>106.44583489626166</v>
      </c>
      <c r="E38">
        <v>66.101100807903094</v>
      </c>
      <c r="F38">
        <v>69.016510777181693</v>
      </c>
      <c r="G38">
        <v>82.3932050733209</v>
      </c>
      <c r="H38">
        <v>47.312363043531896</v>
      </c>
      <c r="I38">
        <v>48.810172757406299</v>
      </c>
      <c r="J38">
        <v>74.622625968902398</v>
      </c>
      <c r="K38">
        <v>0.62480056012011398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2.2118145407947602E-2</v>
      </c>
      <c r="P38">
        <v>-0.47312000999981302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74.941529851723871</v>
      </c>
      <c r="C39">
        <v>65.52758079701583</v>
      </c>
      <c r="D39">
        <v>105.92448921582501</v>
      </c>
      <c r="E39">
        <v>66.196126733279172</v>
      </c>
      <c r="F39">
        <v>69.02071279186039</v>
      </c>
      <c r="G39">
        <v>81.795408931349343</v>
      </c>
      <c r="H39">
        <v>47.821927965522633</v>
      </c>
      <c r="I39">
        <v>49.301431799625227</v>
      </c>
      <c r="J39">
        <v>74.935702766594403</v>
      </c>
      <c r="K39">
        <v>0.62277821927588894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-3.5729490300290101E-2</v>
      </c>
      <c r="P39">
        <v>-0.23494014999958099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75.254179636995772</v>
      </c>
      <c r="C40">
        <v>66.024472037751906</v>
      </c>
      <c r="D40">
        <v>105.57840811721799</v>
      </c>
      <c r="E40">
        <v>66.295937195957265</v>
      </c>
      <c r="F40">
        <v>69.109899366588607</v>
      </c>
      <c r="G40">
        <v>81.579240062076138</v>
      </c>
      <c r="H40">
        <v>48.150793166609795</v>
      </c>
      <c r="I40">
        <v>50.696241265518502</v>
      </c>
      <c r="J40">
        <v>75.222425024331002</v>
      </c>
      <c r="K40">
        <v>0.63544061412391895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-0.412484320000154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75.297738816452579</v>
      </c>
      <c r="C41">
        <v>66.477450028262837</v>
      </c>
      <c r="D41">
        <v>104.82493353972467</v>
      </c>
      <c r="E41">
        <v>66.743553912207574</v>
      </c>
      <c r="F41">
        <v>69.74646695666857</v>
      </c>
      <c r="G41">
        <v>81.929888133010891</v>
      </c>
      <c r="H41">
        <v>48.4540848249923</v>
      </c>
      <c r="I41">
        <v>49.519114792627271</v>
      </c>
      <c r="J41">
        <v>75.346345849726006</v>
      </c>
      <c r="K41">
        <v>0.63124721802930694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-0.53373754000033002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75.612766960052468</v>
      </c>
      <c r="C42">
        <v>66.969781979581072</v>
      </c>
      <c r="D42">
        <v>104.57345498302533</v>
      </c>
      <c r="E42">
        <v>67.312969334012635</v>
      </c>
      <c r="F42">
        <v>70.264155677723423</v>
      </c>
      <c r="G42">
        <v>81.292515617262424</v>
      </c>
      <c r="H42">
        <v>49.190874975609006</v>
      </c>
      <c r="I42">
        <v>49.81242308522377</v>
      </c>
      <c r="J42">
        <v>75.644267203345706</v>
      </c>
      <c r="K42">
        <v>0.63521138997049398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-0.27588602999982398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75.930389741841296</v>
      </c>
      <c r="C43">
        <v>67.546972721247769</v>
      </c>
      <c r="D43">
        <v>104.00485126909267</v>
      </c>
      <c r="E43">
        <v>67.719275637193689</v>
      </c>
      <c r="F43">
        <v>70.752523646709037</v>
      </c>
      <c r="G43">
        <v>81.39020269695726</v>
      </c>
      <c r="H43">
        <v>49.438759807450367</v>
      </c>
      <c r="I43">
        <v>50.456696042451767</v>
      </c>
      <c r="J43">
        <v>75.921693955757405</v>
      </c>
      <c r="K43">
        <v>0.63050936560290005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-0.53395230000040395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76.200272982868967</v>
      </c>
      <c r="C44">
        <v>68.106265290544627</v>
      </c>
      <c r="D44">
        <v>103.62955172540801</v>
      </c>
      <c r="E44">
        <v>67.701733001622898</v>
      </c>
      <c r="F44">
        <v>70.680623238571343</v>
      </c>
      <c r="G44">
        <v>81.372891140107143</v>
      </c>
      <c r="H44">
        <v>49.677802167219603</v>
      </c>
      <c r="I44">
        <v>51.504084272004668</v>
      </c>
      <c r="J44">
        <v>76.169552702573995</v>
      </c>
      <c r="K44">
        <v>0.62452206938993704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0.26648293999980199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76.359143317160729</v>
      </c>
      <c r="C45">
        <v>68.631855807895803</v>
      </c>
      <c r="D45">
        <v>102.87732125890432</v>
      </c>
      <c r="E45">
        <v>67.63828088279439</v>
      </c>
      <c r="F45">
        <v>70.476850084079771</v>
      </c>
      <c r="G45">
        <v>81.287191199212131</v>
      </c>
      <c r="H45">
        <v>50.250960590870839</v>
      </c>
      <c r="I45">
        <v>52.490029578441863</v>
      </c>
      <c r="J45">
        <v>76.4127360639079</v>
      </c>
      <c r="K45">
        <v>0.62533471852521905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0.17862779000014201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76.562231444943833</v>
      </c>
      <c r="C46">
        <v>69.203743095788965</v>
      </c>
      <c r="D46">
        <v>102.21000368726202</v>
      </c>
      <c r="E46">
        <v>67.64619204831989</v>
      </c>
      <c r="F46">
        <v>70.117000342858873</v>
      </c>
      <c r="G46">
        <v>81.074507725920398</v>
      </c>
      <c r="H46">
        <v>50.981515792687794</v>
      </c>
      <c r="I46">
        <v>53.359156399580705</v>
      </c>
      <c r="J46">
        <v>76.593117304962306</v>
      </c>
      <c r="K46">
        <v>0.62608242577351603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-2.59919399995341E-2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77.024679842473503</v>
      </c>
      <c r="C47">
        <v>69.90480895124422</v>
      </c>
      <c r="D47">
        <v>101.65395874617933</v>
      </c>
      <c r="E47">
        <v>67.923169332881628</v>
      </c>
      <c r="F47">
        <v>70.398557803486042</v>
      </c>
      <c r="G47">
        <v>81.151471153324636</v>
      </c>
      <c r="H47">
        <v>51.389293331048172</v>
      </c>
      <c r="I47">
        <v>55.645647717135198</v>
      </c>
      <c r="J47">
        <v>77.015335954406694</v>
      </c>
      <c r="K47">
        <v>0.63653524783139104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0.92815783999970602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77.519231175923565</v>
      </c>
      <c r="C48">
        <v>70.71175384818531</v>
      </c>
      <c r="D48">
        <v>101.224550822105</v>
      </c>
      <c r="E48">
        <v>68.690840572470734</v>
      </c>
      <c r="F48">
        <v>71.390648857848348</v>
      </c>
      <c r="G48">
        <v>80.604661889702967</v>
      </c>
      <c r="H48">
        <v>52.151755179862</v>
      </c>
      <c r="I48">
        <v>56.449023556320036</v>
      </c>
      <c r="J48">
        <v>77.473800065364799</v>
      </c>
      <c r="K48">
        <v>0.63627996722981495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0.47823727999973997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77.860319039509889</v>
      </c>
      <c r="C49">
        <v>71.482542500467687</v>
      </c>
      <c r="D49">
        <v>100.614727866764</v>
      </c>
      <c r="E49">
        <v>68.823685138993071</v>
      </c>
      <c r="F49">
        <v>71.5846790474816</v>
      </c>
      <c r="G49">
        <v>80.155897308067324</v>
      </c>
      <c r="H49">
        <v>52.541890014650107</v>
      </c>
      <c r="I49">
        <v>57.44085833757827</v>
      </c>
      <c r="J49">
        <v>77.926607944366097</v>
      </c>
      <c r="K49">
        <v>0.63486613605504305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-0.14649886000040899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78.392641648105879</v>
      </c>
      <c r="C50">
        <v>72.329300992209099</v>
      </c>
      <c r="D50">
        <v>100.07117850158619</v>
      </c>
      <c r="E50">
        <v>68.937238072544034</v>
      </c>
      <c r="F50">
        <v>71.487850258585198</v>
      </c>
      <c r="G50">
        <v>80.839757460795667</v>
      </c>
      <c r="H50">
        <v>52.691778674146796</v>
      </c>
      <c r="I50">
        <v>60.297134294144335</v>
      </c>
      <c r="J50">
        <v>78.429887098646105</v>
      </c>
      <c r="K50">
        <v>0.65241229516620303</v>
      </c>
      <c r="L50">
        <v>99.734880303030295</v>
      </c>
      <c r="M50" s="15">
        <f>+'[3]VAR expectations'!C74</f>
        <v>2.2761535969954032</v>
      </c>
      <c r="N50">
        <v>0.70017615103754105</v>
      </c>
      <c r="O50">
        <v>0.242344274322987</v>
      </c>
      <c r="P50">
        <v>9.7494219999806203E-2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78.665010931495075</v>
      </c>
      <c r="C51">
        <v>72.762317015421971</v>
      </c>
      <c r="D51">
        <v>99.588196020031134</v>
      </c>
      <c r="E51">
        <v>69.148767011900915</v>
      </c>
      <c r="F51">
        <v>71.487766549569912</v>
      </c>
      <c r="G51">
        <v>80.75755903526867</v>
      </c>
      <c r="H51">
        <v>53.781965253928</v>
      </c>
      <c r="I51">
        <v>62.213078982483296</v>
      </c>
      <c r="J51">
        <v>78.650450224220293</v>
      </c>
      <c r="K51">
        <v>0.65446219885289902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-2.1327579999978599E-2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79.028056403455807</v>
      </c>
      <c r="C52">
        <v>73.385241757617408</v>
      </c>
      <c r="D52">
        <v>99.218511678288465</v>
      </c>
      <c r="E52">
        <v>69.456235717143826</v>
      </c>
      <c r="F52">
        <v>71.887123936461705</v>
      </c>
      <c r="G52">
        <v>80.784700865777836</v>
      </c>
      <c r="H52">
        <v>54.031493876833594</v>
      </c>
      <c r="I52">
        <v>63.507502810193195</v>
      </c>
      <c r="J52">
        <v>78.979688999678004</v>
      </c>
      <c r="K52">
        <v>0.66091908724602799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-2.3869130000224802E-2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79.616100224395225</v>
      </c>
      <c r="C53">
        <v>74.005587531667643</v>
      </c>
      <c r="D53">
        <v>98.648450713046941</v>
      </c>
      <c r="E53">
        <v>69.890091454494623</v>
      </c>
      <c r="F53">
        <v>72.381509219139559</v>
      </c>
      <c r="G53">
        <v>80.348361877675231</v>
      </c>
      <c r="H53">
        <v>54.731568466651531</v>
      </c>
      <c r="I53">
        <v>67.671668077572434</v>
      </c>
      <c r="J53">
        <v>79.688478674002994</v>
      </c>
      <c r="K53">
        <v>0.66091000873885497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2.60660000000533E-2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80.274543400602838</v>
      </c>
      <c r="C54">
        <v>74.554497813166336</v>
      </c>
      <c r="D54">
        <v>98.57868666063105</v>
      </c>
      <c r="E54">
        <v>71.285664214853611</v>
      </c>
      <c r="F54">
        <v>73.986476877637642</v>
      </c>
      <c r="G54">
        <v>80.810976600351822</v>
      </c>
      <c r="H54">
        <v>55.632164990051258</v>
      </c>
      <c r="I54">
        <v>70.050693780225302</v>
      </c>
      <c r="J54">
        <v>80.314080795744104</v>
      </c>
      <c r="K54">
        <v>0.65793897350294706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4.9794569999638702E-2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80.800427132966789</v>
      </c>
      <c r="C55">
        <v>75.456551119299505</v>
      </c>
      <c r="D55">
        <v>98.558511821028233</v>
      </c>
      <c r="E55">
        <v>72.057911842318063</v>
      </c>
      <c r="F55">
        <v>74.869558603496969</v>
      </c>
      <c r="G55">
        <v>81.59646818839326</v>
      </c>
      <c r="H55">
        <v>56.187332678070867</v>
      </c>
      <c r="I55">
        <v>69.8425549171358</v>
      </c>
      <c r="J55">
        <v>80.767598871034707</v>
      </c>
      <c r="K55">
        <v>0.65250611822025395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-8.0932616320032902E-2</v>
      </c>
      <c r="P55">
        <v>0.185573520000234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81.294136611870599</v>
      </c>
      <c r="C56">
        <v>76.094739577125168</v>
      </c>
      <c r="D56">
        <v>98.471297792341488</v>
      </c>
      <c r="E56">
        <v>72.551116032148968</v>
      </c>
      <c r="F56">
        <v>75.23886098498123</v>
      </c>
      <c r="G56">
        <v>81.666506140924298</v>
      </c>
      <c r="H56">
        <v>57.265352656374169</v>
      </c>
      <c r="I56">
        <v>71.130011823754629</v>
      </c>
      <c r="J56">
        <v>81.262662336062903</v>
      </c>
      <c r="K56">
        <v>0.64120008324831701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0.40345245000034902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81.649031386427509</v>
      </c>
      <c r="C57">
        <v>76.642439652277929</v>
      </c>
      <c r="D57">
        <v>98.272229622369494</v>
      </c>
      <c r="E57">
        <v>73.298449248536841</v>
      </c>
      <c r="F57">
        <v>76.216291682870732</v>
      </c>
      <c r="G57">
        <v>81.349850480929092</v>
      </c>
      <c r="H57">
        <v>57.844586884418639</v>
      </c>
      <c r="I57">
        <v>71.155158589332132</v>
      </c>
      <c r="J57">
        <v>81.726250538871199</v>
      </c>
      <c r="K57">
        <v>0.65071749491976905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0.53149722000028499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81.704607660063274</v>
      </c>
      <c r="C58">
        <v>77.223121730378423</v>
      </c>
      <c r="D58">
        <v>97.540757779232493</v>
      </c>
      <c r="E58">
        <v>73.551211920921631</v>
      </c>
      <c r="F58">
        <v>76.301462696892642</v>
      </c>
      <c r="G58">
        <v>81.728893140571429</v>
      </c>
      <c r="H58">
        <v>58.326853586139102</v>
      </c>
      <c r="I58">
        <v>70.482015931953569</v>
      </c>
      <c r="J58">
        <v>81.738755432819403</v>
      </c>
      <c r="K58">
        <v>0.65423212547982301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0.48016314000027399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82.511309284154365</v>
      </c>
      <c r="C59">
        <v>77.97623982762768</v>
      </c>
      <c r="D59">
        <v>97.458073227559211</v>
      </c>
      <c r="E59">
        <v>75.219909958289989</v>
      </c>
      <c r="F59">
        <v>78.59689594246386</v>
      </c>
      <c r="G59">
        <v>81.92756163044227</v>
      </c>
      <c r="H59">
        <v>58.859089179474203</v>
      </c>
      <c r="I59">
        <v>73.077899228037069</v>
      </c>
      <c r="J59">
        <v>82.455025967927398</v>
      </c>
      <c r="K59">
        <v>0.67024506683642904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0.38278913000034598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83.213165040783224</v>
      </c>
      <c r="C60">
        <v>78.58558293710702</v>
      </c>
      <c r="D60">
        <v>96.951612838368035</v>
      </c>
      <c r="E60">
        <v>75.989538617784035</v>
      </c>
      <c r="F60">
        <v>79.533800314850268</v>
      </c>
      <c r="G60">
        <v>81.958761481695561</v>
      </c>
      <c r="H60">
        <v>59.5443780289175</v>
      </c>
      <c r="I60">
        <v>77.885301844234462</v>
      </c>
      <c r="J60">
        <v>83.221725970549301</v>
      </c>
      <c r="K60">
        <v>0.69296241200498199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0.55036509999983996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84.399628693150348</v>
      </c>
      <c r="C61">
        <v>79.538236063419006</v>
      </c>
      <c r="D61">
        <v>96.709639050321059</v>
      </c>
      <c r="E61">
        <v>78.381976126925807</v>
      </c>
      <c r="F61">
        <v>82.317852338299701</v>
      </c>
      <c r="G61">
        <v>84.883190479726537</v>
      </c>
      <c r="H61">
        <v>60.3420906469917</v>
      </c>
      <c r="I61">
        <v>82.676148030737167</v>
      </c>
      <c r="J61">
        <v>84.478392297313206</v>
      </c>
      <c r="K61">
        <v>0.72645325089660395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-0.77297461999967598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85.622629543639661</v>
      </c>
      <c r="C62">
        <v>80.567897283771572</v>
      </c>
      <c r="D62">
        <v>96.458973725361218</v>
      </c>
      <c r="E62">
        <v>80.821169555121159</v>
      </c>
      <c r="F62">
        <v>85.573695742112193</v>
      </c>
      <c r="G62">
        <v>85.076931006914037</v>
      </c>
      <c r="H62">
        <v>60.969208878991708</v>
      </c>
      <c r="I62">
        <v>87.767598874700766</v>
      </c>
      <c r="J62">
        <v>85.633329895369201</v>
      </c>
      <c r="K62">
        <v>0.74434298026276902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-1.12977768999955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85.715849392881069</v>
      </c>
      <c r="C63">
        <v>81.447766942940902</v>
      </c>
      <c r="D63">
        <v>95.356926288901704</v>
      </c>
      <c r="E63">
        <v>81.793418453438733</v>
      </c>
      <c r="F63">
        <v>86.792930780798159</v>
      </c>
      <c r="G63">
        <v>85.181227747388434</v>
      </c>
      <c r="H63">
        <v>61.653561568642338</v>
      </c>
      <c r="I63">
        <v>85.991096345446337</v>
      </c>
      <c r="J63">
        <v>85.640870201207505</v>
      </c>
      <c r="K63">
        <v>0.73715014401478896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-2.2975232500002498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85.677461959349486</v>
      </c>
      <c r="C64">
        <v>81.837362245168777</v>
      </c>
      <c r="D64">
        <v>94.827625463273804</v>
      </c>
      <c r="E64">
        <v>83.009858818676022</v>
      </c>
      <c r="F64">
        <v>87.992384830951735</v>
      </c>
      <c r="G64">
        <v>87.197950512751859</v>
      </c>
      <c r="H64">
        <v>62.259280746307205</v>
      </c>
      <c r="I64">
        <v>82.010218805068106</v>
      </c>
      <c r="J64">
        <v>85.727723210041702</v>
      </c>
      <c r="K64">
        <v>0.74048679134173201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-3.8884712599996099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86.159767473117199</v>
      </c>
      <c r="C65">
        <v>82.270942086455022</v>
      </c>
      <c r="D65">
        <v>95.654937853779231</v>
      </c>
      <c r="E65">
        <v>83.220861419891065</v>
      </c>
      <c r="F65">
        <v>88.308924472725707</v>
      </c>
      <c r="G65">
        <v>87.210684344071424</v>
      </c>
      <c r="H65">
        <v>62.310964095113775</v>
      </c>
      <c r="I65">
        <v>82.036385359326431</v>
      </c>
      <c r="J65">
        <v>86.234746591915894</v>
      </c>
      <c r="K65">
        <v>0.72428991015393396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-4.00545135999994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86.924358965382169</v>
      </c>
      <c r="C66">
        <v>82.81896814687714</v>
      </c>
      <c r="D66">
        <v>96.748856466132224</v>
      </c>
      <c r="E66">
        <v>83.273957630892866</v>
      </c>
      <c r="F66">
        <v>87.773256590535865</v>
      </c>
      <c r="G66">
        <v>88.565677822548693</v>
      </c>
      <c r="H66">
        <v>63.382809237797339</v>
      </c>
      <c r="I66">
        <v>84.438226232249733</v>
      </c>
      <c r="J66">
        <v>86.903550005052494</v>
      </c>
      <c r="K66">
        <v>0.72110977526947995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-4.0528010000001196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87.534280391848981</v>
      </c>
      <c r="C67">
        <v>83.410494046372222</v>
      </c>
      <c r="D67">
        <v>97.120889174920407</v>
      </c>
      <c r="E67">
        <v>83.844235736632427</v>
      </c>
      <c r="F67">
        <v>88.325907871674744</v>
      </c>
      <c r="G67">
        <v>89.287832399037811</v>
      </c>
      <c r="H67">
        <v>64.125653345400124</v>
      </c>
      <c r="I67">
        <v>86.397384629409018</v>
      </c>
      <c r="J67">
        <v>87.453767216499799</v>
      </c>
      <c r="K67">
        <v>0.73402521386714703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-4.2009004299999901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88.431031756786368</v>
      </c>
      <c r="C68">
        <v>84.379843629766839</v>
      </c>
      <c r="D68">
        <v>97.462492596865729</v>
      </c>
      <c r="E68">
        <v>85.139204137760103</v>
      </c>
      <c r="F68">
        <v>89.45389171824047</v>
      </c>
      <c r="G68">
        <v>89.559481410536023</v>
      </c>
      <c r="H68">
        <v>66.656097658504692</v>
      </c>
      <c r="I68">
        <v>87.699420348776357</v>
      </c>
      <c r="J68">
        <v>88.514127241192</v>
      </c>
      <c r="K68">
        <v>0.74071209632276902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-3.9181667399999802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89.149934748506539</v>
      </c>
      <c r="C69">
        <v>85.19766892990674</v>
      </c>
      <c r="D69">
        <v>97.794868522571889</v>
      </c>
      <c r="E69">
        <v>85.883704500538329</v>
      </c>
      <c r="F69">
        <v>90.264505474537529</v>
      </c>
      <c r="G69">
        <v>90.181242827160006</v>
      </c>
      <c r="H69">
        <v>67.322786450733176</v>
      </c>
      <c r="I69">
        <v>88.993370830961922</v>
      </c>
      <c r="J69">
        <v>89.209086183359005</v>
      </c>
      <c r="K69">
        <v>0.75220901159416698</v>
      </c>
      <c r="L69">
        <v>79.899689230769198</v>
      </c>
      <c r="M69" s="15">
        <f>+'[3]VAR expectations'!C93</f>
        <v>2.6505886564059562</v>
      </c>
      <c r="N69">
        <v>0.58031803605650401</v>
      </c>
      <c r="O69">
        <v>0.158164675972188</v>
      </c>
      <c r="P69">
        <v>-3.1733993400003699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89.638295664428597</v>
      </c>
      <c r="C70">
        <v>85.933668029248807</v>
      </c>
      <c r="D70">
        <v>97.975057917382273</v>
      </c>
      <c r="E70">
        <v>86.951847485606322</v>
      </c>
      <c r="F70">
        <v>91.446252112802242</v>
      </c>
      <c r="G70">
        <v>90.863416686421871</v>
      </c>
      <c r="H70">
        <v>68.001586066196197</v>
      </c>
      <c r="I70">
        <v>88.087496150609169</v>
      </c>
      <c r="J70">
        <v>89.597683841033898</v>
      </c>
      <c r="K70">
        <v>0.74996855794348305</v>
      </c>
      <c r="L70">
        <v>81.7654454545455</v>
      </c>
      <c r="M70" s="15">
        <f>+'[3]VAR expectations'!C94</f>
        <v>2.8352346264846378</v>
      </c>
      <c r="N70">
        <v>0.26076684740058198</v>
      </c>
      <c r="O70">
        <v>-0.12701395323713599</v>
      </c>
      <c r="P70">
        <v>-2.7309234000001101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90.489806691673536</v>
      </c>
      <c r="C71">
        <v>86.591550510172837</v>
      </c>
      <c r="D71">
        <v>98.369291020059208</v>
      </c>
      <c r="E71">
        <v>88.591674365091123</v>
      </c>
      <c r="F71">
        <v>93.134609652903279</v>
      </c>
      <c r="G71">
        <v>92.782141747236793</v>
      </c>
      <c r="H71">
        <v>69.334212431998239</v>
      </c>
      <c r="I71">
        <v>90.420107092742185</v>
      </c>
      <c r="J71">
        <v>90.410167787066598</v>
      </c>
      <c r="K71">
        <v>0.76582631113469501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-2.63266102000035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92.028243469258697</v>
      </c>
      <c r="C72">
        <v>87.912954136587089</v>
      </c>
      <c r="D72">
        <v>99.170308563880198</v>
      </c>
      <c r="E72">
        <v>90.012390340043794</v>
      </c>
      <c r="F72">
        <v>94.438461307692236</v>
      </c>
      <c r="G72">
        <v>93.157843474569333</v>
      </c>
      <c r="H72">
        <v>71.801978896351073</v>
      </c>
      <c r="I72">
        <v>95.63345556943834</v>
      </c>
      <c r="J72">
        <v>92.119739749833698</v>
      </c>
      <c r="K72">
        <v>0.78215412173038701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-2.66449365000034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93.071537239931331</v>
      </c>
      <c r="C73">
        <v>89.053941880739373</v>
      </c>
      <c r="D73">
        <v>99.269249235974485</v>
      </c>
      <c r="E73">
        <v>91.677960881720082</v>
      </c>
      <c r="F73">
        <v>95.451418907754956</v>
      </c>
      <c r="G73">
        <v>96.631617482132739</v>
      </c>
      <c r="H73">
        <v>74.990928799148477</v>
      </c>
      <c r="I73">
        <v>98.193888402816199</v>
      </c>
      <c r="J73">
        <v>93.115139140596895</v>
      </c>
      <c r="K73">
        <v>0.80092941699513398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-3.6923686899997001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93.88444750362477</v>
      </c>
      <c r="C74">
        <v>89.712933821345914</v>
      </c>
      <c r="D74">
        <v>99.557415220224016</v>
      </c>
      <c r="E74">
        <v>93.237253062593496</v>
      </c>
      <c r="F74">
        <v>97.154983013083026</v>
      </c>
      <c r="G74">
        <v>97.117806384919632</v>
      </c>
      <c r="H74">
        <v>76.509680955431733</v>
      </c>
      <c r="I74">
        <v>100.16048266339607</v>
      </c>
      <c r="J74">
        <v>93.838217119473299</v>
      </c>
      <c r="K74">
        <v>0.81113157519398005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-3.81133526999953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94.672701258928484</v>
      </c>
      <c r="C75">
        <v>90.273236608513798</v>
      </c>
      <c r="D75">
        <v>99.989179091322356</v>
      </c>
      <c r="E75">
        <v>93.53243851102377</v>
      </c>
      <c r="F75">
        <v>97.130999508223098</v>
      </c>
      <c r="G75">
        <v>97.517105384179658</v>
      </c>
      <c r="H75">
        <v>77.876740062770367</v>
      </c>
      <c r="I75">
        <v>104.67347961454</v>
      </c>
      <c r="J75">
        <v>94.600489932485303</v>
      </c>
      <c r="K75">
        <v>0.80216568317818704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-3.7259827499998202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95.220820954359468</v>
      </c>
      <c r="C76">
        <v>90.990429966968122</v>
      </c>
      <c r="D76">
        <v>100.26857974524533</v>
      </c>
      <c r="E76">
        <v>94.339796445452819</v>
      </c>
      <c r="F76">
        <v>98.059612194220222</v>
      </c>
      <c r="G76">
        <v>98.45527453847923</v>
      </c>
      <c r="H76">
        <v>78.297742490915837</v>
      </c>
      <c r="I76">
        <v>104.58851939828367</v>
      </c>
      <c r="J76">
        <v>95.296584148130407</v>
      </c>
      <c r="K76">
        <v>0.79835418708710004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-3.4364011000000501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95.661802527232865</v>
      </c>
      <c r="C77">
        <v>91.874689063904952</v>
      </c>
      <c r="D77">
        <v>99.992917358954443</v>
      </c>
      <c r="E77">
        <v>95.203022129596903</v>
      </c>
      <c r="F77">
        <v>98.600118892723756</v>
      </c>
      <c r="G77">
        <v>98.345073628168578</v>
      </c>
      <c r="H77">
        <v>80.92869552649023</v>
      </c>
      <c r="I77">
        <v>104.38449519996699</v>
      </c>
      <c r="J77">
        <v>95.693213531299804</v>
      </c>
      <c r="K77">
        <v>0.78803170707853898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-4.3636593431138598E-2</v>
      </c>
      <c r="P77">
        <v>-2.99418837000003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96.159767218089812</v>
      </c>
      <c r="C78">
        <v>92.663352223679908</v>
      </c>
      <c r="D78">
        <v>100.06940014021309</v>
      </c>
      <c r="E78">
        <v>96.119997808526307</v>
      </c>
      <c r="F78">
        <v>99.226059819864759</v>
      </c>
      <c r="G78">
        <v>98.889203676161401</v>
      </c>
      <c r="H78">
        <v>82.976542147357691</v>
      </c>
      <c r="I78">
        <v>103.68392399016135</v>
      </c>
      <c r="J78">
        <v>96.132760719628607</v>
      </c>
      <c r="K78">
        <v>0.78634969678226596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-2.5402756399995701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97.162654324186406</v>
      </c>
      <c r="C79">
        <v>93.826460332511601</v>
      </c>
      <c r="D79">
        <v>100.41599381321834</v>
      </c>
      <c r="E79">
        <v>97.577215912233058</v>
      </c>
      <c r="F79">
        <v>100.72039637815533</v>
      </c>
      <c r="G79">
        <v>99.479469338698934</v>
      </c>
      <c r="H79">
        <v>84.635688583830543</v>
      </c>
      <c r="I79">
        <v>105.58560077124032</v>
      </c>
      <c r="J79">
        <v>97.111004738496405</v>
      </c>
      <c r="K79">
        <v>0.78628976005266804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-2.57554489999987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97.878193851988456</v>
      </c>
      <c r="C80">
        <v>94.497627156783551</v>
      </c>
      <c r="D80">
        <v>100.254932305259</v>
      </c>
      <c r="E80">
        <v>98.933204440311627</v>
      </c>
      <c r="F80">
        <v>101.83126148337634</v>
      </c>
      <c r="G80">
        <v>101.77750241492633</v>
      </c>
      <c r="H80">
        <v>85.719467781935421</v>
      </c>
      <c r="I80">
        <v>108.31131054214534</v>
      </c>
      <c r="J80">
        <v>97.925458902875704</v>
      </c>
      <c r="K80">
        <v>0.80702535396044905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-2.84197376999985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98.251371169736501</v>
      </c>
      <c r="C81">
        <v>95.046558618004497</v>
      </c>
      <c r="D81">
        <v>100.279781437274</v>
      </c>
      <c r="E81">
        <v>99.85965964143206</v>
      </c>
      <c r="F81">
        <v>102.75493438316467</v>
      </c>
      <c r="G81">
        <v>101.83655502962365</v>
      </c>
      <c r="H81">
        <v>87.210483264387776</v>
      </c>
      <c r="I81">
        <v>107.83198363255967</v>
      </c>
      <c r="J81">
        <v>98.272706595102505</v>
      </c>
      <c r="K81">
        <v>0.80061988410660201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-2.8346755799996499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98.752877160083656</v>
      </c>
      <c r="C82">
        <v>95.572996024639778</v>
      </c>
      <c r="D82">
        <v>100.44627629552234</v>
      </c>
      <c r="E82">
        <v>100.64150281277101</v>
      </c>
      <c r="F82">
        <v>103.29668593260833</v>
      </c>
      <c r="G82">
        <v>102.71402309021333</v>
      </c>
      <c r="H82">
        <v>88.582944411499966</v>
      </c>
      <c r="I82">
        <v>108.30882281468034</v>
      </c>
      <c r="J82">
        <v>98.742100877363796</v>
      </c>
      <c r="K82">
        <v>0.80020429606267296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-1.9739071099997301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99.166455339754961</v>
      </c>
      <c r="C83">
        <v>96.227854398879231</v>
      </c>
      <c r="D83">
        <v>100.78378585909799</v>
      </c>
      <c r="E83">
        <v>101.17456684900201</v>
      </c>
      <c r="F83">
        <v>103.58096806885334</v>
      </c>
      <c r="G83">
        <v>102.56861047449966</v>
      </c>
      <c r="H83">
        <v>90.44925156317386</v>
      </c>
      <c r="I83">
        <v>107.92761355021734</v>
      </c>
      <c r="J83">
        <v>99.137333193717495</v>
      </c>
      <c r="K83">
        <v>0.78393808826123101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-2.1939579299996401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99.615955854822573</v>
      </c>
      <c r="C84">
        <v>96.761791118699719</v>
      </c>
      <c r="D84">
        <v>100.74134187230932</v>
      </c>
      <c r="E84">
        <v>101.51257843161932</v>
      </c>
      <c r="F84">
        <v>103.69953363063466</v>
      </c>
      <c r="G84">
        <v>102.60362964377134</v>
      </c>
      <c r="H84">
        <v>91.969860320274293</v>
      </c>
      <c r="I84">
        <v>109.70574427986433</v>
      </c>
      <c r="J84">
        <v>99.631476601550702</v>
      </c>
      <c r="K84">
        <v>0.77500807653390702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-1.88252330999975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99.965819601650438</v>
      </c>
      <c r="C85">
        <v>97.447424992475135</v>
      </c>
      <c r="D85">
        <v>101.19546868523967</v>
      </c>
      <c r="E85">
        <v>101.10261374965933</v>
      </c>
      <c r="F85">
        <v>102.71189967837365</v>
      </c>
      <c r="G85">
        <v>102.60719148896334</v>
      </c>
      <c r="H85">
        <v>93.612652476300511</v>
      </c>
      <c r="I85">
        <v>108.99808979591967</v>
      </c>
      <c r="J85">
        <v>99.977106108624895</v>
      </c>
      <c r="K85">
        <v>0.77065630898198501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-1.3807983800000101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100.156775099846</v>
      </c>
      <c r="C86">
        <v>97.959616513152298</v>
      </c>
      <c r="D86">
        <v>101.00929069774266</v>
      </c>
      <c r="E86">
        <v>101.19998262825101</v>
      </c>
      <c r="F86">
        <v>102.32966291734733</v>
      </c>
      <c r="G86">
        <v>102.08057961267566</v>
      </c>
      <c r="H86">
        <v>95.727238514597317</v>
      </c>
      <c r="I86">
        <v>108.44566884492866</v>
      </c>
      <c r="J86">
        <v>100.163095153805</v>
      </c>
      <c r="K86">
        <v>0.75998496996257003</v>
      </c>
      <c r="L86">
        <v>88.037404545454606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-1.33723451999993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100.07196963701365</v>
      </c>
      <c r="C87">
        <v>98.542977429118892</v>
      </c>
      <c r="D87">
        <v>100.49870902695132</v>
      </c>
      <c r="E87">
        <v>101.349661706894</v>
      </c>
      <c r="F87">
        <v>101.90290543621967</v>
      </c>
      <c r="G87">
        <v>102.87871284800299</v>
      </c>
      <c r="H87">
        <v>97.59001256200041</v>
      </c>
      <c r="I87">
        <v>105.70806322163735</v>
      </c>
      <c r="J87">
        <v>100.06243149565699</v>
      </c>
      <c r="K87">
        <v>0.75127142152237703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-1.2499002700004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99.755687747016864</v>
      </c>
      <c r="C88">
        <v>99.111211990194136</v>
      </c>
      <c r="D88">
        <v>100.21656705032819</v>
      </c>
      <c r="E88">
        <v>100.36814811549966</v>
      </c>
      <c r="F88">
        <v>100.68647438432465</v>
      </c>
      <c r="G88">
        <v>100.86576622351333</v>
      </c>
      <c r="H88">
        <v>98.708382588715622</v>
      </c>
      <c r="I88">
        <v>100.83034463419932</v>
      </c>
      <c r="J88">
        <v>99.740770647220799</v>
      </c>
      <c r="K88">
        <v>0.73099702131507505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-1.30516525999985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99.962409231154538</v>
      </c>
      <c r="C89">
        <v>99.57637621232459</v>
      </c>
      <c r="D89">
        <v>100.00489354536182</v>
      </c>
      <c r="E89">
        <v>100.17211682519599</v>
      </c>
      <c r="F89">
        <v>100.35558376783332</v>
      </c>
      <c r="G89">
        <v>100.54309078209467</v>
      </c>
      <c r="H89">
        <v>99.288297888756986</v>
      </c>
      <c r="I89">
        <v>101.88185241106066</v>
      </c>
      <c r="J89">
        <v>99.974039934892204</v>
      </c>
      <c r="K89">
        <v>0.726376257800047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-1.4668309999998601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100.13003119206701</v>
      </c>
      <c r="C90">
        <v>100.26248661792567</v>
      </c>
      <c r="D90">
        <v>100.00259981235115</v>
      </c>
      <c r="E90">
        <v>99.895684853706939</v>
      </c>
      <c r="F90">
        <v>99.795633824977585</v>
      </c>
      <c r="G90">
        <v>99.805227788406796</v>
      </c>
      <c r="H90">
        <v>100.32554465457133</v>
      </c>
      <c r="I90">
        <v>99.958939008899549</v>
      </c>
      <c r="J90">
        <v>100.140852601795</v>
      </c>
      <c r="K90">
        <v>0.71661122800277499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-1.2739108199997899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100.13205440988334</v>
      </c>
      <c r="C91">
        <v>101.03750000120101</v>
      </c>
      <c r="D91">
        <v>99.775021844792434</v>
      </c>
      <c r="E91">
        <v>99.559641003883783</v>
      </c>
      <c r="F91">
        <v>99.151206683262771</v>
      </c>
      <c r="G91">
        <v>98.666234944288931</v>
      </c>
      <c r="H91">
        <v>101.762818487178</v>
      </c>
      <c r="I91">
        <v>97.167550970506738</v>
      </c>
      <c r="J91">
        <v>100.14433681609199</v>
      </c>
      <c r="K91">
        <v>0.70785219429855795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-0.81570793999962199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100.13367452141101</v>
      </c>
      <c r="C92">
        <v>101.63189489369734</v>
      </c>
      <c r="D92">
        <v>99.608965756891919</v>
      </c>
      <c r="E92">
        <v>98.87140916432395</v>
      </c>
      <c r="F92">
        <v>98.164792183989064</v>
      </c>
      <c r="G92">
        <v>97.541749119820608</v>
      </c>
      <c r="H92">
        <v>102.855093151196</v>
      </c>
      <c r="I92">
        <v>95.366947855571368</v>
      </c>
      <c r="J92">
        <v>100.093544617294</v>
      </c>
      <c r="K92">
        <v>0.72234316086335104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-0.66960981999965496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100.31869537871501</v>
      </c>
      <c r="C93">
        <v>102.17178671747267</v>
      </c>
      <c r="D93">
        <v>99.215687348618232</v>
      </c>
      <c r="E93">
        <v>98.484993331144366</v>
      </c>
      <c r="F93">
        <v>97.579868573095609</v>
      </c>
      <c r="G93">
        <v>96.319881502157969</v>
      </c>
      <c r="H93">
        <v>104.01946143698433</v>
      </c>
      <c r="I93">
        <v>96.843642366676178</v>
      </c>
      <c r="J93">
        <v>100.330800652611</v>
      </c>
      <c r="K93">
        <v>0.73890891526929603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-0.95067607999959802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100.82498580137133</v>
      </c>
      <c r="C94">
        <v>102.97928955294667</v>
      </c>
      <c r="D94">
        <v>99.172319297300916</v>
      </c>
      <c r="E94">
        <v>98.706888279547925</v>
      </c>
      <c r="F94">
        <v>97.4405793301881</v>
      </c>
      <c r="G94">
        <v>96.302435453129945</v>
      </c>
      <c r="H94">
        <v>105.93517774078732</v>
      </c>
      <c r="I94">
        <v>97.784779942427903</v>
      </c>
      <c r="J94">
        <v>100.842929304284</v>
      </c>
      <c r="K94">
        <v>0.77072553054453496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-0.74109541000022905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101.35257590204166</v>
      </c>
      <c r="C95">
        <v>103.43137069702533</v>
      </c>
      <c r="D95">
        <v>99.732319517873634</v>
      </c>
      <c r="E95">
        <v>98.874109192252646</v>
      </c>
      <c r="F95">
        <v>97.33987107616656</v>
      </c>
      <c r="G95">
        <v>97.007717541728468</v>
      </c>
      <c r="H95">
        <v>106.77489105538366</v>
      </c>
      <c r="I95">
        <v>100.01355184142777</v>
      </c>
      <c r="J95">
        <v>101.376885513658</v>
      </c>
      <c r="K95">
        <v>0.788207537233098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-0.67627689999969498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102.291492824952</v>
      </c>
      <c r="C96">
        <v>104.16777868534933</v>
      </c>
      <c r="D96">
        <v>100.32424153666544</v>
      </c>
      <c r="E96">
        <v>100.01471693019278</v>
      </c>
      <c r="F96">
        <v>98.468997067355829</v>
      </c>
      <c r="G96">
        <v>97.888175592362089</v>
      </c>
      <c r="H96">
        <v>108.36736527324599</v>
      </c>
      <c r="I96">
        <v>103.56179858643067</v>
      </c>
      <c r="J96">
        <v>102.232951651815</v>
      </c>
      <c r="K96">
        <v>0.798228893411986</v>
      </c>
      <c r="L96">
        <v>77.053801538461499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-0.56428853999979001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103.07549779646767</v>
      </c>
      <c r="C97">
        <v>105.060772098776</v>
      </c>
      <c r="D97">
        <v>101.16572277331234</v>
      </c>
      <c r="E97">
        <v>101.233210967231</v>
      </c>
      <c r="F97">
        <v>99.491872803657273</v>
      </c>
      <c r="G97">
        <v>99.075256259541163</v>
      </c>
      <c r="H97">
        <v>110.42036443665999</v>
      </c>
      <c r="I97">
        <v>102.38816799277568</v>
      </c>
      <c r="J97">
        <v>103.090261791385</v>
      </c>
      <c r="K97">
        <v>0.79550803385803104</v>
      </c>
      <c r="L97">
        <v>77.968176923076896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-0.63591345000018096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103.64405976107435</v>
      </c>
      <c r="C98">
        <v>105.71245167459233</v>
      </c>
      <c r="D98">
        <v>101.61586193098799</v>
      </c>
      <c r="E98">
        <v>101.81688394335701</v>
      </c>
      <c r="F98">
        <v>99.911082461119577</v>
      </c>
      <c r="G98">
        <v>99.605511323955568</v>
      </c>
      <c r="H98">
        <v>111.82081685983066</v>
      </c>
      <c r="I98">
        <v>102.45333969494733</v>
      </c>
      <c r="J98">
        <v>103.670894319807</v>
      </c>
      <c r="K98">
        <v>0.802661568707982</v>
      </c>
      <c r="L98">
        <v>76.548027692307699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-0.80500966000034002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104.42675099314999</v>
      </c>
      <c r="C99">
        <v>106.23462612881468</v>
      </c>
      <c r="D99">
        <v>102.24630439045832</v>
      </c>
      <c r="E99">
        <v>103.08281032091899</v>
      </c>
      <c r="F99">
        <v>101.25746395207132</v>
      </c>
      <c r="G99">
        <v>99.752951200848472</v>
      </c>
      <c r="H99">
        <v>113.52414899489067</v>
      </c>
      <c r="I99">
        <v>105.16895669191166</v>
      </c>
      <c r="J99">
        <v>104.45455859642</v>
      </c>
      <c r="K99">
        <v>0.80846109130113097</v>
      </c>
      <c r="L99">
        <v>77.708216923076904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-0.83029360999967905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105.079357773333</v>
      </c>
      <c r="C100">
        <v>106.846794594467</v>
      </c>
      <c r="D100">
        <v>102.60481755263834</v>
      </c>
      <c r="E100">
        <v>103.73556649599733</v>
      </c>
      <c r="F100">
        <v>101.67400175453066</v>
      </c>
      <c r="G100">
        <v>99.915721605610599</v>
      </c>
      <c r="H100">
        <v>115.998728261878</v>
      </c>
      <c r="I100">
        <v>107.59513558830834</v>
      </c>
      <c r="J100">
        <v>104.996875229697</v>
      </c>
      <c r="K100">
        <v>0.811856855436904</v>
      </c>
      <c r="L100">
        <v>79.033741538461499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-0.90363888999986797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105.55989359469201</v>
      </c>
      <c r="C101">
        <v>107.41159788506833</v>
      </c>
      <c r="D101">
        <v>102.910436213062</v>
      </c>
      <c r="E101">
        <v>104.06424801959899</v>
      </c>
      <c r="F101">
        <v>101.77124006581467</v>
      </c>
      <c r="G101">
        <v>99.71954804542564</v>
      </c>
      <c r="H101">
        <v>118.06400521616666</v>
      </c>
      <c r="I101">
        <v>108.65757363923801</v>
      </c>
      <c r="J101">
        <v>105.599576390393</v>
      </c>
      <c r="K101">
        <v>0.82016303423232595</v>
      </c>
      <c r="L101">
        <v>79.101027692307696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-0.74805545999971801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106.24342605958502</v>
      </c>
      <c r="C102">
        <v>108.25949136464233</v>
      </c>
      <c r="D102">
        <v>102.84911123004133</v>
      </c>
      <c r="E102">
        <v>104.47174192940599</v>
      </c>
      <c r="F102">
        <v>101.97145227723134</v>
      </c>
      <c r="G102">
        <v>99.984079773178735</v>
      </c>
      <c r="H102">
        <v>119.757041981317</v>
      </c>
      <c r="I102">
        <v>111.76112401529467</v>
      </c>
      <c r="J102">
        <v>106.267071084428</v>
      </c>
      <c r="K102">
        <v>0.82872608317530305</v>
      </c>
      <c r="L102">
        <v>77.813970769230806</v>
      </c>
      <c r="M102" s="15">
        <f>+'[3]VAR expectations'!C126</f>
        <v>2.6759360893479318</v>
      </c>
      <c r="N102">
        <v>0.59026787322204399</v>
      </c>
      <c r="O102">
        <v>0.21968415645398701</v>
      </c>
      <c r="P102">
        <v>-0.56417996000006598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106.80055712176868</v>
      </c>
      <c r="C103">
        <v>108.85870606596102</v>
      </c>
      <c r="D103">
        <v>103.19563349172233</v>
      </c>
      <c r="E103">
        <v>104.971461360036</v>
      </c>
      <c r="F103">
        <v>101.963228578094</v>
      </c>
      <c r="G103">
        <v>100.26155529709133</v>
      </c>
      <c r="H103">
        <v>122.72673503076533</v>
      </c>
      <c r="I103">
        <v>113.99541960399667</v>
      </c>
      <c r="J103">
        <v>106.823764183771</v>
      </c>
      <c r="K103">
        <v>0.82467856051641997</v>
      </c>
      <c r="L103">
        <v>77.843365151515201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-0.54654668000039497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107.07177400594766</v>
      </c>
      <c r="C104">
        <v>109.506657964488</v>
      </c>
      <c r="D104">
        <v>103.549112235027</v>
      </c>
      <c r="E104">
        <v>105.87703612333566</v>
      </c>
      <c r="F104">
        <v>102.65769343930333</v>
      </c>
      <c r="G104">
        <v>100.89399931135</v>
      </c>
      <c r="H104">
        <v>125.20242153132166</v>
      </c>
      <c r="I104">
        <v>109.36778123415667</v>
      </c>
      <c r="J104">
        <v>106.962700532151</v>
      </c>
      <c r="K104">
        <v>0.82446537246885199</v>
      </c>
      <c r="L104">
        <v>78.730029687499993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-0.12866082000015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107.693268726635</v>
      </c>
      <c r="C105">
        <v>110.24765624614433</v>
      </c>
      <c r="D105">
        <v>103.312664558132</v>
      </c>
      <c r="E105">
        <v>105.960819582615</v>
      </c>
      <c r="F105">
        <v>102.90284261820132</v>
      </c>
      <c r="G105">
        <v>100.39118490232067</v>
      </c>
      <c r="H105">
        <v>125.29404029924399</v>
      </c>
      <c r="I105">
        <v>115.25023504698599</v>
      </c>
      <c r="J105">
        <v>107.77911591641499</v>
      </c>
      <c r="K105">
        <v>0.83105875414883501</v>
      </c>
      <c r="L105">
        <v>78.457547692307699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-0.56572836999981302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108.194573239514</v>
      </c>
      <c r="C106">
        <v>110.89067513800366</v>
      </c>
      <c r="D106">
        <v>103.48796786159865</v>
      </c>
      <c r="E106">
        <v>106.692359397761</v>
      </c>
      <c r="F106">
        <v>103.62806907426466</v>
      </c>
      <c r="G106">
        <v>100.93470526072566</v>
      </c>
      <c r="H106">
        <v>126.25256586595465</v>
      </c>
      <c r="I106">
        <v>114.909669489167</v>
      </c>
      <c r="J106">
        <v>108.203785159253</v>
      </c>
      <c r="K106">
        <v>0.84333593957728503</v>
      </c>
      <c r="L106">
        <v>75.795746969697007</v>
      </c>
      <c r="M106" s="15">
        <f>+'[3]VAR expectations'!C130</f>
        <v>2.9781745842670815</v>
      </c>
      <c r="N106">
        <v>0.17462163035891601</v>
      </c>
      <c r="O106">
        <v>-8.21163442679727E-3</v>
      </c>
      <c r="P106">
        <v>-0.44872501000030002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108.30715277235232</v>
      </c>
      <c r="C107">
        <v>111.41808185710401</v>
      </c>
      <c r="D107">
        <v>103.65690153182466</v>
      </c>
      <c r="E107">
        <v>106.93165717376201</v>
      </c>
      <c r="F107">
        <v>103.70583139788501</v>
      </c>
      <c r="G107">
        <v>101.55657506605301</v>
      </c>
      <c r="H107">
        <v>126.31273682879934</v>
      </c>
      <c r="I107">
        <v>112.09281529482267</v>
      </c>
      <c r="J107">
        <v>108.320546721306</v>
      </c>
      <c r="K107">
        <v>0.82843226110685597</v>
      </c>
      <c r="L107">
        <v>79.403969696969696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-0.54979625000005605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108.90646847886033</v>
      </c>
      <c r="C108">
        <v>112.21093341450167</v>
      </c>
      <c r="D108">
        <v>103.99250058054633</v>
      </c>
      <c r="E108">
        <v>107.27016114142066</v>
      </c>
      <c r="F108">
        <v>104.04188780711799</v>
      </c>
      <c r="G108">
        <v>101.86694006195967</v>
      </c>
      <c r="H108">
        <v>126.67201158503633</v>
      </c>
      <c r="I108">
        <v>112.93104755134</v>
      </c>
      <c r="J108">
        <v>108.765737121171</v>
      </c>
      <c r="K108">
        <v>0.82376799530747102</v>
      </c>
      <c r="L108">
        <v>79.231538461538506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-0.626266049999612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108.294656168073</v>
      </c>
      <c r="C109">
        <v>112.32267332605166</v>
      </c>
      <c r="D109">
        <v>103.79438125090167</v>
      </c>
      <c r="E109">
        <v>107.74313973039132</v>
      </c>
      <c r="F109">
        <v>104.344605352069</v>
      </c>
      <c r="G109">
        <v>102.44647168778801</v>
      </c>
      <c r="H109">
        <v>128.62169192604631</v>
      </c>
      <c r="I109">
        <v>102.48415708078566</v>
      </c>
      <c r="J109">
        <v>108.445986599131</v>
      </c>
      <c r="K109">
        <v>0.81302965278783501</v>
      </c>
      <c r="L109">
        <v>77.416984615384607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-2.7966111900003798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108.85279396546366</v>
      </c>
      <c r="C110">
        <v>112.46550159335401</v>
      </c>
      <c r="D110">
        <v>104.62694437993834</v>
      </c>
      <c r="E110">
        <v>107.635152308521</v>
      </c>
      <c r="F110">
        <v>103.96948682988932</v>
      </c>
      <c r="G110">
        <v>101.80064153987068</v>
      </c>
      <c r="H110">
        <v>130.62282993919868</v>
      </c>
      <c r="I110">
        <v>105.01930662604366</v>
      </c>
      <c r="J110">
        <v>108.831178441348</v>
      </c>
      <c r="K110">
        <v>0.81523673020943999</v>
      </c>
      <c r="L110">
        <v>77.453536363636402</v>
      </c>
      <c r="M110" s="15">
        <f>+'[3]VAR expectations'!C134</f>
        <v>3.1319434989789481</v>
      </c>
      <c r="N110">
        <v>-0.57563884899936701</v>
      </c>
      <c r="O110">
        <v>0.118900887754049</v>
      </c>
      <c r="P110">
        <v>-1.96822853000023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108.88913773087533</v>
      </c>
      <c r="C111">
        <v>112.99038208547734</v>
      </c>
      <c r="D111">
        <v>104.89928408283299</v>
      </c>
      <c r="E111">
        <v>107.32248596850302</v>
      </c>
      <c r="F111">
        <v>103.20387927863868</v>
      </c>
      <c r="G111">
        <v>101.92185695915333</v>
      </c>
      <c r="H111">
        <v>131.90729264465401</v>
      </c>
      <c r="I111">
        <v>102.05021178602168</v>
      </c>
      <c r="J111">
        <v>108.883861821894</v>
      </c>
      <c r="K111">
        <v>0.82770637555197202</v>
      </c>
      <c r="L111">
        <v>77.966816666666702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-1.6891033799998301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109.62207670096666</v>
      </c>
      <c r="C112">
        <v>114.03070510637866</v>
      </c>
      <c r="D112">
        <v>104.75694354865333</v>
      </c>
      <c r="E112">
        <v>107.47442653679934</v>
      </c>
      <c r="F112">
        <v>103.15050425268699</v>
      </c>
      <c r="G112">
        <v>102.19493146288733</v>
      </c>
      <c r="H112">
        <v>133.15300486520565</v>
      </c>
      <c r="I112">
        <v>106.42869198998066</v>
      </c>
      <c r="J112">
        <v>109.495964679143</v>
      </c>
      <c r="K112">
        <v>0.81997916491071399</v>
      </c>
      <c r="L112">
        <v>80.482731250000001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-0.91172901999980904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110.44012242314733</v>
      </c>
      <c r="C113">
        <v>114.37574899459634</v>
      </c>
      <c r="D113">
        <v>105.831441572061</v>
      </c>
      <c r="E113">
        <v>107.76179020299166</v>
      </c>
      <c r="F113">
        <v>103.53160260074434</v>
      </c>
      <c r="G113">
        <v>103.33297302331134</v>
      </c>
      <c r="H113">
        <v>132.47388877147435</v>
      </c>
      <c r="I113">
        <v>111.401693914674</v>
      </c>
      <c r="J113">
        <v>110.62355679663401</v>
      </c>
      <c r="K113">
        <v>0.82659569796815602</v>
      </c>
      <c r="L113">
        <v>81.786427692307697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0.125953359999736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111.88485235950232</v>
      </c>
      <c r="C114">
        <v>115.17756907691165</v>
      </c>
      <c r="D114">
        <v>107.75292264380833</v>
      </c>
      <c r="E114">
        <v>108.41940563842</v>
      </c>
      <c r="F114">
        <v>104.10938180641666</v>
      </c>
      <c r="G114">
        <v>103.40720490542766</v>
      </c>
      <c r="H114">
        <v>134.13741280739634</v>
      </c>
      <c r="I114">
        <v>115.36793283477967</v>
      </c>
      <c r="J114">
        <v>111.825183176511</v>
      </c>
      <c r="K114">
        <v>0.85503420500566196</v>
      </c>
      <c r="L114">
        <v>81.769348484848507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0.25777573000023901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114.25327272653267</v>
      </c>
      <c r="C115">
        <v>116.70420427830668</v>
      </c>
      <c r="D115">
        <v>109.69786311448934</v>
      </c>
      <c r="E115">
        <v>110.42230447130498</v>
      </c>
      <c r="F115">
        <v>105.937447898009</v>
      </c>
      <c r="G115">
        <v>104.08317235695399</v>
      </c>
      <c r="H115">
        <v>138.26059725677234</v>
      </c>
      <c r="I115">
        <v>126.85665838377366</v>
      </c>
      <c r="J115">
        <v>114.22932279156301</v>
      </c>
      <c r="K115">
        <v>0.89904007625108595</v>
      </c>
      <c r="L115">
        <v>81.601331818181805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0.77441285000039095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116.486581862009</v>
      </c>
      <c r="C116">
        <v>118.212165876349</v>
      </c>
      <c r="D116">
        <v>112.14462064611666</v>
      </c>
      <c r="E116">
        <v>112.61984714770567</v>
      </c>
      <c r="F116">
        <v>108.43997703869566</v>
      </c>
      <c r="G116">
        <v>104.04912155942499</v>
      </c>
      <c r="H116">
        <v>141.19113856124034</v>
      </c>
      <c r="I116">
        <v>132.13591091897231</v>
      </c>
      <c r="J116">
        <v>116.391426649449</v>
      </c>
      <c r="K116">
        <v>0.93243291258427596</v>
      </c>
      <c r="L116">
        <v>82.320465624997198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1.84030472999969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120.47351124165699</v>
      </c>
      <c r="C117">
        <v>119.96684218488967</v>
      </c>
      <c r="D117">
        <v>113.37725901709034</v>
      </c>
      <c r="E117">
        <v>115.537296436266</v>
      </c>
      <c r="F117">
        <v>112.13960768798368</v>
      </c>
      <c r="G117">
        <v>104.81681713009766</v>
      </c>
      <c r="H117">
        <v>143.00777628878066</v>
      </c>
      <c r="I117">
        <v>171.12812145281964</v>
      </c>
      <c r="J117">
        <v>120.68869224470799</v>
      </c>
      <c r="K117">
        <v>0.989797540107896</v>
      </c>
      <c r="L117">
        <v>80.190636866096895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1.8834081599999599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123.12229103434235</v>
      </c>
      <c r="C118">
        <v>121.98653989072101</v>
      </c>
      <c r="D118">
        <v>114.981403659585</v>
      </c>
      <c r="E118">
        <v>120.36470807675168</v>
      </c>
      <c r="F118">
        <v>118.05674315954832</v>
      </c>
      <c r="G118">
        <v>106.38610613808299</v>
      </c>
      <c r="H118">
        <v>145.13989100687297</v>
      </c>
      <c r="I118">
        <v>177.54291239588397</v>
      </c>
      <c r="J118">
        <v>123.00612915298299</v>
      </c>
      <c r="K118">
        <v>1.0549677290056301</v>
      </c>
      <c r="L118">
        <v>78.205745454544996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1.6574865000001999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126.55925776765832</v>
      </c>
      <c r="C119">
        <v>124.23011952446366</v>
      </c>
      <c r="D119">
        <v>116.64205193634068</v>
      </c>
      <c r="E119">
        <v>124.68235356034567</v>
      </c>
      <c r="F119">
        <v>123.40064066747867</v>
      </c>
      <c r="G119">
        <v>107.93858416534967</v>
      </c>
      <c r="H119">
        <v>145.93290013082432</v>
      </c>
      <c r="I119">
        <v>197.80737493325466</v>
      </c>
      <c r="J119">
        <v>126.53009480934401</v>
      </c>
      <c r="K119">
        <v>1.0246932577811401</v>
      </c>
      <c r="L119">
        <v>78.079235384615401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1.4614815499999001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128.37715851565198</v>
      </c>
      <c r="C120">
        <v>125.88880281268332</v>
      </c>
      <c r="D120">
        <v>118.54958785963466</v>
      </c>
      <c r="E120">
        <v>128.60892618860331</v>
      </c>
      <c r="F120">
        <v>127.94925984286033</v>
      </c>
      <c r="G120">
        <v>110.10726505273267</v>
      </c>
      <c r="H120">
        <v>148.15456446715467</v>
      </c>
      <c r="I120">
        <v>193.14968097575334</v>
      </c>
      <c r="J120">
        <v>128.324520125059</v>
      </c>
      <c r="K120">
        <v>1.0328677670959601</v>
      </c>
      <c r="L120">
        <v>78.144530769230798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1.1852363700003801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130.545172472313</v>
      </c>
      <c r="C121">
        <v>128.49858998769602</v>
      </c>
      <c r="D121">
        <v>120.75846082214498</v>
      </c>
      <c r="E121">
        <v>133.42337635444733</v>
      </c>
      <c r="F121">
        <v>132.52225339260633</v>
      </c>
      <c r="G121">
        <v>112.12719432886468</v>
      </c>
      <c r="H121">
        <v>158.96148672909067</v>
      </c>
      <c r="I121">
        <v>183.64023419174566</v>
      </c>
      <c r="J121">
        <v>130.76987853213799</v>
      </c>
      <c r="K121">
        <v>1.0147751912979599</v>
      </c>
      <c r="L121">
        <v>80.435667692307703</v>
      </c>
      <c r="M121" s="15">
        <f>+'[3]VAR expectations'!C145</f>
        <v>4.9659010810981856</v>
      </c>
      <c r="N121">
        <v>0.70170723997551099</v>
      </c>
      <c r="O121">
        <v>-0.231251350162267</v>
      </c>
      <c r="P121">
        <v>0.93702381000020696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131.40737139709998</v>
      </c>
      <c r="C122">
        <v>130.56448939069168</v>
      </c>
      <c r="D122">
        <v>121.04060906269166</v>
      </c>
      <c r="E122">
        <v>135.45625783525531</v>
      </c>
      <c r="F122">
        <v>133.98407406414367</v>
      </c>
      <c r="G122">
        <v>115.80609335523233</v>
      </c>
      <c r="H122">
        <v>162.45912013109668</v>
      </c>
      <c r="I122">
        <v>171.57485271506198</v>
      </c>
      <c r="J122">
        <v>131.240514737789</v>
      </c>
      <c r="K122">
        <v>1.0055862585390301</v>
      </c>
      <c r="L122">
        <v>82.183743076923093</v>
      </c>
      <c r="M122" s="15">
        <f>+'[3]VAR expectations'!C146</f>
        <v>4.3007323969777262</v>
      </c>
      <c r="N122">
        <v>-0.16340187781012599</v>
      </c>
      <c r="O122">
        <v>-0.673433352934243</v>
      </c>
      <c r="P122">
        <v>0.59690750000039605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131.86987650259201</v>
      </c>
      <c r="C123">
        <v>132.17730940131767</v>
      </c>
      <c r="D123">
        <v>120.86474181120866</v>
      </c>
      <c r="E123">
        <v>136.74741443174233</v>
      </c>
      <c r="F123">
        <v>134.64849420568268</v>
      </c>
      <c r="G123">
        <v>118.00791638325067</v>
      </c>
      <c r="H123">
        <v>165.57616157336699</v>
      </c>
      <c r="I123">
        <v>164.91570176030632</v>
      </c>
      <c r="J123">
        <v>131.84653575709299</v>
      </c>
      <c r="K123">
        <v>1.01447857562121</v>
      </c>
      <c r="L123">
        <v>81.170489230769206</v>
      </c>
      <c r="M123" s="15">
        <f>+'[3]VAR expectations'!C147</f>
        <v>3.8582721147576735</v>
      </c>
      <c r="N123">
        <v>-1.3678165112816401</v>
      </c>
      <c r="O123">
        <v>-0.21694556148073699</v>
      </c>
      <c r="P123">
        <v>0.14615348999966099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B124">
        <v>132.941606890337</v>
      </c>
      <c r="C124">
        <v>133.80096455912434</v>
      </c>
      <c r="D124">
        <v>120.964565890006</v>
      </c>
      <c r="E124">
        <v>137.64449592909034</v>
      </c>
      <c r="F124">
        <v>134.73450004887601</v>
      </c>
      <c r="G124">
        <v>118.85603579415435</v>
      </c>
      <c r="H124">
        <v>171.92101040343132</v>
      </c>
      <c r="I124">
        <v>165.96592803695432</v>
      </c>
      <c r="J124">
        <v>132.927063740314</v>
      </c>
      <c r="K124">
        <v>1.00794502898862</v>
      </c>
      <c r="L124">
        <v>82.562649230769196</v>
      </c>
      <c r="M124" s="15">
        <f>+'[3]VAR expectations'!C148</f>
        <v>3.6255376960251078</v>
      </c>
      <c r="N124">
        <v>-1.0717785266822</v>
      </c>
      <c r="O124">
        <v>4.3541846025459997E-2</v>
      </c>
      <c r="P124">
        <v>6.2709850000316203E-2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B125">
        <v>133.22800493920801</v>
      </c>
      <c r="C125">
        <v>135.84847947541866</v>
      </c>
      <c r="D125">
        <v>120.85735174915867</v>
      </c>
      <c r="E125">
        <v>138.04115490337233</v>
      </c>
      <c r="F125">
        <v>135.202770029562</v>
      </c>
      <c r="G125">
        <v>118.62509017474933</v>
      </c>
      <c r="H125">
        <v>174.40662845093536</v>
      </c>
      <c r="I125">
        <v>154.04947147174502</v>
      </c>
      <c r="J125">
        <v>133.45733539661501</v>
      </c>
      <c r="K125">
        <v>1.0127852536478299</v>
      </c>
      <c r="L125">
        <v>82.934533846153798</v>
      </c>
      <c r="M125" s="15">
        <f>+'[3]VAR expectations'!C149</f>
        <v>2.979353541970323</v>
      </c>
      <c r="N125">
        <v>-1.2261098957021399</v>
      </c>
      <c r="O125">
        <v>-0.40443614577732501</v>
      </c>
      <c r="P125">
        <v>4.26902299998708E-2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B126">
        <v>134.10564481067135</v>
      </c>
      <c r="C126">
        <v>137.35374021326334</v>
      </c>
      <c r="D126">
        <v>121.28090976810132</v>
      </c>
      <c r="E126">
        <v>139.07985222423599</v>
      </c>
      <c r="F126">
        <v>136.07244929579397</v>
      </c>
      <c r="G126">
        <v>118.89568057376634</v>
      </c>
      <c r="H126">
        <v>177.74460038609732</v>
      </c>
      <c r="I126">
        <v>148.69111657259734</v>
      </c>
      <c r="J126">
        <v>133.906200773385</v>
      </c>
      <c r="K126">
        <v>0.99117458279846005</v>
      </c>
      <c r="L126">
        <v>84.298359090909102</v>
      </c>
      <c r="M126" s="15">
        <f>+'[3]VAR expectations'!C150</f>
        <v>2.9717312535901965</v>
      </c>
      <c r="N126">
        <v>-0.96369939332577004</v>
      </c>
      <c r="O126">
        <v>-0.3982860759479</v>
      </c>
      <c r="P126">
        <v>3.0212229999651001E-2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B127">
        <v>135.14134429356932</v>
      </c>
      <c r="C127">
        <v>138.513989391059</v>
      </c>
      <c r="D127">
        <v>122.00891400913433</v>
      </c>
      <c r="E127">
        <v>140.76657322418933</v>
      </c>
      <c r="F127">
        <v>137.29659415681067</v>
      </c>
      <c r="G127">
        <v>119.75466391097301</v>
      </c>
      <c r="H127">
        <v>182.80934872555633</v>
      </c>
      <c r="I127">
        <v>151.33600264645102</v>
      </c>
      <c r="J127">
        <v>135.11741963423</v>
      </c>
      <c r="K127">
        <v>0.99205214210804604</v>
      </c>
      <c r="L127">
        <v>84.617050000000006</v>
      </c>
      <c r="M127" s="15">
        <f>+'[3]VAR expectations'!C151</f>
        <v>3.468785277541127</v>
      </c>
      <c r="N127">
        <v>-0.58156090930256898</v>
      </c>
      <c r="O127">
        <v>0.16500605812999999</v>
      </c>
      <c r="P127">
        <v>-0.16041932999976199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B128">
        <v>136.67426228845298</v>
      </c>
      <c r="C128">
        <v>140.41487393491732</v>
      </c>
      <c r="D128">
        <v>122.47724662391533</v>
      </c>
      <c r="E128">
        <v>142.80800410219265</v>
      </c>
      <c r="F128">
        <v>139.06814009155667</v>
      </c>
      <c r="G128">
        <v>121.22838625826101</v>
      </c>
      <c r="H128">
        <v>187.36960321274299</v>
      </c>
      <c r="I128">
        <v>153.65984915403632</v>
      </c>
      <c r="J128">
        <v>136.68114982716099</v>
      </c>
      <c r="K128">
        <v>0.99802377533478304</v>
      </c>
      <c r="L128">
        <v>84.063576560000001</v>
      </c>
      <c r="M128" s="15">
        <f>+'[3]VAR expectations'!C152</f>
        <v>3.8021957884789486</v>
      </c>
      <c r="N128">
        <v>-0.51830321999999995</v>
      </c>
      <c r="O128">
        <v>0.107917584062745</v>
      </c>
      <c r="P128">
        <v>-0.22790874614020901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B129">
        <v>137.71066302853833</v>
      </c>
      <c r="C129">
        <v>142.29577206239733</v>
      </c>
      <c r="D129">
        <v>122.99493635766434</v>
      </c>
      <c r="E129">
        <v>144.32855128452698</v>
      </c>
      <c r="F129">
        <v>139.632892549926</v>
      </c>
      <c r="G129">
        <v>123.39393036977766</v>
      </c>
      <c r="H129">
        <v>188.12235297051402</v>
      </c>
      <c r="I129">
        <v>152.68472223780267</v>
      </c>
      <c r="J129">
        <v>137.96465545450801</v>
      </c>
      <c r="K129">
        <v>0.985856734523469</v>
      </c>
      <c r="L129">
        <v>84.544501589999996</v>
      </c>
      <c r="M129" s="15">
        <f>+'[3]VAR expectations'!C153</f>
        <v>4.011042611251681</v>
      </c>
      <c r="N129">
        <v>-8.5657049999999998E-2</v>
      </c>
      <c r="O129">
        <v>3.5632547105975999E-2</v>
      </c>
      <c r="P129">
        <v>-0.40462368054003001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B130">
        <v>138.82486335936866</v>
      </c>
      <c r="C130">
        <v>143.88152424264669</v>
      </c>
      <c r="D130">
        <v>123.25555076911733</v>
      </c>
      <c r="E130">
        <v>146.18428503933868</v>
      </c>
      <c r="F130">
        <v>140.97633636597035</v>
      </c>
      <c r="G130">
        <v>123.565514370581</v>
      </c>
      <c r="H130">
        <v>191.78651538800833</v>
      </c>
      <c r="I130">
        <v>149.10268090323368</v>
      </c>
      <c r="J130">
        <v>138.61071726019</v>
      </c>
      <c r="K130">
        <v>0.974595193126222</v>
      </c>
      <c r="L130">
        <v>84.30223221</v>
      </c>
      <c r="M130" s="15">
        <f>+'[3]VAR expectations'!C154</f>
        <v>3.9691108090385026</v>
      </c>
      <c r="N130">
        <v>3.5385720000000002E-2</v>
      </c>
      <c r="O130">
        <v>-0.26930108869735597</v>
      </c>
      <c r="P130">
        <v>-0.45904161044430902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I131">
        <v>146.41017858949931</v>
      </c>
      <c r="J131">
        <v>139.57629448215999</v>
      </c>
      <c r="K131">
        <v>0.96740753480612496</v>
      </c>
      <c r="L131">
        <v>84.153461969999995</v>
      </c>
      <c r="M131" s="15">
        <f>+'[3]VAR expectations'!C155</f>
        <v>3.8470567349792795</v>
      </c>
      <c r="N131">
        <v>-0.19764823000000001</v>
      </c>
      <c r="O131">
        <v>-7.0653562478752097E-2</v>
      </c>
      <c r="P131">
        <v>-0.62311780348247903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I132">
        <v>145.10761354623665</v>
      </c>
      <c r="J132">
        <v>140.33088125827601</v>
      </c>
      <c r="K132">
        <v>0.961805194021912</v>
      </c>
      <c r="L132">
        <v>84.006998109999998</v>
      </c>
      <c r="M132" s="15">
        <f>+'[3]VAR expectations'!C156</f>
        <v>4.1639091291217634</v>
      </c>
      <c r="N132">
        <v>-0.33692306999999999</v>
      </c>
      <c r="O132">
        <v>-2.7934186663773002E-2</v>
      </c>
      <c r="P132">
        <v>-0.68977806331703695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I133">
        <v>146.86386866241699</v>
      </c>
      <c r="J133">
        <v>141.21984875713099</v>
      </c>
      <c r="K133">
        <v>0.95758467184297802</v>
      </c>
      <c r="L133">
        <v>83.86245357</v>
      </c>
      <c r="M133" s="15">
        <f>+'[3]VAR expectations'!C157</f>
        <v>5.4104651194166893</v>
      </c>
      <c r="N133">
        <v>-0.23998765999999999</v>
      </c>
      <c r="O133">
        <v>0.12310204368222501</v>
      </c>
      <c r="P133">
        <v>-0.78740853026729496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I134">
        <v>148.868995283511</v>
      </c>
      <c r="J134">
        <v>141.89266311072899</v>
      </c>
      <c r="K134">
        <v>0.95620015321960805</v>
      </c>
      <c r="L134">
        <v>83.719310770000007</v>
      </c>
      <c r="M134" s="15">
        <f>+'[3]VAR expectations'!C158</f>
        <v>4.9139696600199789</v>
      </c>
      <c r="N134">
        <v>1.34035E-2</v>
      </c>
      <c r="O134">
        <v>-1.4756701063139799E-2</v>
      </c>
      <c r="P134">
        <v>-0.82896469990745802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I135">
        <v>148.09685047780602</v>
      </c>
      <c r="J135">
        <v>142.55584255371701</v>
      </c>
      <c r="K135">
        <v>0.955528310988354</v>
      </c>
      <c r="L135">
        <v>83.578799029999999</v>
      </c>
      <c r="M135" s="15">
        <f>+'[3]VAR expectations'!C159</f>
        <v>4.0011512098701685</v>
      </c>
      <c r="N135">
        <v>7.3145790000000002E-2</v>
      </c>
      <c r="O135">
        <v>-1.0035780311742799E-2</v>
      </c>
      <c r="P135">
        <v>-0.85886875284028696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I136">
        <v>146.92398620383366</v>
      </c>
      <c r="J136">
        <v>143.16265296047899</v>
      </c>
      <c r="K136">
        <v>0.95538909429444097</v>
      </c>
      <c r="L136">
        <v>83.442934280000003</v>
      </c>
      <c r="M136" s="15">
        <f>+'[3]VAR expectations'!C160</f>
        <v>3.3715300668176842</v>
      </c>
      <c r="N136">
        <v>7.2683620000000004E-2</v>
      </c>
      <c r="O136">
        <v>-2.27352026963679E-2</v>
      </c>
      <c r="P136">
        <v>-0.82420000000000104</v>
      </c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I137">
        <v>146.36819830690933</v>
      </c>
      <c r="J137">
        <v>143.85791127253501</v>
      </c>
      <c r="K137">
        <v>0.95644558413290803</v>
      </c>
      <c r="L137">
        <v>83.312613440000007</v>
      </c>
      <c r="M137" s="15">
        <f>+'[3]VAR expectations'!C161</f>
        <v>2.9319715449134089</v>
      </c>
      <c r="N137">
        <v>-3.3105849999999999E-2</v>
      </c>
      <c r="O137">
        <v>1.5377144254311199E-2</v>
      </c>
      <c r="P137">
        <v>-0.73460000000000003</v>
      </c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I138">
        <v>148.05290401182</v>
      </c>
      <c r="J138">
        <v>144.53880438936301</v>
      </c>
      <c r="K138">
        <v>0.95561181656369198</v>
      </c>
      <c r="L138">
        <v>83.187631249999995</v>
      </c>
      <c r="M138" s="15">
        <f>+'[3]VAR expectations'!C162</f>
        <v>2.624058833894372</v>
      </c>
      <c r="N138">
        <v>-1.991826E-2</v>
      </c>
      <c r="O138">
        <v>-1.5348590585099501E-3</v>
      </c>
      <c r="P138">
        <v>-0.63060000000000005</v>
      </c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I139">
        <v>147.16322654043202</v>
      </c>
      <c r="J139">
        <v>145.20643153588799</v>
      </c>
      <c r="K139">
        <v>0.95510573845596802</v>
      </c>
      <c r="L139">
        <v>83.067457439999998</v>
      </c>
      <c r="M139" s="15">
        <f>+'[3]VAR expectations'!C163</f>
        <v>2.4687156565697737</v>
      </c>
      <c r="N139">
        <v>-3.5511800000000003E-2</v>
      </c>
      <c r="O139">
        <v>-2.5251143636218099E-2</v>
      </c>
      <c r="P139">
        <v>-0.51949999999999996</v>
      </c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I140">
        <v>146.56543486109433</v>
      </c>
      <c r="J140">
        <v>145.897597958055</v>
      </c>
      <c r="K140">
        <v>0.95428698560480996</v>
      </c>
      <c r="L140">
        <v>82.95136857</v>
      </c>
      <c r="M140" s="15">
        <f>+'[3]VAR expectations'!C164</f>
        <v>2.4272584547421974</v>
      </c>
      <c r="N140">
        <v>-2.1527250000000001E-2</v>
      </c>
      <c r="O140">
        <v>-9.6055752189889397E-3</v>
      </c>
      <c r="P140">
        <v>-0.41920000000000002</v>
      </c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I141">
        <v>146.29771988281365</v>
      </c>
      <c r="J141">
        <v>146.600810839937</v>
      </c>
      <c r="K141">
        <v>0.95352367634571999</v>
      </c>
      <c r="L141">
        <v>82.838525279999999</v>
      </c>
      <c r="M141" s="15">
        <f>+'[3]VAR expectations'!C165</f>
        <v>2.4505337246023733</v>
      </c>
      <c r="N141">
        <v>-7.9892299999999999E-3</v>
      </c>
      <c r="O141">
        <v>2.8036974736993001E-2</v>
      </c>
      <c r="P141">
        <v>-0.31879999999999997</v>
      </c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I142">
        <v>147.85520153443068</v>
      </c>
      <c r="M142" s="15">
        <f>+'[3]VAR expectations'!C166</f>
        <v>2.4399426350808717</v>
      </c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I143">
        <v>147.97465658179701</v>
      </c>
      <c r="M143" s="15">
        <f>+'[3]VAR expectations'!C167</f>
        <v>2.4724757454078841</v>
      </c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M144" s="15">
        <f>+'[3]VAR expectations'!C168</f>
        <v>2.5381252562448622</v>
      </c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/>
      <c r="M145" s="15">
        <f>+'[3]VAR expectations'!C169</f>
        <v>2.6576871518365146</v>
      </c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8682-4917-4AF0-ABF6-273C919CAFDB}">
  <dimension ref="A1:W172"/>
  <sheetViews>
    <sheetView zoomScaleNormal="100" workbookViewId="0">
      <selection activeCell="Q12" sqref="Q12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D3" s="3"/>
      <c r="I3" s="1" t="s">
        <v>7</v>
      </c>
      <c r="J3" s="2" t="s">
        <v>5</v>
      </c>
      <c r="K3" s="2"/>
      <c r="L3" t="s">
        <v>73</v>
      </c>
    </row>
    <row r="4" spans="1:23" x14ac:dyDescent="0.25">
      <c r="A4" t="s">
        <v>298</v>
      </c>
      <c r="B4" s="2" t="s">
        <v>8</v>
      </c>
      <c r="C4" s="2"/>
      <c r="D4" s="3" t="s">
        <v>300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272</v>
      </c>
      <c r="J5" s="2" t="s">
        <v>9</v>
      </c>
      <c r="K5" s="2"/>
    </row>
    <row r="6" spans="1:23" x14ac:dyDescent="0.25">
      <c r="A6" t="s">
        <v>299</v>
      </c>
      <c r="I6" t="s">
        <v>271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conv2qa(X12(stifidx_jul2025.m,MULT,1996m1,2025m12))</v>
      </c>
      <c r="C10" s="11" t="str">
        <f t="shared" ref="C10:D10" si="0">"conv2qa(X12("&amp;$D$5&amp;$D$3&amp;C9&amp;$D$4&amp;",MULT," &amp; TEXT($A$3,"yyyy""m""m") &amp; "," &amp; TEXT($A$4,"yyyy""m""m") &amp; "))"</f>
        <v>conv2qa(X12(stif_srv_jul2025.m,MULT,1996m1,2025m12))</v>
      </c>
      <c r="D10" s="11" t="str">
        <f t="shared" si="0"/>
        <v>conv2qa(X12(stif_gds_xeatfnab_jul2025.m,MULT,1996m1,2025m12))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booze.m,fags.m,#,#,#,#,#,#,#,#,#,#,#,#,#,#,#,#,#),MULT,1996m1,2025m12))</v>
      </c>
      <c r="F10" s="11" t="str">
        <f>"conv2qa(X12("&amp;$D$5&amp;$D$3&amp;F9&amp;$D$4&amp;",MULT," &amp; TEXT($A$3,"yyyy""m""m") &amp; "," &amp; TEXT($A$4,"yyyy""m""m") &amp; "))"</f>
        <v>conv2qa(X12(stif_fnab_jul2025.m,MULT,1996m1,2025m12))</v>
      </c>
      <c r="G10" s="11" t="str">
        <f>"conv2qa(X12("&amp;G9&amp;",MULT," &amp; TEXT($A$3,"yyyy""m""m") &amp; "," &amp; TEXT($A$4,"yyyy""m""m") &amp; "))"</f>
        <v>conv2qa(X12(booze.m,MULT,1996m1,2025m12))</v>
      </c>
      <c r="H10" s="11" t="str">
        <f>"conv2qa(X12("&amp;H9&amp;",MULT," &amp; TEXT($A$3,"yyyy""m""m") &amp; "," &amp; TEXT($A$4,"yyyy""m""m") &amp; "))"</f>
        <v>conv2qa(X12(fags.m,MULT,1996m1,2025m12))</v>
      </c>
      <c r="I10" s="11" t="str">
        <f>"conv2qa(X12("&amp;$D$5&amp;$D$3&amp;I9&amp;$D$4&amp;",MULT," &amp; TEXT($A$3,"yyyy""m""m") &amp; "," &amp; TEXT($I$5,"yyyy""m""m") &amp; "))"</f>
        <v>conv2qa(X12(stif_pu_jul2025.m,MULT,1996m1,2028m12))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68.336249781639438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58.553707089085371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77.833862631324294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>
        <f>[2]!FAMEData($L$5&amp;$L$3&amp;J9&amp;$L$4, $I$3, $I$4, 0,"Quarterly", "Down", "No Heading", "Normal")</f>
        <v>68.274786414580404</v>
      </c>
      <c r="K12">
        <f>[2]!FAMEData($L$5&amp;$L$3&amp;K9&amp;$L$4, $I$3, $I$4, 0,"Quarterly", "Down", "No Heading", "Normal")</f>
        <v>0.71982449635397305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0.3</v>
      </c>
      <c r="O12">
        <f>[2]!FAMEData($L$5&amp;$L$3&amp;O9&amp;$L$4, $I$3, $I$4, 0,"Quarterly", "Down", "No Heading", "Normal")</f>
        <v>0.20789577611610899</v>
      </c>
      <c r="P12">
        <f>[2]!FAMEData($L$5&amp;$L$3&amp;P9&amp;$L$4, $I$3, $I$4, 0,"Quarterly", "Down", "No Heading", "Normal")</f>
        <v>-0.67179062000018097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68.646172687168601</v>
      </c>
      <c r="K13">
        <v>0.72027305921574902</v>
      </c>
      <c r="L13">
        <v>81.882196923076904</v>
      </c>
      <c r="M13" s="15">
        <f>+'[3]VAR expectations'!C37</f>
        <v>2.6154884948264598</v>
      </c>
      <c r="N13">
        <v>0.3</v>
      </c>
      <c r="O13">
        <v>-0.16120155703172701</v>
      </c>
      <c r="P13">
        <v>-0.90951431999948096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68.991322695066401</v>
      </c>
      <c r="K14">
        <v>0.704611295999234</v>
      </c>
      <c r="L14">
        <v>82.869486363636398</v>
      </c>
      <c r="M14" s="15">
        <f>+'[3]VAR expectations'!C38</f>
        <v>2.6428562485995646</v>
      </c>
      <c r="N14">
        <v>0.3</v>
      </c>
      <c r="O14">
        <v>0.32912444162450999</v>
      </c>
      <c r="P14">
        <v>-0.98499010000016896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69.381900506740493</v>
      </c>
      <c r="K15">
        <v>0.69546448918473103</v>
      </c>
      <c r="L15">
        <v>88.333556060606099</v>
      </c>
      <c r="M15" s="15">
        <f>+'[3]VAR expectations'!C39</f>
        <v>2.8292929206876933</v>
      </c>
      <c r="N15">
        <v>0.3</v>
      </c>
      <c r="O15">
        <v>-2.2510150918334201E-3</v>
      </c>
      <c r="P15">
        <v>-0.94538048999989799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69.587124601732995</v>
      </c>
      <c r="K16">
        <v>0.67245396810892299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-0.262290558696672</v>
      </c>
      <c r="P16">
        <v>-8.1624399997278201E-3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69.779562747684096</v>
      </c>
      <c r="K17">
        <v>0.658342915410149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-0.18076935065413899</v>
      </c>
      <c r="P17">
        <v>7.83533299999771E-2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70.337384802925797</v>
      </c>
      <c r="K18">
        <v>0.65392958085931496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0.135072712526874</v>
      </c>
      <c r="P18">
        <v>5.2405800004195497E-3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70.608568317896598</v>
      </c>
      <c r="K19">
        <v>0.65336658354114696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-0.18038836269067801</v>
      </c>
      <c r="P19">
        <v>-0.113323839999526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35.043737560232564</v>
      </c>
      <c r="I20">
        <v>45.066788167537368</v>
      </c>
      <c r="J20">
        <v>70.691929983897595</v>
      </c>
      <c r="K20">
        <v>0.64381232528059396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-0.40106993870267899</v>
      </c>
      <c r="P20">
        <v>0.35224228000025998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71.100692129748836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35.534825019560238</v>
      </c>
      <c r="I21">
        <v>45.512400795735267</v>
      </c>
      <c r="J21">
        <v>71.092691284107502</v>
      </c>
      <c r="K21">
        <v>0.63430889006644098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-0.121959828355084</v>
      </c>
      <c r="P21">
        <v>0.18539484000045001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71.255609421750492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36.009377724460137</v>
      </c>
      <c r="I22">
        <v>45.240117527977468</v>
      </c>
      <c r="J22">
        <v>71.320298481779801</v>
      </c>
      <c r="K22">
        <v>0.62982939021675299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0.148148898493562</v>
      </c>
      <c r="P22">
        <v>0.157820159999876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71.539883561847134</v>
      </c>
      <c r="C23">
        <v>56.342645165224134</v>
      </c>
      <c r="D23">
        <v>118.50979090512165</v>
      </c>
      <c r="E23">
        <v>61.79821949931187</v>
      </c>
      <c r="F23">
        <v>66.931585635713873</v>
      </c>
      <c r="G23">
        <v>81.345598400718799</v>
      </c>
      <c r="H23">
        <v>36.76843354681543</v>
      </c>
      <c r="I23">
        <v>45.182611283650935</v>
      </c>
      <c r="J23">
        <v>71.576720460953098</v>
      </c>
      <c r="K23">
        <v>0.63229951935239104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-0.44461325206669999</v>
      </c>
      <c r="P23">
        <v>-0.51318826999976597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71.869448362919002</v>
      </c>
      <c r="C24">
        <v>56.820337302049971</v>
      </c>
      <c r="D24">
        <v>117.91126120930566</v>
      </c>
      <c r="E24">
        <v>62.464147948596434</v>
      </c>
      <c r="F24">
        <v>67.238659277963379</v>
      </c>
      <c r="G24">
        <v>81.576404148116495</v>
      </c>
      <c r="H24">
        <v>38.38374114226297</v>
      </c>
      <c r="I24">
        <v>45.605839036949533</v>
      </c>
      <c r="J24">
        <v>71.807724433311705</v>
      </c>
      <c r="K24">
        <v>0.62982900352708404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0.52782221066476598</v>
      </c>
      <c r="P24">
        <v>-0.37213479000032401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72.089045435709679</v>
      </c>
      <c r="C25">
        <v>57.315645524914736</v>
      </c>
      <c r="D25">
        <v>117.102020370133</v>
      </c>
      <c r="E25">
        <v>62.327610240975268</v>
      </c>
      <c r="F25">
        <v>66.571844762680328</v>
      </c>
      <c r="G25">
        <v>81.62290837980737</v>
      </c>
      <c r="H25">
        <v>39.56655926905993</v>
      </c>
      <c r="I25">
        <v>46.924886016740267</v>
      </c>
      <c r="J25">
        <v>72.102604230611703</v>
      </c>
      <c r="K25">
        <v>0.62571857921866703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0.48725261916995399</v>
      </c>
      <c r="P25">
        <v>4.5377830000379198E-2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81.700276436858175</v>
      </c>
      <c r="H26">
        <v>40.694457856548233</v>
      </c>
      <c r="I26">
        <v>47.676146770894739</v>
      </c>
      <c r="J26">
        <v>72.187039620586901</v>
      </c>
      <c r="K26">
        <v>0.62744633608854405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0.67076862974608797</v>
      </c>
      <c r="P26">
        <v>0.16253140999992199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81.899917498001997</v>
      </c>
      <c r="H27">
        <v>41.0702979400019</v>
      </c>
      <c r="I27">
        <v>48.744128850988538</v>
      </c>
      <c r="J27">
        <v>72.375605878606706</v>
      </c>
      <c r="K27">
        <v>0.628879165488197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0.25537877518103203</v>
      </c>
      <c r="P27">
        <v>0.81449639999964296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72.440743283146261</v>
      </c>
      <c r="C28">
        <v>58.772737337573602</v>
      </c>
      <c r="D28">
        <v>113.71050289670067</v>
      </c>
      <c r="E28">
        <v>62.294225732533398</v>
      </c>
      <c r="F28">
        <v>65.738951218719208</v>
      </c>
      <c r="G28">
        <v>81.953847149907006</v>
      </c>
      <c r="H28">
        <v>41.192698366599465</v>
      </c>
      <c r="I28">
        <v>50.014345022097928</v>
      </c>
      <c r="J28">
        <v>72.393687161090895</v>
      </c>
      <c r="K28">
        <v>0.63496423654172396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9.2271063782413995E-2</v>
      </c>
      <c r="P28">
        <v>-0.80713768000018604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72.539182312841476</v>
      </c>
      <c r="C29">
        <v>59.022039679802127</v>
      </c>
      <c r="D29">
        <v>113.06246638512567</v>
      </c>
      <c r="E29">
        <v>62.695488488984296</v>
      </c>
      <c r="F29">
        <v>65.547576525313502</v>
      </c>
      <c r="G29">
        <v>81.549251880083801</v>
      </c>
      <c r="H29">
        <v>43.499742188383038</v>
      </c>
      <c r="I29">
        <v>50.294131092571604</v>
      </c>
      <c r="J29">
        <v>72.563314003880194</v>
      </c>
      <c r="K29">
        <v>0.63548425849859203</v>
      </c>
      <c r="L29">
        <v>101.013821538462</v>
      </c>
      <c r="M29" s="15">
        <f>+'[3]VAR expectations'!C53</f>
        <v>2.480790509902373</v>
      </c>
      <c r="N29">
        <v>0.578228356186961</v>
      </c>
      <c r="O29">
        <v>6.4185673634936505E-2</v>
      </c>
      <c r="P29">
        <v>0.53258052999994498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72.707840576543859</v>
      </c>
      <c r="C30">
        <v>59.618307460292705</v>
      </c>
      <c r="D30">
        <v>111.70485772051767</v>
      </c>
      <c r="E30">
        <v>63.480786414583129</v>
      </c>
      <c r="F30">
        <v>66.4707331301246</v>
      </c>
      <c r="G30">
        <v>81.400383542533135</v>
      </c>
      <c r="H30">
        <v>44.129516914201133</v>
      </c>
      <c r="I30">
        <v>50.848549060358401</v>
      </c>
      <c r="J30">
        <v>72.759783054802597</v>
      </c>
      <c r="K30">
        <v>0.64916170071338097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0.321076211975517</v>
      </c>
      <c r="P30">
        <v>0.27187322999959301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73.058296991468822</v>
      </c>
      <c r="C31">
        <v>60.26187331766041</v>
      </c>
      <c r="D31">
        <v>111.14640687755167</v>
      </c>
      <c r="E31">
        <v>63.85276897111023</v>
      </c>
      <c r="F31">
        <v>66.715067260748427</v>
      </c>
      <c r="G31">
        <v>81.765643927000497</v>
      </c>
      <c r="H31">
        <v>44.729361748221201</v>
      </c>
      <c r="I31">
        <v>51.114811152054607</v>
      </c>
      <c r="J31">
        <v>73.063982099475794</v>
      </c>
      <c r="K31">
        <v>0.64840352087451603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-1.6390389462865099E-2</v>
      </c>
      <c r="P31">
        <v>0.70676578999984596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73.057199972199541</v>
      </c>
      <c r="C32">
        <v>60.743618510486499</v>
      </c>
      <c r="D32">
        <v>110.17048885713534</v>
      </c>
      <c r="E32">
        <v>64.304947564597995</v>
      </c>
      <c r="F32">
        <v>67.219576569636175</v>
      </c>
      <c r="G32">
        <v>81.956356251031764</v>
      </c>
      <c r="H32">
        <v>45.213764851086033</v>
      </c>
      <c r="I32">
        <v>49.776772698757803</v>
      </c>
      <c r="J32">
        <v>73.022578700834003</v>
      </c>
      <c r="K32">
        <v>0.64909645815575601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-0.227577979531076</v>
      </c>
      <c r="P32">
        <v>0.41767657000032898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73.640782847443788</v>
      </c>
      <c r="C33">
        <v>61.544420219885261</v>
      </c>
      <c r="D33">
        <v>109.89504456781401</v>
      </c>
      <c r="E33">
        <v>65.671562289780198</v>
      </c>
      <c r="F33">
        <v>69.291698510667757</v>
      </c>
      <c r="G33">
        <v>81.894722916120472</v>
      </c>
      <c r="H33">
        <v>45.475672672371566</v>
      </c>
      <c r="I33">
        <v>49.5546852403317</v>
      </c>
      <c r="J33">
        <v>73.672454142404405</v>
      </c>
      <c r="K33">
        <v>0.64465605564276696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0.14427868690463599</v>
      </c>
      <c r="P33">
        <v>0.27177293000019898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73.825368346705091</v>
      </c>
      <c r="C34">
        <v>62.223963784279867</v>
      </c>
      <c r="D34">
        <v>109.34835279541367</v>
      </c>
      <c r="E34">
        <v>65.641448713928</v>
      </c>
      <c r="F34">
        <v>68.979536133881098</v>
      </c>
      <c r="G34">
        <v>82.063297448351264</v>
      </c>
      <c r="H34">
        <v>45.84253103806693</v>
      </c>
      <c r="I34">
        <v>49.541042554853469</v>
      </c>
      <c r="J34">
        <v>73.864343681786593</v>
      </c>
      <c r="K34">
        <v>0.63552659085590302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-0.145405425617782</v>
      </c>
      <c r="P34">
        <v>2.9689800000429499E-2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73.80997669845317</v>
      </c>
      <c r="C35">
        <v>62.586922212636999</v>
      </c>
      <c r="D35">
        <v>108.73663622536799</v>
      </c>
      <c r="E35">
        <v>65.82869866931884</v>
      </c>
      <c r="F35">
        <v>68.970945389906774</v>
      </c>
      <c r="G35">
        <v>82.057820783101945</v>
      </c>
      <c r="H35">
        <v>46.482425595684504</v>
      </c>
      <c r="I35">
        <v>48.0088087136279</v>
      </c>
      <c r="J35">
        <v>73.816222956182401</v>
      </c>
      <c r="K35">
        <v>0.62682732713061395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-0.40207821981541297</v>
      </c>
      <c r="P35">
        <v>-0.63991584999992301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74.172709547617202</v>
      </c>
      <c r="C36">
        <v>63.253448974794104</v>
      </c>
      <c r="D36">
        <v>108.25388781242167</v>
      </c>
      <c r="E36">
        <v>66.27185679783905</v>
      </c>
      <c r="F36">
        <v>69.566869099417332</v>
      </c>
      <c r="G36">
        <v>82.184032836311303</v>
      </c>
      <c r="H36">
        <v>46.712875199090398</v>
      </c>
      <c r="I36">
        <v>48.300000597157663</v>
      </c>
      <c r="J36">
        <v>74.1402006278242</v>
      </c>
      <c r="K36">
        <v>0.62476284325203701</v>
      </c>
      <c r="L36">
        <v>100.22180625</v>
      </c>
      <c r="M36" s="15">
        <f>+'[3]VAR expectations'!C60</f>
        <v>2.2636382290406152</v>
      </c>
      <c r="N36">
        <v>-0.19866515250366801</v>
      </c>
      <c r="O36">
        <v>0.181561700258596</v>
      </c>
      <c r="P36">
        <v>-0.63541897999959396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74.341060971657967</v>
      </c>
      <c r="C37">
        <v>64.098357828454297</v>
      </c>
      <c r="D37">
        <v>107.15975382369699</v>
      </c>
      <c r="E37">
        <v>65.841453783592002</v>
      </c>
      <c r="F37">
        <v>69.072767804156044</v>
      </c>
      <c r="G37">
        <v>82.070455382220899</v>
      </c>
      <c r="H37">
        <v>46.699129957068941</v>
      </c>
      <c r="I37">
        <v>48.834968279362961</v>
      </c>
      <c r="J37">
        <v>74.380937474027604</v>
      </c>
      <c r="K37">
        <v>0.62706418971656097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0.26583891266085302</v>
      </c>
      <c r="P37">
        <v>-0.844244290000153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74.58682883754777</v>
      </c>
      <c r="C38">
        <v>64.806065670027508</v>
      </c>
      <c r="D38">
        <v>106.44583489625835</v>
      </c>
      <c r="E38">
        <v>66.101100807902711</v>
      </c>
      <c r="F38">
        <v>69.016510777483063</v>
      </c>
      <c r="G38">
        <v>82.393205073314562</v>
      </c>
      <c r="H38">
        <v>47.312363040526833</v>
      </c>
      <c r="I38">
        <v>48.810172757411003</v>
      </c>
      <c r="J38">
        <v>74.621415618434995</v>
      </c>
      <c r="K38">
        <v>0.62480056012011398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2.2118145407947602E-2</v>
      </c>
      <c r="P38">
        <v>-0.47312000999981302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74.941529851716311</v>
      </c>
      <c r="C39">
        <v>65.527580796618793</v>
      </c>
      <c r="D39">
        <v>105.924489215843</v>
      </c>
      <c r="E39">
        <v>66.196126733295472</v>
      </c>
      <c r="F39">
        <v>69.020712791783424</v>
      </c>
      <c r="G39">
        <v>81.795408931347836</v>
      </c>
      <c r="H39">
        <v>47.821927966552501</v>
      </c>
      <c r="I39">
        <v>49.301431799629633</v>
      </c>
      <c r="J39">
        <v>74.939618848753796</v>
      </c>
      <c r="K39">
        <v>0.62277821927588894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-3.5729490300290101E-2</v>
      </c>
      <c r="P39">
        <v>-0.23494014999958099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75.254179637006175</v>
      </c>
      <c r="C40">
        <v>66.024472037777443</v>
      </c>
      <c r="D40">
        <v>105.578408117205</v>
      </c>
      <c r="E40">
        <v>66.295937195995961</v>
      </c>
      <c r="F40">
        <v>69.109899366114703</v>
      </c>
      <c r="G40">
        <v>81.579240062118473</v>
      </c>
      <c r="H40">
        <v>48.150793170249237</v>
      </c>
      <c r="I40">
        <v>50.696241265504199</v>
      </c>
      <c r="J40">
        <v>75.220636295759604</v>
      </c>
      <c r="K40">
        <v>0.63544061412391895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-0.412484320000154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75.297738816457255</v>
      </c>
      <c r="C41">
        <v>66.477450028715126</v>
      </c>
      <c r="D41">
        <v>104.82493353970399</v>
      </c>
      <c r="E41">
        <v>66.743553912160195</v>
      </c>
      <c r="F41">
        <v>69.746466956913039</v>
      </c>
      <c r="G41">
        <v>81.929888132954829</v>
      </c>
      <c r="H41">
        <v>48.454084823983067</v>
      </c>
      <c r="I41">
        <v>49.519114792622503</v>
      </c>
      <c r="J41">
        <v>75.346741994097499</v>
      </c>
      <c r="K41">
        <v>0.63124721802930694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-0.53373754000033002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75.612766960048759</v>
      </c>
      <c r="C42">
        <v>66.96978197979584</v>
      </c>
      <c r="D42">
        <v>104.573454983041</v>
      </c>
      <c r="E42">
        <v>67.312969333974891</v>
      </c>
      <c r="F42">
        <v>70.264155678339307</v>
      </c>
      <c r="G42">
        <v>81.292515617263135</v>
      </c>
      <c r="H42">
        <v>49.19087496607893</v>
      </c>
      <c r="I42">
        <v>49.812423085262132</v>
      </c>
      <c r="J42">
        <v>75.646461576525496</v>
      </c>
      <c r="K42">
        <v>0.63521138997049398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-0.27588602999982398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75.930389741807275</v>
      </c>
      <c r="C43">
        <v>67.546972720173343</v>
      </c>
      <c r="D43">
        <v>104.004851269178</v>
      </c>
      <c r="E43">
        <v>67.71927563723041</v>
      </c>
      <c r="F43">
        <v>70.752523646949712</v>
      </c>
      <c r="G43">
        <v>81.390202696980694</v>
      </c>
      <c r="H43">
        <v>49.438759816051736</v>
      </c>
      <c r="I43">
        <v>50.456696042430032</v>
      </c>
      <c r="J43">
        <v>75.926726457053604</v>
      </c>
      <c r="K43">
        <v>0.63050936560290005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-0.53395230000040395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76.200272982904309</v>
      </c>
      <c r="C44">
        <v>68.106265290474411</v>
      </c>
      <c r="D44">
        <v>103.62955172530302</v>
      </c>
      <c r="E44">
        <v>67.701733001726225</v>
      </c>
      <c r="F44">
        <v>70.680623237185557</v>
      </c>
      <c r="G44">
        <v>81.372891140196216</v>
      </c>
      <c r="H44">
        <v>49.677802175215533</v>
      </c>
      <c r="I44">
        <v>51.504084271965631</v>
      </c>
      <c r="J44">
        <v>76.159680972492296</v>
      </c>
      <c r="K44">
        <v>0.62452206938993704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0.26648293999980199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76.35914331720754</v>
      </c>
      <c r="C45">
        <v>68.631855809390132</v>
      </c>
      <c r="D45">
        <v>102.87732125879832</v>
      </c>
      <c r="E45">
        <v>67.638280882752525</v>
      </c>
      <c r="F45">
        <v>70.476850085723171</v>
      </c>
      <c r="G45">
        <v>81.287191199033089</v>
      </c>
      <c r="H45">
        <v>50.250960581512068</v>
      </c>
      <c r="I45">
        <v>52.490029578451072</v>
      </c>
      <c r="J45">
        <v>76.418239624504196</v>
      </c>
      <c r="K45">
        <v>0.62533471852521905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0.17862779000014201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76.56223144489347</v>
      </c>
      <c r="C46">
        <v>69.203743096073438</v>
      </c>
      <c r="D46">
        <v>102.21000368746267</v>
      </c>
      <c r="E46">
        <v>67.646192048169453</v>
      </c>
      <c r="F46">
        <v>70.117000342517997</v>
      </c>
      <c r="G46">
        <v>81.074507725935533</v>
      </c>
      <c r="H46">
        <v>50.981515778506001</v>
      </c>
      <c r="I46">
        <v>53.359156399699238</v>
      </c>
      <c r="J46">
        <v>76.596014034209901</v>
      </c>
      <c r="K46">
        <v>0.62608242577351603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-2.59919399995341E-2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77.024679842313802</v>
      </c>
      <c r="C47">
        <v>69.9048089469796</v>
      </c>
      <c r="D47">
        <v>101.65395874633201</v>
      </c>
      <c r="E47">
        <v>67.92316933295109</v>
      </c>
      <c r="F47">
        <v>70.39855780039683</v>
      </c>
      <c r="G47">
        <v>81.151471153587664</v>
      </c>
      <c r="H47">
        <v>51.389293351402195</v>
      </c>
      <c r="I47">
        <v>55.645647717031331</v>
      </c>
      <c r="J47">
        <v>77.015341535155699</v>
      </c>
      <c r="K47">
        <v>0.63653524783139104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0.92815783999970602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77.519231176113735</v>
      </c>
      <c r="C48">
        <v>70.711753850711901</v>
      </c>
      <c r="D48">
        <v>101.22455082166999</v>
      </c>
      <c r="E48">
        <v>68.690840572701575</v>
      </c>
      <c r="F48">
        <v>71.390648866018466</v>
      </c>
      <c r="G48">
        <v>80.604661889812064</v>
      </c>
      <c r="H48">
        <v>52.151755185955835</v>
      </c>
      <c r="I48">
        <v>56.449023556230067</v>
      </c>
      <c r="J48">
        <v>77.473805678522098</v>
      </c>
      <c r="K48">
        <v>0.63627996722981495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0.47823727999973997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77.860319039940165</v>
      </c>
      <c r="C49">
        <v>71.48254250886977</v>
      </c>
      <c r="D49">
        <v>100.61472786663167</v>
      </c>
      <c r="E49">
        <v>68.823685138801508</v>
      </c>
      <c r="F49">
        <v>71.584679044344995</v>
      </c>
      <c r="G49">
        <v>80.155897307023565</v>
      </c>
      <c r="H49">
        <v>52.541890037497204</v>
      </c>
      <c r="I49">
        <v>57.440858337621229</v>
      </c>
      <c r="J49">
        <v>77.926613590790197</v>
      </c>
      <c r="K49">
        <v>0.63486613605504305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-0.14649886000040899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78.39264164726093</v>
      </c>
      <c r="C50">
        <v>72.329300984277893</v>
      </c>
      <c r="D50">
        <v>100.0711785022192</v>
      </c>
      <c r="E50">
        <v>68.937238072390826</v>
      </c>
      <c r="F50">
        <v>71.48785025094854</v>
      </c>
      <c r="G50">
        <v>80.839757461268974</v>
      </c>
      <c r="H50">
        <v>52.691778583819705</v>
      </c>
      <c r="I50">
        <v>60.297134294412366</v>
      </c>
      <c r="J50">
        <v>78.429892782552301</v>
      </c>
      <c r="K50">
        <v>0.65241229516620303</v>
      </c>
      <c r="L50">
        <v>99.734880303030295</v>
      </c>
      <c r="M50" s="15">
        <f>+'[3]VAR expectations'!C74</f>
        <v>2.2761535969954032</v>
      </c>
      <c r="N50">
        <v>0.70017615103754105</v>
      </c>
      <c r="O50">
        <v>0.242344274322987</v>
      </c>
      <c r="P50">
        <v>9.7494219999806203E-2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78.665010931023303</v>
      </c>
      <c r="C51">
        <v>72.762316995387565</v>
      </c>
      <c r="D51">
        <v>99.588196020037927</v>
      </c>
      <c r="E51">
        <v>69.14876701243891</v>
      </c>
      <c r="F51">
        <v>71.4877665450379</v>
      </c>
      <c r="G51">
        <v>80.757559037614044</v>
      </c>
      <c r="H51">
        <v>53.781965203753799</v>
      </c>
      <c r="I51">
        <v>62.213078982099667</v>
      </c>
      <c r="J51">
        <v>78.650455923388293</v>
      </c>
      <c r="K51">
        <v>0.65446219885289902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-2.1327579999978599E-2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79.028056404986032</v>
      </c>
      <c r="C52">
        <v>73.385241778343129</v>
      </c>
      <c r="D52">
        <v>99.218511677895933</v>
      </c>
      <c r="E52">
        <v>69.456235717269266</v>
      </c>
      <c r="F52">
        <v>71.88712397369963</v>
      </c>
      <c r="G52">
        <v>80.784700863892695</v>
      </c>
      <c r="H52">
        <v>54.031494120837543</v>
      </c>
      <c r="I52">
        <v>63.507502810204564</v>
      </c>
      <c r="J52">
        <v>78.979694721142707</v>
      </c>
      <c r="K52">
        <v>0.66091908724602799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-2.3869130000224802E-2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79.616100225391634</v>
      </c>
      <c r="C53">
        <v>74.005587603555782</v>
      </c>
      <c r="D53">
        <v>98.648450712179283</v>
      </c>
      <c r="E53">
        <v>69.890091452876007</v>
      </c>
      <c r="F53">
        <v>72.381509192081964</v>
      </c>
      <c r="G53">
        <v>80.34836187296429</v>
      </c>
      <c r="H53">
        <v>54.731568844239426</v>
      </c>
      <c r="I53">
        <v>67.671668077178168</v>
      </c>
      <c r="J53">
        <v>79.688484448251103</v>
      </c>
      <c r="K53">
        <v>0.66091000873885497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2.60660000000533E-2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80.274543396733634</v>
      </c>
      <c r="C54">
        <v>74.554497680983289</v>
      </c>
      <c r="D54">
        <v>98.578686660422591</v>
      </c>
      <c r="E54">
        <v>71.285664215376471</v>
      </c>
      <c r="F54">
        <v>73.986476855855472</v>
      </c>
      <c r="G54">
        <v>80.810976604549765</v>
      </c>
      <c r="H54">
        <v>55.632163769954865</v>
      </c>
      <c r="I54">
        <v>70.050693781200835</v>
      </c>
      <c r="J54">
        <v>80.314086614429499</v>
      </c>
      <c r="K54">
        <v>0.65793897350294706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4.9794569999638702E-2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80.800427132640621</v>
      </c>
      <c r="C55">
        <v>75.456551098321128</v>
      </c>
      <c r="D55">
        <v>98.558511826013003</v>
      </c>
      <c r="E55">
        <v>72.057911846405901</v>
      </c>
      <c r="F55">
        <v>74.869558608446241</v>
      </c>
      <c r="G55">
        <v>81.596468199075261</v>
      </c>
      <c r="H55">
        <v>56.187332511990803</v>
      </c>
      <c r="I55">
        <v>69.842554918969995</v>
      </c>
      <c r="J55">
        <v>80.767604728498597</v>
      </c>
      <c r="K55">
        <v>0.65250611822025395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-8.0932616320032902E-2</v>
      </c>
      <c r="P55">
        <v>0.185573520000233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81.294136617694164</v>
      </c>
      <c r="C56">
        <v>76.09473970160974</v>
      </c>
      <c r="D56">
        <v>98.471297790547212</v>
      </c>
      <c r="E56">
        <v>72.55111602891354</v>
      </c>
      <c r="F56">
        <v>75.238861039662865</v>
      </c>
      <c r="G56">
        <v>81.666506129423396</v>
      </c>
      <c r="H56">
        <v>57.265354932927302</v>
      </c>
      <c r="I56">
        <v>71.130011820027903</v>
      </c>
      <c r="J56">
        <v>81.262668222742505</v>
      </c>
      <c r="K56">
        <v>0.64120008324831701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0.40345245000034902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81.649031387272203</v>
      </c>
      <c r="C57">
        <v>76.642439864502265</v>
      </c>
      <c r="D57">
        <v>98.272229610723002</v>
      </c>
      <c r="E57">
        <v>73.298449239846107</v>
      </c>
      <c r="F57">
        <v>76.216291551231905</v>
      </c>
      <c r="G57">
        <v>81.349850467031402</v>
      </c>
      <c r="H57">
        <v>57.844587311896134</v>
      </c>
      <c r="I57">
        <v>71.155158581435202</v>
      </c>
      <c r="J57">
        <v>81.726256450645806</v>
      </c>
      <c r="K57">
        <v>0.65071749491976905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0.53149722000028499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81.704607649896033</v>
      </c>
      <c r="C58">
        <v>77.223121132921293</v>
      </c>
      <c r="D58">
        <v>97.540757787401162</v>
      </c>
      <c r="E58">
        <v>73.55121192890357</v>
      </c>
      <c r="F58">
        <v>76.301462752412604</v>
      </c>
      <c r="G58">
        <v>81.728893149732201</v>
      </c>
      <c r="H58">
        <v>58.326849234575327</v>
      </c>
      <c r="I58">
        <v>70.4820159445934</v>
      </c>
      <c r="J58">
        <v>81.738761352886598</v>
      </c>
      <c r="K58">
        <v>0.65423212547982301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0.48016314000027399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82.511309279499898</v>
      </c>
      <c r="C59">
        <v>77.976239946754035</v>
      </c>
      <c r="D59">
        <v>97.458073245383233</v>
      </c>
      <c r="E59">
        <v>75.219909985465677</v>
      </c>
      <c r="F59">
        <v>78.59689600337633</v>
      </c>
      <c r="G59">
        <v>81.927561670623334</v>
      </c>
      <c r="H59">
        <v>58.859086938287135</v>
      </c>
      <c r="I59">
        <v>73.0778992506592</v>
      </c>
      <c r="J59">
        <v>82.455031967805695</v>
      </c>
      <c r="K59">
        <v>0.67024506683642904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0.38278913000034598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83.213165060433198</v>
      </c>
      <c r="C60">
        <v>78.585583389590198</v>
      </c>
      <c r="D60">
        <v>96.951612826869408</v>
      </c>
      <c r="E60">
        <v>75.989538576719568</v>
      </c>
      <c r="F60">
        <v>79.533800272561976</v>
      </c>
      <c r="G60">
        <v>81.958761430703305</v>
      </c>
      <c r="H60">
        <v>59.544387673202898</v>
      </c>
      <c r="I60">
        <v>77.885301790950095</v>
      </c>
      <c r="J60">
        <v>83.221731996581497</v>
      </c>
      <c r="K60">
        <v>0.69296241200498199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0.55036509999983996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84.399628691777579</v>
      </c>
      <c r="C61">
        <v>79.538236399227699</v>
      </c>
      <c r="D61">
        <v>96.709639001783671</v>
      </c>
      <c r="E61">
        <v>78.381976114415423</v>
      </c>
      <c r="F61">
        <v>82.317852158165707</v>
      </c>
      <c r="G61">
        <v>84.8831904610674</v>
      </c>
      <c r="H61">
        <v>60.342090681050401</v>
      </c>
      <c r="I61">
        <v>82.676148016969094</v>
      </c>
      <c r="J61">
        <v>84.478398380979797</v>
      </c>
      <c r="K61">
        <v>0.72645325089660395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-0.77297461999967598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85.622629522816609</v>
      </c>
      <c r="C62">
        <v>80.567896143554364</v>
      </c>
      <c r="D62">
        <v>96.458973793360698</v>
      </c>
      <c r="E62">
        <v>80.821169576796365</v>
      </c>
      <c r="F62">
        <v>85.573695978170846</v>
      </c>
      <c r="G62">
        <v>85.076931019951772</v>
      </c>
      <c r="H62">
        <v>60.969198572887002</v>
      </c>
      <c r="I62">
        <v>87.767598940637228</v>
      </c>
      <c r="J62">
        <v>85.633336105074903</v>
      </c>
      <c r="K62">
        <v>0.74434298026276902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-1.12977768999955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85.715849384249097</v>
      </c>
      <c r="C63">
        <v>81.447767831901203</v>
      </c>
      <c r="D63">
        <v>95.356926323259032</v>
      </c>
      <c r="E63">
        <v>81.79341853957277</v>
      </c>
      <c r="F63">
        <v>86.792930822115252</v>
      </c>
      <c r="G63">
        <v>85.181227860359996</v>
      </c>
      <c r="H63">
        <v>61.653546124609903</v>
      </c>
      <c r="I63">
        <v>85.991096433157907</v>
      </c>
      <c r="J63">
        <v>85.640876497870394</v>
      </c>
      <c r="K63">
        <v>0.73715014401478896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-2.2975232500002498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85.67746199880726</v>
      </c>
      <c r="C64">
        <v>81.837362741213028</v>
      </c>
      <c r="D64">
        <v>94.827625393099012</v>
      </c>
      <c r="E64">
        <v>83.009858691384494</v>
      </c>
      <c r="F64">
        <v>87.99238403344475</v>
      </c>
      <c r="G64">
        <v>87.197950359622894</v>
      </c>
      <c r="H64">
        <v>62.2593116787559</v>
      </c>
      <c r="I64">
        <v>82.010218629823868</v>
      </c>
      <c r="J64">
        <v>85.727729370209602</v>
      </c>
      <c r="K64">
        <v>0.74048679134173201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-3.8884712599996099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86.159767491902826</v>
      </c>
      <c r="C65">
        <v>82.270942160269058</v>
      </c>
      <c r="D65">
        <v>95.65493775701033</v>
      </c>
      <c r="E65">
        <v>83.220861398356234</v>
      </c>
      <c r="F65">
        <v>88.30892538065298</v>
      </c>
      <c r="G65">
        <v>87.210684345684527</v>
      </c>
      <c r="H65">
        <v>62.310962177955766</v>
      </c>
      <c r="I65">
        <v>82.036385325840357</v>
      </c>
      <c r="J65">
        <v>86.234752780794096</v>
      </c>
      <c r="K65">
        <v>0.72428991015393396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-4.00545135999994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86.924358899171978</v>
      </c>
      <c r="C66">
        <v>82.818965314689024</v>
      </c>
      <c r="D66">
        <v>96.748856730424492</v>
      </c>
      <c r="E66">
        <v>83.273957662790608</v>
      </c>
      <c r="F66">
        <v>87.773257125611735</v>
      </c>
      <c r="G66">
        <v>88.565677771010641</v>
      </c>
      <c r="H66">
        <v>63.382792708595964</v>
      </c>
      <c r="I66">
        <v>84.438226442936397</v>
      </c>
      <c r="J66">
        <v>86.903556307732302</v>
      </c>
      <c r="K66">
        <v>0.72110977526947995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-4.0528010000001196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87.53428027958013</v>
      </c>
      <c r="C67">
        <v>83.410496948988836</v>
      </c>
      <c r="D67">
        <v>97.120889144702758</v>
      </c>
      <c r="E67">
        <v>83.844235979632018</v>
      </c>
      <c r="F67">
        <v>88.325906818331575</v>
      </c>
      <c r="G67">
        <v>89.287832676808193</v>
      </c>
      <c r="H67">
        <v>64.125623185548633</v>
      </c>
      <c r="I67">
        <v>86.397384895883917</v>
      </c>
      <c r="J67">
        <v>87.4537737316722</v>
      </c>
      <c r="K67">
        <v>0.73402521386714703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-4.2009004299999901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88.431032058894004</v>
      </c>
      <c r="C68">
        <v>84.379845284522432</v>
      </c>
      <c r="D68">
        <v>97.462492225330138</v>
      </c>
      <c r="E68">
        <v>85.139203857670125</v>
      </c>
      <c r="F68">
        <v>89.45388952242557</v>
      </c>
      <c r="G68">
        <v>89.559481304103656</v>
      </c>
      <c r="H68">
        <v>66.65615260146896</v>
      </c>
      <c r="I68">
        <v>87.699419642232726</v>
      </c>
      <c r="J68">
        <v>88.5141336075109</v>
      </c>
      <c r="K68">
        <v>0.74071209632276902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-3.91803285429474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89.149934785978573</v>
      </c>
      <c r="C69">
        <v>85.197668049509701</v>
      </c>
      <c r="D69">
        <v>97.794868614691268</v>
      </c>
      <c r="E69">
        <v>85.883704404797143</v>
      </c>
      <c r="F69">
        <v>90.264510653630865</v>
      </c>
      <c r="G69">
        <v>90.181242690254862</v>
      </c>
      <c r="H69">
        <v>67.322782613699431</v>
      </c>
      <c r="I69">
        <v>88.993370898763189</v>
      </c>
      <c r="J69">
        <v>89.209092540124004</v>
      </c>
      <c r="K69">
        <v>0.75220901159416698</v>
      </c>
      <c r="L69">
        <v>79.899689230769198</v>
      </c>
      <c r="M69" s="15">
        <f>+'[3]VAR expectations'!C93</f>
        <v>2.6505886564059562</v>
      </c>
      <c r="N69">
        <v>0.58031803605650401</v>
      </c>
      <c r="O69">
        <v>0.158164675972188</v>
      </c>
      <c r="P69">
        <v>-3.1729462029534301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89.638295199771505</v>
      </c>
      <c r="C70">
        <v>85.933661427057515</v>
      </c>
      <c r="D70">
        <v>97.975058622668072</v>
      </c>
      <c r="E70">
        <v>86.951847406435903</v>
      </c>
      <c r="F70">
        <v>91.446251904606939</v>
      </c>
      <c r="G70">
        <v>90.863416320472197</v>
      </c>
      <c r="H70">
        <v>68.001564504975192</v>
      </c>
      <c r="I70">
        <v>88.087496746830425</v>
      </c>
      <c r="J70">
        <v>89.597690280022505</v>
      </c>
      <c r="K70">
        <v>0.74996855794348305</v>
      </c>
      <c r="L70">
        <v>81.7654454545455</v>
      </c>
      <c r="M70" s="15">
        <f>+'[3]VAR expectations'!C94</f>
        <v>2.8352346264846378</v>
      </c>
      <c r="N70">
        <v>0.26076684740058198</v>
      </c>
      <c r="O70">
        <v>-0.12701395323713599</v>
      </c>
      <c r="P70">
        <v>-2.7313100162213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90.489806459098801</v>
      </c>
      <c r="C71">
        <v>86.591554878941182</v>
      </c>
      <c r="D71">
        <v>98.36929118340781</v>
      </c>
      <c r="E71">
        <v>88.591675351037665</v>
      </c>
      <c r="F71">
        <v>93.134605128248623</v>
      </c>
      <c r="G71">
        <v>92.782142521347666</v>
      </c>
      <c r="H71">
        <v>69.334169151190522</v>
      </c>
      <c r="I71">
        <v>90.42010763091487</v>
      </c>
      <c r="J71">
        <v>90.410174694471195</v>
      </c>
      <c r="K71">
        <v>0.76582631113469501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-2.6327041433767802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92.028244778856447</v>
      </c>
      <c r="C72">
        <v>87.912964486438497</v>
      </c>
      <c r="D72">
        <v>99.170306745749244</v>
      </c>
      <c r="E72">
        <v>90.012389625976041</v>
      </c>
      <c r="F72">
        <v>94.438456471254383</v>
      </c>
      <c r="G72">
        <v>93.157843808545366</v>
      </c>
      <c r="H72">
        <v>71.802045409553003</v>
      </c>
      <c r="I72">
        <v>95.633453573716295</v>
      </c>
      <c r="J72">
        <v>92.119746320076004</v>
      </c>
      <c r="K72">
        <v>0.78215412173038701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-2.6640610417010699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93.071537027618206</v>
      </c>
      <c r="C73">
        <v>89.053937515846698</v>
      </c>
      <c r="D73">
        <v>99.269249876791392</v>
      </c>
      <c r="E73">
        <v>91.677960102895227</v>
      </c>
      <c r="F73">
        <v>95.451432803140733</v>
      </c>
      <c r="G73">
        <v>96.631616164983072</v>
      </c>
      <c r="H73">
        <v>74.990929814095395</v>
      </c>
      <c r="I73">
        <v>98.193888694268807</v>
      </c>
      <c r="J73">
        <v>93.115145753489898</v>
      </c>
      <c r="K73">
        <v>0.80092941699513398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-3.6923297145002301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93.884445691649532</v>
      </c>
      <c r="C74">
        <v>89.712910574867635</v>
      </c>
      <c r="D74">
        <v>99.557417831086511</v>
      </c>
      <c r="E74">
        <v>93.237252964952461</v>
      </c>
      <c r="F74">
        <v>97.154988695533007</v>
      </c>
      <c r="G74">
        <v>97.117805973367055</v>
      </c>
      <c r="H74">
        <v>76.509674438529927</v>
      </c>
      <c r="I74">
        <v>100.16048510538957</v>
      </c>
      <c r="J74">
        <v>93.838223645731105</v>
      </c>
      <c r="K74">
        <v>0.81113157519398005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-3.81142395832528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94.672701102882272</v>
      </c>
      <c r="C75">
        <v>90.273257869631166</v>
      </c>
      <c r="D75">
        <v>99.989178592164492</v>
      </c>
      <c r="E75">
        <v>93.532441881526481</v>
      </c>
      <c r="F75">
        <v>97.13098238170096</v>
      </c>
      <c r="G75">
        <v>97.517108966033561</v>
      </c>
      <c r="H75">
        <v>77.876669805628538</v>
      </c>
      <c r="I75">
        <v>104.67348029908668</v>
      </c>
      <c r="J75">
        <v>94.6004975527824</v>
      </c>
      <c r="K75">
        <v>0.80216568317818704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-3.7266611446887898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95.220824720600262</v>
      </c>
      <c r="C76">
        <v>90.990454519558853</v>
      </c>
      <c r="D76">
        <v>100.26857455088002</v>
      </c>
      <c r="E76">
        <v>94.339793910375093</v>
      </c>
      <c r="F76">
        <v>98.059602743257798</v>
      </c>
      <c r="G76">
        <v>98.455272520416372</v>
      </c>
      <c r="H76">
        <v>78.297780052864212</v>
      </c>
      <c r="I76">
        <v>104.588513861264</v>
      </c>
      <c r="J76">
        <v>95.296590860635405</v>
      </c>
      <c r="K76">
        <v>0.79835418708710004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-3.43604987786764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95.66180259833034</v>
      </c>
      <c r="C77">
        <v>91.874670736589096</v>
      </c>
      <c r="D77">
        <v>99.992918945217085</v>
      </c>
      <c r="E77">
        <v>95.203019076127546</v>
      </c>
      <c r="F77">
        <v>98.60014564907884</v>
      </c>
      <c r="G77">
        <v>98.345072253787677</v>
      </c>
      <c r="H77">
        <v>80.928791678785601</v>
      </c>
      <c r="I77">
        <v>104.38449685743866</v>
      </c>
      <c r="J77">
        <v>95.693220363811093</v>
      </c>
      <c r="K77">
        <v>0.78803170707853898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-4.3636593431138598E-2</v>
      </c>
      <c r="P77">
        <v>-2.9944306599945998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96.159761622100291</v>
      </c>
      <c r="C78">
        <v>92.663293317397276</v>
      </c>
      <c r="D78">
        <v>100.06940847765183</v>
      </c>
      <c r="E78">
        <v>96.119999096561969</v>
      </c>
      <c r="F78">
        <v>99.226082243772566</v>
      </c>
      <c r="G78">
        <v>98.889203364083073</v>
      </c>
      <c r="H78">
        <v>82.976610528366436</v>
      </c>
      <c r="I78">
        <v>103.68393030348933</v>
      </c>
      <c r="J78">
        <v>96.1327662041666</v>
      </c>
      <c r="K78">
        <v>0.78634969678226596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-2.5407859870409402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97.16265462027097</v>
      </c>
      <c r="C79">
        <v>93.826517554329527</v>
      </c>
      <c r="D79">
        <v>100.41599171185034</v>
      </c>
      <c r="E79">
        <v>97.577221597207497</v>
      </c>
      <c r="F79">
        <v>100.72035045253199</v>
      </c>
      <c r="G79">
        <v>99.47947670179731</v>
      </c>
      <c r="H79">
        <v>84.635179677835339</v>
      </c>
      <c r="I79">
        <v>105.585598965269</v>
      </c>
      <c r="J79">
        <v>97.111013503416402</v>
      </c>
      <c r="K79">
        <v>0.78628976005266804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-2.5761558467830801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97.87820007090734</v>
      </c>
      <c r="C80">
        <v>94.497683376076381</v>
      </c>
      <c r="D80">
        <v>100.25491948612932</v>
      </c>
      <c r="E80">
        <v>98.933193420685072</v>
      </c>
      <c r="F80">
        <v>101.83120851161</v>
      </c>
      <c r="G80">
        <v>101.77749752329635</v>
      </c>
      <c r="H80">
        <v>85.719780913743875</v>
      </c>
      <c r="I80">
        <v>108.31130063089132</v>
      </c>
      <c r="J80">
        <v>97.925466242721299</v>
      </c>
      <c r="K80">
        <v>0.80702535396044905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-2.84268403872677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98.251374375910657</v>
      </c>
      <c r="C81">
        <v>95.046502467799129</v>
      </c>
      <c r="D81">
        <v>100.27978786217399</v>
      </c>
      <c r="E81">
        <v>99.85967962239279</v>
      </c>
      <c r="F81">
        <v>102.75504388447867</v>
      </c>
      <c r="G81">
        <v>101.83655097230367</v>
      </c>
      <c r="H81">
        <v>87.210918394766338</v>
      </c>
      <c r="I81">
        <v>107.831987927578</v>
      </c>
      <c r="J81">
        <v>98.272713923159699</v>
      </c>
      <c r="K81">
        <v>0.80061988410660201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-2.8338661798490601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98.752864989201314</v>
      </c>
      <c r="C82">
        <v>95.572890391293129</v>
      </c>
      <c r="D82">
        <v>100.44629475843733</v>
      </c>
      <c r="E82">
        <v>100.64149180372165</v>
      </c>
      <c r="F82">
        <v>103.29675147961933</v>
      </c>
      <c r="G82">
        <v>102.71402006456067</v>
      </c>
      <c r="H82">
        <v>88.583182350180138</v>
      </c>
      <c r="I82">
        <v>108.308834983757</v>
      </c>
      <c r="J82">
        <v>98.742104771017495</v>
      </c>
      <c r="K82">
        <v>0.80020429606267296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-1.97346611858113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99.166456865172378</v>
      </c>
      <c r="C83">
        <v>96.228033198718322</v>
      </c>
      <c r="D83">
        <v>100.78377067168235</v>
      </c>
      <c r="E83">
        <v>101.17450453548399</v>
      </c>
      <c r="F83">
        <v>103.58080620611901</v>
      </c>
      <c r="G83">
        <v>102.56863892558432</v>
      </c>
      <c r="H83">
        <v>90.447118210888775</v>
      </c>
      <c r="I83">
        <v>107.92759785971698</v>
      </c>
      <c r="J83">
        <v>99.137339068856704</v>
      </c>
      <c r="K83">
        <v>0.78393808826123101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-2.1940236505857098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99.615962953396092</v>
      </c>
      <c r="C84">
        <v>96.761788370963032</v>
      </c>
      <c r="D84">
        <v>100.74132365934834</v>
      </c>
      <c r="E84">
        <v>101.51266280873334</v>
      </c>
      <c r="F84">
        <v>103.69938859383433</v>
      </c>
      <c r="G84">
        <v>102.603602088774</v>
      </c>
      <c r="H84">
        <v>91.971307662609533</v>
      </c>
      <c r="I84">
        <v>109.70573705742702</v>
      </c>
      <c r="J84">
        <v>99.631490952496904</v>
      </c>
      <c r="K84">
        <v>0.77500807653390702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-1.8830944115350801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99.965826066788892</v>
      </c>
      <c r="C85">
        <v>97.44734673758586</v>
      </c>
      <c r="D85">
        <v>101.19549139550234</v>
      </c>
      <c r="E85">
        <v>101.10267169944899</v>
      </c>
      <c r="F85">
        <v>102.71223233686334</v>
      </c>
      <c r="G85">
        <v>102.60719453284099</v>
      </c>
      <c r="H85">
        <v>93.613985115053808</v>
      </c>
      <c r="I85">
        <v>108.998099897651</v>
      </c>
      <c r="J85">
        <v>99.9771198564857</v>
      </c>
      <c r="K85">
        <v>0.77065630898198501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-1.38025236592544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100.15677169755168</v>
      </c>
      <c r="C86">
        <v>97.959466672987162</v>
      </c>
      <c r="D86">
        <v>101.009319191995</v>
      </c>
      <c r="E86">
        <v>101.199892537263</v>
      </c>
      <c r="F86">
        <v>102.32977151930334</v>
      </c>
      <c r="G86">
        <v>102.080568179247</v>
      </c>
      <c r="H86">
        <v>95.727639763757637</v>
      </c>
      <c r="I86">
        <v>108.44569442614632</v>
      </c>
      <c r="J86">
        <v>100.16308106011699</v>
      </c>
      <c r="K86">
        <v>0.75998496996257003</v>
      </c>
      <c r="L86">
        <v>88.037404545454507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-1.33717344783272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100.07195339803513</v>
      </c>
      <c r="C87">
        <v>98.543290810816231</v>
      </c>
      <c r="D87">
        <v>100.49867020380701</v>
      </c>
      <c r="E87">
        <v>101.349414752332</v>
      </c>
      <c r="F87">
        <v>101.90253851095133</v>
      </c>
      <c r="G87">
        <v>102.87875939893367</v>
      </c>
      <c r="H87">
        <v>97.58468131619793</v>
      </c>
      <c r="I87">
        <v>105.70802737225399</v>
      </c>
      <c r="J87">
        <v>100.062424410171</v>
      </c>
      <c r="K87">
        <v>0.75127142152237703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-1.2503114353106499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99.755664209383482</v>
      </c>
      <c r="C88">
        <v>99.111124884403807</v>
      </c>
      <c r="D88">
        <v>100.21647000211594</v>
      </c>
      <c r="E88">
        <v>100.36854860099299</v>
      </c>
      <c r="F88">
        <v>100.686240465247</v>
      </c>
      <c r="G88">
        <v>100.865730765343</v>
      </c>
      <c r="H88">
        <v>98.714932954019631</v>
      </c>
      <c r="I88">
        <v>100.83034845277734</v>
      </c>
      <c r="J88">
        <v>99.740816658157897</v>
      </c>
      <c r="K88">
        <v>0.73099702131507505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-1.3044302728727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99.962492743810444</v>
      </c>
      <c r="C89">
        <v>99.576271609403008</v>
      </c>
      <c r="D89">
        <v>100.00502883181962</v>
      </c>
      <c r="E89">
        <v>100.17216972981601</v>
      </c>
      <c r="F89">
        <v>100.356517225106</v>
      </c>
      <c r="G89">
        <v>100.54315707742967</v>
      </c>
      <c r="H89">
        <v>99.288018442649729</v>
      </c>
      <c r="I89">
        <v>101.88180189682333</v>
      </c>
      <c r="J89">
        <v>99.974067526627493</v>
      </c>
      <c r="K89">
        <v>0.726376257800047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-1.4665684435573401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100.130021362332</v>
      </c>
      <c r="C90">
        <v>100.26234792976634</v>
      </c>
      <c r="D90">
        <v>100.00271930525166</v>
      </c>
      <c r="E90">
        <v>99.895452742850694</v>
      </c>
      <c r="F90">
        <v>99.795470601855769</v>
      </c>
      <c r="G90">
        <v>99.805099514670431</v>
      </c>
      <c r="H90">
        <v>100.32575211977799</v>
      </c>
      <c r="I90">
        <v>99.959079114282972</v>
      </c>
      <c r="J90">
        <v>100.14078866727201</v>
      </c>
      <c r="K90">
        <v>0.71661122800277499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-1.27441760495495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100.13197375181733</v>
      </c>
      <c r="C91">
        <v>101.03797245661234</v>
      </c>
      <c r="D91">
        <v>99.774706976860998</v>
      </c>
      <c r="E91">
        <v>99.559019099485781</v>
      </c>
      <c r="F91">
        <v>99.150484939783894</v>
      </c>
      <c r="G91">
        <v>98.666351433728792</v>
      </c>
      <c r="H91">
        <v>101.75334079161034</v>
      </c>
      <c r="I91">
        <v>97.167498899121497</v>
      </c>
      <c r="J91">
        <v>100.14432714794199</v>
      </c>
      <c r="K91">
        <v>0.70785219429855795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-0.81553028370272795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100.13357742413332</v>
      </c>
      <c r="C92">
        <v>101.63144758131966</v>
      </c>
      <c r="D92">
        <v>99.608885180956506</v>
      </c>
      <c r="E92">
        <v>98.872707278906034</v>
      </c>
      <c r="F92">
        <v>98.164661822376999</v>
      </c>
      <c r="G92">
        <v>97.541794253617027</v>
      </c>
      <c r="H92">
        <v>102.86883920753201</v>
      </c>
      <c r="I92">
        <v>95.366859982721166</v>
      </c>
      <c r="J92">
        <v>100.09364998508801</v>
      </c>
      <c r="K92">
        <v>0.72234316086335104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-0.67035725776747501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100.31900878665435</v>
      </c>
      <c r="C93">
        <v>102.17185339162468</v>
      </c>
      <c r="D93">
        <v>99.216141689998793</v>
      </c>
      <c r="E93">
        <v>98.484660928390895</v>
      </c>
      <c r="F93">
        <v>97.581310531118376</v>
      </c>
      <c r="G93">
        <v>96.319886330385245</v>
      </c>
      <c r="H93">
        <v>104.01660820581799</v>
      </c>
      <c r="I93">
        <v>96.843442314256279</v>
      </c>
      <c r="J93">
        <v>100.330869448779</v>
      </c>
      <c r="K93">
        <v>0.73890891526929603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-0.95073799251133695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100.82490530024467</v>
      </c>
      <c r="C94">
        <v>102.97921459909968</v>
      </c>
      <c r="D94">
        <v>99.172532442539662</v>
      </c>
      <c r="E94">
        <v>98.706531975254464</v>
      </c>
      <c r="F94">
        <v>97.440062034940965</v>
      </c>
      <c r="G94">
        <v>96.302064689001597</v>
      </c>
      <c r="H94">
        <v>105.93457214168767</v>
      </c>
      <c r="I94">
        <v>97.785532635437292</v>
      </c>
      <c r="J94">
        <v>100.84270311136</v>
      </c>
      <c r="K94">
        <v>0.77072553054453496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-0.74051985533749398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101.35235476355767</v>
      </c>
      <c r="C95">
        <v>103.43203319119732</v>
      </c>
      <c r="D95">
        <v>99.731272878316375</v>
      </c>
      <c r="E95">
        <v>98.873089895870294</v>
      </c>
      <c r="F95">
        <v>97.338806767394701</v>
      </c>
      <c r="G95">
        <v>97.008111368033994</v>
      </c>
      <c r="H95">
        <v>106.762348613874</v>
      </c>
      <c r="I95">
        <v>100.01294782855871</v>
      </c>
      <c r="J95">
        <v>101.37694408578101</v>
      </c>
      <c r="K95">
        <v>0.788207537233098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-0.676689377482381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102.291180928489</v>
      </c>
      <c r="C96">
        <v>104.16674817527233</v>
      </c>
      <c r="D96">
        <v>100.32440178436508</v>
      </c>
      <c r="E96">
        <v>100.01694702914988</v>
      </c>
      <c r="F96">
        <v>98.469345487279156</v>
      </c>
      <c r="G96">
        <v>97.888490286758369</v>
      </c>
      <c r="H96">
        <v>108.38830713663934</v>
      </c>
      <c r="I96">
        <v>103.56109865785101</v>
      </c>
      <c r="J96">
        <v>102.233208454889</v>
      </c>
      <c r="K96">
        <v>0.798228893411986</v>
      </c>
      <c r="L96">
        <v>77.053801538461499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-0.56408585572950698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103.07649878621201</v>
      </c>
      <c r="C97">
        <v>105.06125579495865</v>
      </c>
      <c r="D97">
        <v>101.16683005147802</v>
      </c>
      <c r="E97">
        <v>101.23245195002501</v>
      </c>
      <c r="F97">
        <v>99.493521851652261</v>
      </c>
      <c r="G97">
        <v>99.07494799955451</v>
      </c>
      <c r="H97">
        <v>110.41394261444701</v>
      </c>
      <c r="I97">
        <v>102.38931188492599</v>
      </c>
      <c r="J97">
        <v>103.09022231759199</v>
      </c>
      <c r="K97">
        <v>0.79550803385803104</v>
      </c>
      <c r="L97">
        <v>77.968176923076896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-0.63670267301125405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103.64365444749667</v>
      </c>
      <c r="C98">
        <v>105.712150835866</v>
      </c>
      <c r="D98">
        <v>101.61647371462901</v>
      </c>
      <c r="E98">
        <v>101.816251245369</v>
      </c>
      <c r="F98">
        <v>99.910097368577453</v>
      </c>
      <c r="G98">
        <v>99.604553797107371</v>
      </c>
      <c r="H98">
        <v>111.81898765417134</v>
      </c>
      <c r="I98">
        <v>102.45456056269101</v>
      </c>
      <c r="J98">
        <v>103.670458971896</v>
      </c>
      <c r="K98">
        <v>0.802661568707982</v>
      </c>
      <c r="L98">
        <v>76.548027692307699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-0.80477611329582199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104.42635096596833</v>
      </c>
      <c r="C99">
        <v>106.23603612666034</v>
      </c>
      <c r="D99">
        <v>102.24333834466067</v>
      </c>
      <c r="E99">
        <v>103.08120073166999</v>
      </c>
      <c r="F99">
        <v>101.255995468298</v>
      </c>
      <c r="G99">
        <v>99.754040894173102</v>
      </c>
      <c r="H99">
        <v>113.51066556355833</v>
      </c>
      <c r="I99">
        <v>105.16665487918533</v>
      </c>
      <c r="J99">
        <v>104.45485770823301</v>
      </c>
      <c r="K99">
        <v>0.80846109130113097</v>
      </c>
      <c r="L99">
        <v>77.708216923076904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-0.829640822117796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105.07879498233832</v>
      </c>
      <c r="C100">
        <v>106.84498191241666</v>
      </c>
      <c r="D100">
        <v>102.60487900865468</v>
      </c>
      <c r="E100">
        <v>103.73875590011001</v>
      </c>
      <c r="F100">
        <v>101.67559573830101</v>
      </c>
      <c r="G100">
        <v>99.916725576572105</v>
      </c>
      <c r="H100">
        <v>116.01851299453499</v>
      </c>
      <c r="I100">
        <v>107.59395340825934</v>
      </c>
      <c r="J100">
        <v>104.997402249921</v>
      </c>
      <c r="K100">
        <v>0.811856855436904</v>
      </c>
      <c r="L100">
        <v>79.033741538461499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-0.90415499522504195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105.56169248760567</v>
      </c>
      <c r="C101">
        <v>107.41248295473433</v>
      </c>
      <c r="D101">
        <v>102.91357677399499</v>
      </c>
      <c r="E101">
        <v>104.06338284978733</v>
      </c>
      <c r="F101">
        <v>101.77242882156033</v>
      </c>
      <c r="G101">
        <v>99.717502597582666</v>
      </c>
      <c r="H101">
        <v>118.05969221777066</v>
      </c>
      <c r="I101">
        <v>108.66136729311633</v>
      </c>
      <c r="J101">
        <v>105.599127984213</v>
      </c>
      <c r="K101">
        <v>0.82016303423232595</v>
      </c>
      <c r="L101">
        <v>79.101027692307696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-0.74815136343608601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106.24257518797532</v>
      </c>
      <c r="C102">
        <v>108.25807540701067</v>
      </c>
      <c r="D102">
        <v>102.850065476149</v>
      </c>
      <c r="E102">
        <v>104.47118451523299</v>
      </c>
      <c r="F102">
        <v>101.96977362965266</v>
      </c>
      <c r="G102">
        <v>99.982455125131835</v>
      </c>
      <c r="H102">
        <v>119.75429015523498</v>
      </c>
      <c r="I102">
        <v>111.76018689405667</v>
      </c>
      <c r="J102">
        <v>106.266201695221</v>
      </c>
      <c r="K102">
        <v>0.82872608317530305</v>
      </c>
      <c r="L102">
        <v>77.813970769230806</v>
      </c>
      <c r="M102" s="15">
        <f>+'[3]VAR expectations'!C126</f>
        <v>2.6759360893479318</v>
      </c>
      <c r="N102">
        <v>0.59026787322204399</v>
      </c>
      <c r="O102">
        <v>0.21968415645398701</v>
      </c>
      <c r="P102">
        <v>-0.56415083161494595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106.80002862484299</v>
      </c>
      <c r="C103">
        <v>108.86171932213635</v>
      </c>
      <c r="D103">
        <v>103.18986877314899</v>
      </c>
      <c r="E103">
        <v>104.96916266725766</v>
      </c>
      <c r="F103">
        <v>101.96160241271032</v>
      </c>
      <c r="G103">
        <v>100.26537715485101</v>
      </c>
      <c r="H103">
        <v>122.71530995186133</v>
      </c>
      <c r="I103">
        <v>113.99654242993302</v>
      </c>
      <c r="J103">
        <v>106.824625676011</v>
      </c>
      <c r="K103">
        <v>0.82467856051641997</v>
      </c>
      <c r="L103">
        <v>77.843365151515201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-0.54654012964452603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107.07102677858533</v>
      </c>
      <c r="C104">
        <v>109.50482160873067</v>
      </c>
      <c r="D104">
        <v>103.54908135657433</v>
      </c>
      <c r="E104">
        <v>105.88035952403133</v>
      </c>
      <c r="F104">
        <v>102.66131825767501</v>
      </c>
      <c r="G104">
        <v>100.89487142603566</v>
      </c>
      <c r="H104">
        <v>125.21694137540699</v>
      </c>
      <c r="I104">
        <v>109.36334990649367</v>
      </c>
      <c r="J104">
        <v>106.963787566398</v>
      </c>
      <c r="K104">
        <v>0.82446537246885199</v>
      </c>
      <c r="L104">
        <v>78.730029687499993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-0.12867681351254501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107.69586988269799</v>
      </c>
      <c r="C105">
        <v>110.24832837826433</v>
      </c>
      <c r="D105">
        <v>103.319082155261</v>
      </c>
      <c r="E105">
        <v>105.96022700214</v>
      </c>
      <c r="F105">
        <v>102.903209138424</v>
      </c>
      <c r="G105">
        <v>100.38691106382601</v>
      </c>
      <c r="H105">
        <v>125.292329749744</v>
      </c>
      <c r="I105">
        <v>115.26027923973466</v>
      </c>
      <c r="J105">
        <v>107.77701004650901</v>
      </c>
      <c r="K105">
        <v>0.83105875414883501</v>
      </c>
      <c r="L105">
        <v>78.457547692307699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-0.56622414682537503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108.19276534503034</v>
      </c>
      <c r="C106">
        <v>110.88655719072699</v>
      </c>
      <c r="D106">
        <v>103.48931264291799</v>
      </c>
      <c r="E106">
        <v>106.69262597720801</v>
      </c>
      <c r="F106">
        <v>103.62556625422599</v>
      </c>
      <c r="G106">
        <v>100.93222566952068</v>
      </c>
      <c r="H106">
        <v>126.24972293399735</v>
      </c>
      <c r="I106">
        <v>114.89912152168033</v>
      </c>
      <c r="J106">
        <v>108.203307923411</v>
      </c>
      <c r="K106">
        <v>0.84333593957728503</v>
      </c>
      <c r="L106">
        <v>75.795746969697007</v>
      </c>
      <c r="M106" s="15">
        <f>+'[3]VAR expectations'!C130</f>
        <v>2.9781745842670815</v>
      </c>
      <c r="N106">
        <v>0.17462163035891601</v>
      </c>
      <c r="O106">
        <v>-8.21163442679727E-3</v>
      </c>
      <c r="P106">
        <v>-0.44810462336694201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108.30709580187799</v>
      </c>
      <c r="C107">
        <v>111.42679876867366</v>
      </c>
      <c r="D107">
        <v>103.64680961251533</v>
      </c>
      <c r="E107">
        <v>106.92808836120567</v>
      </c>
      <c r="F107">
        <v>103.70321317688099</v>
      </c>
      <c r="G107">
        <v>101.56432245134067</v>
      </c>
      <c r="H107">
        <v>126.30589170897633</v>
      </c>
      <c r="I107">
        <v>112.099320461069</v>
      </c>
      <c r="J107">
        <v>108.322282493442</v>
      </c>
      <c r="K107">
        <v>0.82843226110685597</v>
      </c>
      <c r="L107">
        <v>79.403969696969696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-0.54907363549229404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108.90548769144</v>
      </c>
      <c r="C108">
        <v>112.20751165545001</v>
      </c>
      <c r="D108">
        <v>103.990650139894</v>
      </c>
      <c r="E108">
        <v>107.27329850547333</v>
      </c>
      <c r="F108">
        <v>104.04902570164268</v>
      </c>
      <c r="G108">
        <v>101.86799467231333</v>
      </c>
      <c r="H108">
        <v>126.68020561401666</v>
      </c>
      <c r="I108">
        <v>112.92486793406533</v>
      </c>
      <c r="J108">
        <v>108.767558713285</v>
      </c>
      <c r="K108">
        <v>0.82376799530747102</v>
      </c>
      <c r="L108">
        <v>79.231538461538506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-0.62569185220107304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108.29806394385866</v>
      </c>
      <c r="C109">
        <v>112.32207992237734</v>
      </c>
      <c r="D109">
        <v>103.80820987716966</v>
      </c>
      <c r="E109">
        <v>107.743326882234</v>
      </c>
      <c r="F109">
        <v>104.34398786670602</v>
      </c>
      <c r="G109">
        <v>102.43724408585668</v>
      </c>
      <c r="H109">
        <v>128.62023179191098</v>
      </c>
      <c r="I109">
        <v>102.50102064654932</v>
      </c>
      <c r="J109">
        <v>108.44162855230201</v>
      </c>
      <c r="K109">
        <v>0.81302965278783501</v>
      </c>
      <c r="L109">
        <v>77.416984615384607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-2.7964202478446398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108.85030860319334</v>
      </c>
      <c r="C110">
        <v>112.45665916198901</v>
      </c>
      <c r="D110">
        <v>104.62829996923199</v>
      </c>
      <c r="E110">
        <v>107.63669945107699</v>
      </c>
      <c r="F110">
        <v>103.96489341391833</v>
      </c>
      <c r="G110">
        <v>101.79776075172499</v>
      </c>
      <c r="H110">
        <v>130.62166673398033</v>
      </c>
      <c r="I110">
        <v>105.00459828639232</v>
      </c>
      <c r="J110">
        <v>108.83095649832001</v>
      </c>
      <c r="K110">
        <v>0.81523673020943999</v>
      </c>
      <c r="L110">
        <v>77.453536363636402</v>
      </c>
      <c r="M110" s="15">
        <f>+'[3]VAR expectations'!C134</f>
        <v>3.1319434989789481</v>
      </c>
      <c r="N110">
        <v>-0.57563884899936701</v>
      </c>
      <c r="O110">
        <v>0.118900887754049</v>
      </c>
      <c r="P110">
        <v>-1.96778451829028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108.88880913279333</v>
      </c>
      <c r="C111">
        <v>113.00932279142667</v>
      </c>
      <c r="D111">
        <v>104.88204148270199</v>
      </c>
      <c r="E111">
        <v>107.31681337892132</v>
      </c>
      <c r="F111">
        <v>103.19890177018932</v>
      </c>
      <c r="G111">
        <v>101.93662857165801</v>
      </c>
      <c r="H111">
        <v>131.90486157245266</v>
      </c>
      <c r="I111">
        <v>102.04985766687366</v>
      </c>
      <c r="J111">
        <v>108.88722952761501</v>
      </c>
      <c r="K111">
        <v>0.82770637555197202</v>
      </c>
      <c r="L111">
        <v>77.966816666666702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-1.6894379899480401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109.62148872383733</v>
      </c>
      <c r="C112">
        <v>114.02467133239334</v>
      </c>
      <c r="D112">
        <v>104.75304986060966</v>
      </c>
      <c r="E112">
        <v>107.47615161494467</v>
      </c>
      <c r="F112">
        <v>103.16268329950465</v>
      </c>
      <c r="G112">
        <v>102.19618407064267</v>
      </c>
      <c r="H112">
        <v>133.16033239764633</v>
      </c>
      <c r="I112">
        <v>106.42903311577267</v>
      </c>
      <c r="J112">
        <v>109.498753813105</v>
      </c>
      <c r="K112">
        <v>0.81997916491071399</v>
      </c>
      <c r="L112">
        <v>80.482731250000001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-0.91179431812897105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110.44516251309399</v>
      </c>
      <c r="C113">
        <v>114.37157976909566</v>
      </c>
      <c r="D113">
        <v>105.85732338766132</v>
      </c>
      <c r="E113">
        <v>107.76595557521101</v>
      </c>
      <c r="F113">
        <v>103.53316315806801</v>
      </c>
      <c r="G113">
        <v>103.31489690414934</v>
      </c>
      <c r="H113">
        <v>132.46673655100133</v>
      </c>
      <c r="I113">
        <v>111.42989162974034</v>
      </c>
      <c r="J113">
        <v>110.615452083593</v>
      </c>
      <c r="K113">
        <v>0.82659569796815602</v>
      </c>
      <c r="L113">
        <v>81.786427692307697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0.12673076908549399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111.881087335977</v>
      </c>
      <c r="C114">
        <v>115.16266208511233</v>
      </c>
      <c r="D114">
        <v>107.75358428112968</v>
      </c>
      <c r="E114">
        <v>108.42060462375566</v>
      </c>
      <c r="F114">
        <v>104.09913917742865</v>
      </c>
      <c r="G114">
        <v>103.40431598299466</v>
      </c>
      <c r="H114">
        <v>134.14047829538131</v>
      </c>
      <c r="I114">
        <v>115.34401995968868</v>
      </c>
      <c r="J114">
        <v>111.82563764132099</v>
      </c>
      <c r="K114">
        <v>0.85503420500566196</v>
      </c>
      <c r="L114">
        <v>81.769348484848507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0.25723020119906398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114.25091594913401</v>
      </c>
      <c r="C115">
        <v>116.74016032930166</v>
      </c>
      <c r="D115">
        <v>109.66891988900899</v>
      </c>
      <c r="E115">
        <v>110.41295236149033</v>
      </c>
      <c r="F115">
        <v>105.92805394768634</v>
      </c>
      <c r="G115">
        <v>104.10903411088732</v>
      </c>
      <c r="H115">
        <v>138.25944771710434</v>
      </c>
      <c r="I115">
        <v>126.83701984321935</v>
      </c>
      <c r="J115">
        <v>114.235757971364</v>
      </c>
      <c r="K115">
        <v>0.89904007625108595</v>
      </c>
      <c r="L115">
        <v>81.601331818181805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0.77392107329598503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116.48622441791501</v>
      </c>
      <c r="C116">
        <v>118.19689947860333</v>
      </c>
      <c r="D116">
        <v>112.13157324157966</v>
      </c>
      <c r="E116">
        <v>112.62008770217334</v>
      </c>
      <c r="F116">
        <v>108.46388051342099</v>
      </c>
      <c r="G116">
        <v>104.051353830965</v>
      </c>
      <c r="H116">
        <v>141.19196992992767</v>
      </c>
      <c r="I116">
        <v>132.15042794683998</v>
      </c>
      <c r="J116">
        <v>116.394598347325</v>
      </c>
      <c r="K116">
        <v>0.93243291258427596</v>
      </c>
      <c r="L116">
        <v>82.320465624997198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1.8408776337000201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120.48348570841733</v>
      </c>
      <c r="C117">
        <v>119.95883489124567</v>
      </c>
      <c r="D117">
        <v>113.42835188647366</v>
      </c>
      <c r="E117">
        <v>115.54941884620666</v>
      </c>
      <c r="F117">
        <v>112.142130180827</v>
      </c>
      <c r="G117">
        <v>104.78691964933567</v>
      </c>
      <c r="H117">
        <v>143.00793333392332</v>
      </c>
      <c r="I117">
        <v>171.20597302586802</v>
      </c>
      <c r="J117">
        <v>120.676504908073</v>
      </c>
      <c r="K117">
        <v>0.989797540107896</v>
      </c>
      <c r="L117">
        <v>80.190636866096895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1.88338934084884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123.11300135463034</v>
      </c>
      <c r="C118">
        <v>121.96445501374065</v>
      </c>
      <c r="D118">
        <v>114.97807826904</v>
      </c>
      <c r="E118">
        <v>120.364492883143</v>
      </c>
      <c r="F118">
        <v>118.03528142547002</v>
      </c>
      <c r="G118">
        <v>106.38614126139767</v>
      </c>
      <c r="H118">
        <v>145.14154076826068</v>
      </c>
      <c r="I118">
        <v>177.49348784765098</v>
      </c>
      <c r="J118">
        <v>123.005352790933</v>
      </c>
      <c r="K118">
        <v>1.0549677290056301</v>
      </c>
      <c r="L118">
        <v>78.205745454544996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1.65702853123937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126.55876907795499</v>
      </c>
      <c r="C119">
        <v>124.289415617134</v>
      </c>
      <c r="D119">
        <v>116.60162516201733</v>
      </c>
      <c r="E119">
        <v>124.66698065796267</v>
      </c>
      <c r="F119">
        <v>123.385228909768</v>
      </c>
      <c r="G119">
        <v>107.96845660892332</v>
      </c>
      <c r="H119">
        <v>145.92772029939735</v>
      </c>
      <c r="I119">
        <v>197.72228545311268</v>
      </c>
      <c r="J119">
        <v>126.544930518752</v>
      </c>
      <c r="K119">
        <v>1.0246932577811401</v>
      </c>
      <c r="L119">
        <v>78.079235384615401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1.46171545167883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128.37568129591034</v>
      </c>
      <c r="C120">
        <v>125.86144143021534</v>
      </c>
      <c r="D120">
        <v>118.52582206708701</v>
      </c>
      <c r="E120">
        <v>128.60738963666668</v>
      </c>
      <c r="F120">
        <v>127.99196357231034</v>
      </c>
      <c r="G120">
        <v>110.11311050535868</v>
      </c>
      <c r="H120">
        <v>148.13387123380534</v>
      </c>
      <c r="I120">
        <v>193.21540960358166</v>
      </c>
      <c r="J120">
        <v>128.33122946653799</v>
      </c>
      <c r="K120">
        <v>1.0328677670959501</v>
      </c>
      <c r="L120">
        <v>78.144530769230798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1.1848768309236899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130.56044918775737</v>
      </c>
      <c r="C121">
        <v>128.48539835199901</v>
      </c>
      <c r="D121">
        <v>120.836941316823</v>
      </c>
      <c r="E121">
        <v>133.44707635805068</v>
      </c>
      <c r="F121">
        <v>132.527408170526</v>
      </c>
      <c r="G121">
        <v>112.086982961576</v>
      </c>
      <c r="H121">
        <v>159.0025190765663</v>
      </c>
      <c r="I121">
        <v>183.72423377932898</v>
      </c>
      <c r="J121">
        <v>130.74129771176499</v>
      </c>
      <c r="K121">
        <v>1.0147751912979599</v>
      </c>
      <c r="L121">
        <v>80.435667692307703</v>
      </c>
      <c r="M121" s="15">
        <f>+'[3]VAR expectations'!C145</f>
        <v>4.9659010810981856</v>
      </c>
      <c r="N121">
        <v>0.70170723997551099</v>
      </c>
      <c r="O121">
        <v>-0.231251350162267</v>
      </c>
      <c r="P121">
        <v>0.93764254780892398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131.38968671505168</v>
      </c>
      <c r="C122">
        <v>130.53545480627767</v>
      </c>
      <c r="D122">
        <v>121.03126004110834</v>
      </c>
      <c r="E122">
        <v>135.45306402775</v>
      </c>
      <c r="F122">
        <v>133.94812580210865</v>
      </c>
      <c r="G122">
        <v>115.81124980573033</v>
      </c>
      <c r="H122">
        <v>162.44185095427167</v>
      </c>
      <c r="I122">
        <v>171.53216423753133</v>
      </c>
      <c r="J122">
        <v>131.2421339906</v>
      </c>
      <c r="K122">
        <v>1.0055862585390301</v>
      </c>
      <c r="L122">
        <v>82.183743076923093</v>
      </c>
      <c r="M122" s="15">
        <f>+'[3]VAR expectations'!C146</f>
        <v>4.3007323969777262</v>
      </c>
      <c r="N122">
        <v>-0.16340187781012599</v>
      </c>
      <c r="O122">
        <v>-0.673433352934243</v>
      </c>
      <c r="P122">
        <v>0.59613828405875902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131.87546052592265</v>
      </c>
      <c r="C123">
        <v>132.26246654967801</v>
      </c>
      <c r="D123">
        <v>120.81732238707066</v>
      </c>
      <c r="E123">
        <v>136.72632584781968</v>
      </c>
      <c r="F123">
        <v>134.62710004313831</v>
      </c>
      <c r="G123">
        <v>118.03611136677368</v>
      </c>
      <c r="H123">
        <v>165.56402632195568</v>
      </c>
      <c r="I123">
        <v>164.804918163813</v>
      </c>
      <c r="J123">
        <v>131.871939115993</v>
      </c>
      <c r="K123">
        <v>1.01447857562121</v>
      </c>
      <c r="L123">
        <v>81.170489230769206</v>
      </c>
      <c r="M123" s="15">
        <f>+'[3]VAR expectations'!C147</f>
        <v>3.8582721147576735</v>
      </c>
      <c r="N123">
        <v>-1.3678165112816401</v>
      </c>
      <c r="O123">
        <v>-0.21694556148073699</v>
      </c>
      <c r="P123">
        <v>4.5885119654568297E-2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B124">
        <v>132.93704625563734</v>
      </c>
      <c r="C124">
        <v>133.75787285470469</v>
      </c>
      <c r="D124">
        <v>120.92770249283801</v>
      </c>
      <c r="E124">
        <v>137.64184979520701</v>
      </c>
      <c r="F124">
        <v>134.79353817150866</v>
      </c>
      <c r="G124">
        <v>118.86832147362399</v>
      </c>
      <c r="H124">
        <v>171.86208615383134</v>
      </c>
      <c r="I124">
        <v>166.06110914841932</v>
      </c>
      <c r="J124">
        <v>132.937450430425</v>
      </c>
      <c r="K124">
        <v>1.00794502898862</v>
      </c>
      <c r="L124">
        <v>82.562649230769196</v>
      </c>
      <c r="M124" s="15">
        <f>+'[3]VAR expectations'!C148</f>
        <v>3.6255376960251078</v>
      </c>
      <c r="N124">
        <v>-1.0717785266822</v>
      </c>
      <c r="O124">
        <v>4.3541846025459997E-2</v>
      </c>
      <c r="P124">
        <v>-0.13701539838695001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B125">
        <v>133.246575620436</v>
      </c>
      <c r="C125">
        <v>135.83115916824599</v>
      </c>
      <c r="D125">
        <v>120.95742823148532</v>
      </c>
      <c r="E125">
        <v>138.07178830301532</v>
      </c>
      <c r="F125">
        <v>135.20642964518598</v>
      </c>
      <c r="G125">
        <v>118.579164978679</v>
      </c>
      <c r="H125">
        <v>174.52404169845201</v>
      </c>
      <c r="I125">
        <v>154.10989180776335</v>
      </c>
      <c r="J125">
        <v>133.41136656048701</v>
      </c>
      <c r="K125">
        <v>1.0127852536478299</v>
      </c>
      <c r="L125">
        <v>82.934533846153798</v>
      </c>
      <c r="M125" s="15">
        <f>+'[3]VAR expectations'!C149</f>
        <v>2.979353541970323</v>
      </c>
      <c r="N125">
        <v>-1.2261098957021399</v>
      </c>
      <c r="O125">
        <v>-0.40443614577732501</v>
      </c>
      <c r="P125">
        <v>-0.25796223911910199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B126">
        <v>134.07750448130034</v>
      </c>
      <c r="C126">
        <v>137.31866000727234</v>
      </c>
      <c r="D126">
        <v>121.264250906821</v>
      </c>
      <c r="E126">
        <v>139.07284601962434</v>
      </c>
      <c r="F126">
        <v>136.02607397723202</v>
      </c>
      <c r="G126">
        <v>118.90937012525499</v>
      </c>
      <c r="H126">
        <v>177.695005681667</v>
      </c>
      <c r="I126">
        <v>148.672682495077</v>
      </c>
      <c r="J126">
        <v>133.91091125454099</v>
      </c>
      <c r="K126">
        <v>0.99117458279846005</v>
      </c>
      <c r="L126">
        <v>84.298359090909102</v>
      </c>
      <c r="M126" s="15">
        <f>+'[3]VAR expectations'!C150</f>
        <v>2.9717312535901965</v>
      </c>
      <c r="N126">
        <v>-0.96369939332577004</v>
      </c>
      <c r="O126">
        <v>-0.3982860759479</v>
      </c>
      <c r="P126">
        <v>-0.26910611907885101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B127">
        <v>135.16162587256767</v>
      </c>
      <c r="C127">
        <v>138.62258516433366</v>
      </c>
      <c r="D127">
        <v>121.96262666322001</v>
      </c>
      <c r="E127">
        <v>140.745884534477</v>
      </c>
      <c r="F127">
        <v>137.27512402023501</v>
      </c>
      <c r="G127">
        <v>119.76153006783733</v>
      </c>
      <c r="H127">
        <v>182.78135032585797</v>
      </c>
      <c r="I127">
        <v>151.19680835383869</v>
      </c>
      <c r="J127">
        <v>135.15399858036201</v>
      </c>
      <c r="K127">
        <v>0.99205214210804604</v>
      </c>
      <c r="L127">
        <v>84.617050000000006</v>
      </c>
      <c r="M127" s="15">
        <f>+'[3]VAR expectations'!C151</f>
        <v>3.468785277541127</v>
      </c>
      <c r="N127">
        <v>-0.58156090930256898</v>
      </c>
      <c r="O127">
        <v>0.16500605812999999</v>
      </c>
      <c r="P127">
        <v>-0.36079458490055299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B128">
        <v>136.66455240792868</v>
      </c>
      <c r="C128">
        <v>140.36031916341801</v>
      </c>
      <c r="D128">
        <v>122.43375556063801</v>
      </c>
      <c r="E128">
        <v>142.80378423171132</v>
      </c>
      <c r="F128">
        <v>139.13561328263165</v>
      </c>
      <c r="G128">
        <v>121.25008275051665</v>
      </c>
      <c r="H128">
        <v>187.28219550222136</v>
      </c>
      <c r="I128">
        <v>153.771519342472</v>
      </c>
      <c r="J128">
        <v>136.69686627589601</v>
      </c>
      <c r="K128">
        <v>1.0156033493433101</v>
      </c>
      <c r="L128">
        <v>84.063576562500003</v>
      </c>
      <c r="M128" s="15">
        <f>+'[3]VAR expectations'!C152</f>
        <v>3.8021957884789486</v>
      </c>
      <c r="N128">
        <v>-0.518303217993346</v>
      </c>
      <c r="O128">
        <v>0.107917584062745</v>
      </c>
      <c r="P128">
        <v>-0.45079148933110302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B129">
        <v>137.87112594650367</v>
      </c>
      <c r="C129">
        <v>142.51088873365498</v>
      </c>
      <c r="D129">
        <v>122.724386548396</v>
      </c>
      <c r="E129">
        <v>144.36322991967867</v>
      </c>
      <c r="F129">
        <v>140.77824060480535</v>
      </c>
      <c r="G129">
        <v>123.34877730318432</v>
      </c>
      <c r="H129">
        <v>188.29603889896066</v>
      </c>
      <c r="I129">
        <v>152.84323029012299</v>
      </c>
      <c r="J129">
        <v>138.01938006899999</v>
      </c>
      <c r="K129">
        <v>0.99918554673399895</v>
      </c>
      <c r="L129">
        <v>85.43</v>
      </c>
      <c r="M129" s="15">
        <f>+'[3]VAR expectations'!C153</f>
        <v>4.011042611251681</v>
      </c>
      <c r="N129">
        <v>-8.0156162901135294E-2</v>
      </c>
      <c r="O129">
        <v>3.5632547105975999E-2</v>
      </c>
      <c r="P129">
        <v>-0.48822007326455202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B130">
        <v>139.22882826754469</v>
      </c>
      <c r="C130">
        <v>144.03559366104034</v>
      </c>
      <c r="D130">
        <v>123.20914355378267</v>
      </c>
      <c r="E130">
        <v>146.17238867412701</v>
      </c>
      <c r="F130">
        <v>142.80932081981334</v>
      </c>
      <c r="G130">
        <v>123.58353089060101</v>
      </c>
      <c r="H130">
        <v>191.69091466098234</v>
      </c>
      <c r="I130">
        <v>151.80393744588599</v>
      </c>
      <c r="J130">
        <v>139.05599602486899</v>
      </c>
      <c r="K130">
        <v>0.99983199106680998</v>
      </c>
      <c r="L130">
        <v>84.94</v>
      </c>
      <c r="M130" s="15">
        <f>+'[3]VAR expectations'!C154</f>
        <v>3.9691108090385026</v>
      </c>
      <c r="N130">
        <v>0.14852738680451699</v>
      </c>
      <c r="O130">
        <v>-0.17429903529735599</v>
      </c>
      <c r="P130">
        <v>-0.507636873453717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B131">
        <v>140.11495175311967</v>
      </c>
      <c r="C131">
        <v>145.566070534961</v>
      </c>
      <c r="D131">
        <v>123.41370761893801</v>
      </c>
      <c r="E131">
        <v>147.33384530439099</v>
      </c>
      <c r="F131">
        <v>144.59901918143865</v>
      </c>
      <c r="G131">
        <v>124.46047414312299</v>
      </c>
      <c r="H131">
        <v>193.97044901861466</v>
      </c>
      <c r="I131">
        <v>150.53034053718932</v>
      </c>
      <c r="J131">
        <v>140.08379787856001</v>
      </c>
      <c r="K131">
        <v>0.99222721823910498</v>
      </c>
      <c r="L131">
        <v>84.683469039739805</v>
      </c>
      <c r="M131" s="15">
        <f>+'[3]VAR expectations'!C155</f>
        <v>3.8470567349792795</v>
      </c>
      <c r="N131">
        <v>-2.4933242467237299E-2</v>
      </c>
      <c r="O131">
        <v>-7.0369201187523399E-3</v>
      </c>
      <c r="P131">
        <v>-0.57933339294608999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I132">
        <v>149.61277812445232</v>
      </c>
      <c r="J132">
        <v>141.02246033517099</v>
      </c>
      <c r="K132">
        <v>0.98684808363732701</v>
      </c>
      <c r="L132">
        <v>84.552781396425402</v>
      </c>
      <c r="M132" s="15">
        <f>+'[3]VAR expectations'!C156</f>
        <v>4.1639091291217634</v>
      </c>
      <c r="N132">
        <v>-0.15967816232041501</v>
      </c>
      <c r="O132">
        <v>-1.6535476013773E-2</v>
      </c>
      <c r="P132">
        <v>-0.61268668295148998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I133">
        <v>153.11376506660932</v>
      </c>
      <c r="J133">
        <v>142.16754098481499</v>
      </c>
      <c r="K133">
        <v>0.98432726171154505</v>
      </c>
      <c r="L133">
        <v>84.426705566104403</v>
      </c>
      <c r="M133" s="15">
        <f>+'[3]VAR expectations'!C157</f>
        <v>5.4104651194166893</v>
      </c>
      <c r="N133">
        <v>3.2187385329675699E-3</v>
      </c>
      <c r="O133">
        <v>0.19389058082222399</v>
      </c>
      <c r="P133">
        <v>-0.63664168188692005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I134">
        <v>154.30393141601067</v>
      </c>
      <c r="J134">
        <v>142.87205877895201</v>
      </c>
      <c r="K134">
        <v>0.98288812923445401</v>
      </c>
      <c r="L134">
        <v>84.3021647274103</v>
      </c>
      <c r="M134" s="15">
        <f>+'[3]VAR expectations'!C158</f>
        <v>4.9139696600199789</v>
      </c>
      <c r="N134">
        <v>0.112882428086807</v>
      </c>
      <c r="O134">
        <v>-5.4901279743138999E-2</v>
      </c>
      <c r="P134">
        <v>-0.63779147660728797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I135">
        <v>153.45826649764865</v>
      </c>
      <c r="J135">
        <v>143.577734783165</v>
      </c>
      <c r="K135">
        <v>0.98202562996375498</v>
      </c>
      <c r="L135">
        <v>84.176756248120995</v>
      </c>
      <c r="M135" s="15">
        <f>+'[3]VAR expectations'!C159</f>
        <v>4.0011512098701685</v>
      </c>
      <c r="N135">
        <v>0.109908345539346</v>
      </c>
      <c r="O135">
        <v>-4.4310271174268602E-4</v>
      </c>
      <c r="P135">
        <v>-0.59400226439177795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I136">
        <v>152.62237064027099</v>
      </c>
      <c r="J136">
        <v>144.251034269874</v>
      </c>
      <c r="K136">
        <v>0.98140258170216699</v>
      </c>
      <c r="L136">
        <v>84.050914156640701</v>
      </c>
      <c r="M136" s="15">
        <f>+'[3]VAR expectations'!C160</f>
        <v>3.3715300668176842</v>
      </c>
      <c r="N136">
        <v>9.8963290821522096E-2</v>
      </c>
      <c r="O136">
        <v>-1.27151534663672E-2</v>
      </c>
      <c r="P136">
        <v>-0.51223952628107206</v>
      </c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I137">
        <v>151.96227608142567</v>
      </c>
      <c r="J137">
        <v>144.97079697287401</v>
      </c>
      <c r="K137">
        <v>0.98314102367360301</v>
      </c>
      <c r="L137">
        <v>83.926500416917705</v>
      </c>
      <c r="M137" s="15">
        <f>+'[3]VAR expectations'!C161</f>
        <v>2.9319715449134089</v>
      </c>
      <c r="N137">
        <v>-8.8196040741176499E-2</v>
      </c>
      <c r="O137">
        <v>1.60999570243111E-2</v>
      </c>
      <c r="P137">
        <v>-0.43468593285037299</v>
      </c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I138">
        <v>153.79419312264733</v>
      </c>
      <c r="J138">
        <v>145.67792649303499</v>
      </c>
      <c r="K138">
        <v>0.98312659453002604</v>
      </c>
      <c r="L138">
        <v>83.804853173806507</v>
      </c>
      <c r="M138" s="15">
        <f>+'[3]VAR expectations'!C162</f>
        <v>2.624058833894372</v>
      </c>
      <c r="N138">
        <v>-4.8797883014125999E-2</v>
      </c>
      <c r="O138">
        <v>-6.7701651851022695E-4</v>
      </c>
      <c r="P138">
        <v>-0.35440489785730001</v>
      </c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I139">
        <v>153.30844391905066</v>
      </c>
      <c r="J139">
        <v>146.39179074948601</v>
      </c>
      <c r="K139">
        <v>0.98195249345140401</v>
      </c>
      <c r="L139">
        <v>83.686240229972398</v>
      </c>
      <c r="M139" s="15">
        <f>+'[3]VAR expectations'!C163</f>
        <v>2.4687156565697737</v>
      </c>
      <c r="N139">
        <v>-4.6179373288456199E-2</v>
      </c>
      <c r="O139">
        <v>-4.15752015621643E-3</v>
      </c>
      <c r="P139">
        <v>-0.30403420607429299</v>
      </c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I140">
        <v>153.01762282469133</v>
      </c>
      <c r="J140">
        <v>147.10009689725899</v>
      </c>
      <c r="K140">
        <v>0.98063247547008603</v>
      </c>
      <c r="L140">
        <v>83.570543753952805</v>
      </c>
      <c r="M140" s="15">
        <f>+'[3]VAR expectations'!C164</f>
        <v>2.4272584547421974</v>
      </c>
      <c r="N140">
        <v>-3.6428164539440797E-2</v>
      </c>
      <c r="O140">
        <v>-6.4730736789887404E-3</v>
      </c>
      <c r="P140">
        <v>-0.24482538756834199</v>
      </c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I141">
        <v>152.2744886579097</v>
      </c>
      <c r="J141">
        <v>147.832752676871</v>
      </c>
      <c r="K141">
        <v>0.97944975080242502</v>
      </c>
      <c r="L141">
        <v>83.457428233358101</v>
      </c>
      <c r="M141" s="15">
        <f>+'[3]VAR expectations'!C165</f>
        <v>2.4505337246023733</v>
      </c>
      <c r="N141">
        <v>-4.0774840521668798E-2</v>
      </c>
      <c r="O141">
        <v>1.1817117236994201E-2</v>
      </c>
      <c r="P141">
        <v>-0.167364026457092</v>
      </c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I142">
        <v>154.13597543990332</v>
      </c>
      <c r="J142">
        <v>148.61419307026901</v>
      </c>
      <c r="K142">
        <v>0.97809105224503801</v>
      </c>
      <c r="L142">
        <v>83.346432687554298</v>
      </c>
      <c r="M142" s="15">
        <f>+'[3]VAR expectations'!C166</f>
        <v>2.4399426350808717</v>
      </c>
      <c r="N142">
        <v>-2.6473301337635199E-2</v>
      </c>
      <c r="O142">
        <v>3.8775680770001202E-2</v>
      </c>
      <c r="P142">
        <v>-0.110958215940241</v>
      </c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I143">
        <v>154.20703491657969</v>
      </c>
      <c r="M143" s="15">
        <f>+'[3]VAR expectations'!C167</f>
        <v>2.4724757454078841</v>
      </c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M144" s="15">
        <f>+'[3]VAR expectations'!C168</f>
        <v>2.5381252562448622</v>
      </c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/>
      <c r="M145" s="15">
        <f>+'[3]VAR expectations'!C169</f>
        <v>2.6576871518365146</v>
      </c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901E-B131-4073-A62F-18FD2A00EC91}">
  <dimension ref="A1:W172"/>
  <sheetViews>
    <sheetView zoomScaleNormal="100" workbookViewId="0">
      <selection activeCell="Q12" sqref="Q12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D3" s="3"/>
      <c r="I3" s="1" t="s">
        <v>7</v>
      </c>
      <c r="J3" s="2" t="s">
        <v>5</v>
      </c>
      <c r="K3" s="2"/>
      <c r="L3" t="s">
        <v>72</v>
      </c>
    </row>
    <row r="4" spans="1:23" x14ac:dyDescent="0.25">
      <c r="A4" t="s">
        <v>310</v>
      </c>
      <c r="B4" s="2" t="s">
        <v>8</v>
      </c>
      <c r="C4" s="2"/>
      <c r="D4" s="3" t="s">
        <v>311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272</v>
      </c>
      <c r="J5" s="2" t="s">
        <v>9</v>
      </c>
      <c r="K5" s="2"/>
    </row>
    <row r="6" spans="1:23" x14ac:dyDescent="0.25">
      <c r="A6" t="s">
        <v>209</v>
      </c>
      <c r="I6" t="s">
        <v>271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conv2qa(X12(stifidx_oct2025.m,MULT,1996m1,2026m3))</v>
      </c>
      <c r="C10" s="11" t="str">
        <f t="shared" ref="C10:D10" si="0">"conv2qa(X12("&amp;$D$5&amp;$D$3&amp;C9&amp;$D$4&amp;",MULT," &amp; TEXT($A$3,"yyyy""m""m") &amp; "," &amp; TEXT($A$4,"yyyy""m""m") &amp; "))"</f>
        <v>conv2qa(X12(stif_srv_oct2025.m,MULT,1996m1,2026m3))</v>
      </c>
      <c r="D10" s="11" t="str">
        <f t="shared" si="0"/>
        <v>conv2qa(X12(stif_gds_xeatfnab_oct2025.m,MULT,1996m1,2026m3))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booze.m,fags.m,#,#,#,#,#,#,#,#,#,#,#,#,#,#,#,#,#),MULT,1996m1,2026m3))</v>
      </c>
      <c r="F10" s="11" t="str">
        <f>"conv2qa(X12("&amp;$D$5&amp;$D$3&amp;F9&amp;$D$4&amp;",MULT," &amp; TEXT($A$3,"yyyy""m""m") &amp; "," &amp; TEXT($A$4,"yyyy""m""m") &amp; "))"</f>
        <v>conv2qa(X12(stif_fnab_oct2025.m,MULT,1996m1,2026m3))</v>
      </c>
      <c r="G10" s="11" t="str">
        <f>"conv2qa(X12("&amp;G9&amp;",MULT," &amp; TEXT($A$3,"yyyy""m""m") &amp; "," &amp; TEXT($A$4,"yyyy""m""m") &amp; "))"</f>
        <v>conv2qa(X12(booze.m,MULT,1996m1,2026m3))</v>
      </c>
      <c r="H10" s="11" t="str">
        <f>"conv2qa(X12("&amp;H9&amp;",MULT," &amp; TEXT($A$3,"yyyy""m""m") &amp; "," &amp; TEXT($A$4,"yyyy""m""m") &amp; "))"</f>
        <v>conv2qa(X12(fags.m,MULT,1996m1,2026m3))</v>
      </c>
      <c r="I10" s="11" t="str">
        <f>"conv2qa(X12("&amp;$D$5&amp;$D$3&amp;I9&amp;$D$4&amp;",MULT," &amp; TEXT($A$3,"yyyy""m""m") &amp; "," &amp; TEXT($I$5,"yyyy""m""m") &amp; "))"</f>
        <v>conv2qa(X12(stif_pu_oct2025.m,MULT,1996m1,2028m12))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68.336249781639438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58.553707089085371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77.833862631324294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>
        <f>[2]!FAMEData($L$5&amp;$L$3&amp;J9&amp;$L$4, $I$3, $I$4, 0,"Quarterly", "Down", "No Heading", "Normal")</f>
        <v>68.274787902373603</v>
      </c>
      <c r="K12">
        <f>[2]!FAMEData($L$5&amp;$L$3&amp;K9&amp;$L$4, $I$3, $I$4, 0,"Quarterly", "Down", "No Heading", "Normal")</f>
        <v>0.69676277490104199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0.3</v>
      </c>
      <c r="O12">
        <f>[2]!FAMEData($L$5&amp;$L$3&amp;O9&amp;$L$4, $I$3, $I$4, 0,"Quarterly", "Down", "No Heading", "Normal")</f>
        <v>0.20789577611610899</v>
      </c>
      <c r="P12">
        <f>[2]!FAMEData($L$5&amp;$L$3&amp;P9&amp;$L$4, $I$3, $I$4, 0,"Quarterly", "Down", "No Heading", "Normal")</f>
        <v>-0.67179062000018097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68.646174183054697</v>
      </c>
      <c r="K13">
        <v>0.697170201453299</v>
      </c>
      <c r="L13">
        <v>81.882196923076904</v>
      </c>
      <c r="M13" s="15">
        <f>+'[3]VAR expectations'!C37</f>
        <v>2.6154884948264598</v>
      </c>
      <c r="N13">
        <v>0.3</v>
      </c>
      <c r="O13">
        <v>-0.16120155703172701</v>
      </c>
      <c r="P13">
        <v>-0.90951431999948096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68.991324198473905</v>
      </c>
      <c r="K14">
        <v>0.68186344897864604</v>
      </c>
      <c r="L14">
        <v>82.869486363636398</v>
      </c>
      <c r="M14" s="15">
        <f>+'[3]VAR expectations'!C38</f>
        <v>2.6428562485995646</v>
      </c>
      <c r="N14">
        <v>0.3</v>
      </c>
      <c r="O14">
        <v>0.32912444162450999</v>
      </c>
      <c r="P14">
        <v>-0.98499010000016896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65.084105610473657</v>
      </c>
      <c r="G15">
        <v>79.125642753287138</v>
      </c>
      <c r="H15">
        <v>31.483583173415866</v>
      </c>
      <c r="I15">
        <v>44.7267749910337</v>
      </c>
      <c r="J15">
        <v>69.381902018659105</v>
      </c>
      <c r="K15">
        <v>0.67273735054240202</v>
      </c>
      <c r="L15">
        <v>88.333556060606099</v>
      </c>
      <c r="M15" s="15">
        <f>+'[3]VAR expectations'!C39</f>
        <v>2.8292929206876933</v>
      </c>
      <c r="N15">
        <v>0.3</v>
      </c>
      <c r="O15">
        <v>-2.2510150918334201E-3</v>
      </c>
      <c r="P15">
        <v>-0.94538048999989799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69.587126118123706</v>
      </c>
      <c r="K16">
        <v>0.64866500847439001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-0.262290558696672</v>
      </c>
      <c r="P16">
        <v>-8.1624399997278201E-3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69.779564268268302</v>
      </c>
      <c r="K17">
        <v>0.63881968316040705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-0.18076935065413899</v>
      </c>
      <c r="P17">
        <v>7.83533299999771E-2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70.337386335665599</v>
      </c>
      <c r="K18">
        <v>0.63363729975902106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0.135072712526874</v>
      </c>
      <c r="P18">
        <v>5.2405800004195497E-3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70.608569856545898</v>
      </c>
      <c r="K19">
        <v>0.63168185721231895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-0.18038836269067801</v>
      </c>
      <c r="P19">
        <v>-0.113323839999526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35.043737560232564</v>
      </c>
      <c r="I20">
        <v>45.066788167537368</v>
      </c>
      <c r="J20">
        <v>70.691931524363397</v>
      </c>
      <c r="K20">
        <v>0.62547738438940403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-0.40106993870267899</v>
      </c>
      <c r="P20">
        <v>0.35224228000025998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80.697417805776197</v>
      </c>
      <c r="H21">
        <v>35.534825019560238</v>
      </c>
      <c r="I21">
        <v>45.512400795735267</v>
      </c>
      <c r="J21">
        <v>71.092692833306401</v>
      </c>
      <c r="K21">
        <v>0.61574667956030105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-0.121959828355084</v>
      </c>
      <c r="P21">
        <v>0.18539484000045001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81.11123727314363</v>
      </c>
      <c r="H22">
        <v>36.009377724460137</v>
      </c>
      <c r="I22">
        <v>45.240117527977468</v>
      </c>
      <c r="J22">
        <v>71.320300035938502</v>
      </c>
      <c r="K22">
        <v>0.61191051876314595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0.148148898493562</v>
      </c>
      <c r="P22">
        <v>0.157820159999876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66.931585635713901</v>
      </c>
      <c r="G23">
        <v>81.345598400719098</v>
      </c>
      <c r="H23">
        <v>36.76843354681543</v>
      </c>
      <c r="I23">
        <v>45.182611283650935</v>
      </c>
      <c r="J23">
        <v>71.576722020699606</v>
      </c>
      <c r="K23">
        <v>0.61574010208304597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-0.44461325206669999</v>
      </c>
      <c r="P23">
        <v>-0.51318826999976597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71.869448362919044</v>
      </c>
      <c r="C24">
        <v>56.820337302049971</v>
      </c>
      <c r="D24">
        <v>117.91126120930566</v>
      </c>
      <c r="E24">
        <v>62.464147948596434</v>
      </c>
      <c r="F24">
        <v>67.238659277963379</v>
      </c>
      <c r="G24">
        <v>81.576404148116225</v>
      </c>
      <c r="H24">
        <v>38.38374114226297</v>
      </c>
      <c r="I24">
        <v>45.605839036949533</v>
      </c>
      <c r="J24">
        <v>71.807725998091996</v>
      </c>
      <c r="K24">
        <v>0.61207091368269495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0.52782221066476598</v>
      </c>
      <c r="P24">
        <v>-0.37213479000032401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72.089045435709679</v>
      </c>
      <c r="C25">
        <v>57.315645524914736</v>
      </c>
      <c r="D25">
        <v>117.102020370133</v>
      </c>
      <c r="E25">
        <v>62.327610240975268</v>
      </c>
      <c r="F25">
        <v>66.571844762680371</v>
      </c>
      <c r="G25">
        <v>81.622908379805338</v>
      </c>
      <c r="H25">
        <v>39.56655926905993</v>
      </c>
      <c r="I25">
        <v>46.924886016740267</v>
      </c>
      <c r="J25">
        <v>72.102605801817901</v>
      </c>
      <c r="K25">
        <v>0.60728308657017904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0.48725261916995399</v>
      </c>
      <c r="P25">
        <v>4.5377830000379198E-2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81.700276436860932</v>
      </c>
      <c r="H26">
        <v>40.694457856548233</v>
      </c>
      <c r="I26">
        <v>47.676146770894739</v>
      </c>
      <c r="J26">
        <v>72.187041193632894</v>
      </c>
      <c r="K26">
        <v>0.61019911719025599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0.67076862974608797</v>
      </c>
      <c r="P26">
        <v>0.16253140999992199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66.000462650335365</v>
      </c>
      <c r="G27">
        <v>81.899917498008463</v>
      </c>
      <c r="H27">
        <v>41.0702979400019</v>
      </c>
      <c r="I27">
        <v>48.744128850988567</v>
      </c>
      <c r="J27">
        <v>72.375607455761894</v>
      </c>
      <c r="K27">
        <v>0.61024879064745796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0.25537877518103203</v>
      </c>
      <c r="P27">
        <v>0.81449639999964296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72.440743283146261</v>
      </c>
      <c r="C28">
        <v>58.772737337573602</v>
      </c>
      <c r="D28">
        <v>113.71050289670067</v>
      </c>
      <c r="E28">
        <v>62.294225732533363</v>
      </c>
      <c r="F28">
        <v>65.738951218719293</v>
      </c>
      <c r="G28">
        <v>81.953847149933765</v>
      </c>
      <c r="H28">
        <v>41.192698366599465</v>
      </c>
      <c r="I28">
        <v>50.014345022098006</v>
      </c>
      <c r="J28">
        <v>72.393688738640094</v>
      </c>
      <c r="K28">
        <v>0.61738707307826801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9.2271063782413995E-2</v>
      </c>
      <c r="P28">
        <v>-0.80713768000018604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72.539182312841533</v>
      </c>
      <c r="C29">
        <v>59.022039679802099</v>
      </c>
      <c r="D29">
        <v>113.06246638512567</v>
      </c>
      <c r="E29">
        <v>62.695488488984267</v>
      </c>
      <c r="F29">
        <v>65.54757652531363</v>
      </c>
      <c r="G29">
        <v>81.549251880039463</v>
      </c>
      <c r="H29">
        <v>43.499742188383038</v>
      </c>
      <c r="I29">
        <v>50.29413109257117</v>
      </c>
      <c r="J29">
        <v>72.563315585125807</v>
      </c>
      <c r="K29">
        <v>0.61947343357984297</v>
      </c>
      <c r="L29">
        <v>101.013821538462</v>
      </c>
      <c r="M29" s="15">
        <f>+'[3]VAR expectations'!C53</f>
        <v>2.480790509902373</v>
      </c>
      <c r="N29">
        <v>0.578228356186961</v>
      </c>
      <c r="O29">
        <v>6.4185673634936505E-2</v>
      </c>
      <c r="P29">
        <v>0.53258052999994498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72.707840576543902</v>
      </c>
      <c r="C30">
        <v>59.618307460292606</v>
      </c>
      <c r="D30">
        <v>111.70485772051767</v>
      </c>
      <c r="E30">
        <v>63.4807864145831</v>
      </c>
      <c r="F30">
        <v>66.470733130124302</v>
      </c>
      <c r="G30">
        <v>81.4003835422821</v>
      </c>
      <c r="H30">
        <v>44.129516914201098</v>
      </c>
      <c r="I30">
        <v>50.848549060358373</v>
      </c>
      <c r="J30">
        <v>72.759784640329599</v>
      </c>
      <c r="K30">
        <v>0.63244276822553902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0.321076211975517</v>
      </c>
      <c r="P30">
        <v>0.27187322999959301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73.058296991468509</v>
      </c>
      <c r="C31">
        <v>60.261873317660466</v>
      </c>
      <c r="D31">
        <v>111.14640687755167</v>
      </c>
      <c r="E31">
        <v>63.852768971110301</v>
      </c>
      <c r="F31">
        <v>66.715067260745698</v>
      </c>
      <c r="G31">
        <v>81.765643927471459</v>
      </c>
      <c r="H31">
        <v>44.729361748221201</v>
      </c>
      <c r="I31">
        <v>51.114811152057705</v>
      </c>
      <c r="J31">
        <v>73.063983691631606</v>
      </c>
      <c r="K31">
        <v>0.63170048297494796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-1.6390389462865099E-2</v>
      </c>
      <c r="P31">
        <v>0.70676578999984596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73.057199972199797</v>
      </c>
      <c r="C32">
        <v>60.743618510486527</v>
      </c>
      <c r="D32">
        <v>110.17048885713501</v>
      </c>
      <c r="E32">
        <v>64.304947564597924</v>
      </c>
      <c r="F32">
        <v>67.219576569641546</v>
      </c>
      <c r="G32">
        <v>81.956356251523459</v>
      </c>
      <c r="H32">
        <v>45.213764851086133</v>
      </c>
      <c r="I32">
        <v>49.776772698754094</v>
      </c>
      <c r="J32">
        <v>73.022580292087497</v>
      </c>
      <c r="K32">
        <v>0.63197969052460601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-0.227577979531076</v>
      </c>
      <c r="P32">
        <v>0.41767657000032898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73.640782847444072</v>
      </c>
      <c r="C33">
        <v>61.544420219885332</v>
      </c>
      <c r="D33">
        <v>109.89504456781434</v>
      </c>
      <c r="E33">
        <v>65.671562289780169</v>
      </c>
      <c r="F33">
        <v>69.291698510686231</v>
      </c>
      <c r="G33">
        <v>81.894722914905529</v>
      </c>
      <c r="H33">
        <v>45.475672672371424</v>
      </c>
      <c r="I33">
        <v>49.554685240328929</v>
      </c>
      <c r="J33">
        <v>73.672455747819598</v>
      </c>
      <c r="K33">
        <v>0.62800915039781702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0.14427868690463599</v>
      </c>
      <c r="P33">
        <v>0.27177293000019898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73.825368346705162</v>
      </c>
      <c r="C34">
        <v>62.223963784280166</v>
      </c>
      <c r="D34">
        <v>109.34835279541367</v>
      </c>
      <c r="E34">
        <v>65.641448713927971</v>
      </c>
      <c r="F34">
        <v>68.979536133826727</v>
      </c>
      <c r="G34">
        <v>82.063297447202231</v>
      </c>
      <c r="H34">
        <v>45.842531038066767</v>
      </c>
      <c r="I34">
        <v>49.541042554859928</v>
      </c>
      <c r="J34">
        <v>73.864345291383401</v>
      </c>
      <c r="K34">
        <v>0.62069814185008299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-0.145405425617782</v>
      </c>
      <c r="P34">
        <v>2.9689800000429499E-2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73.80997669845182</v>
      </c>
      <c r="C35">
        <v>62.586922212635578</v>
      </c>
      <c r="D35">
        <v>108.73663622536766</v>
      </c>
      <c r="E35">
        <v>65.828698669318968</v>
      </c>
      <c r="F35">
        <v>68.970945389892591</v>
      </c>
      <c r="G35">
        <v>82.057820785697871</v>
      </c>
      <c r="H35">
        <v>46.482425595684866</v>
      </c>
      <c r="I35">
        <v>48.008808713633506</v>
      </c>
      <c r="J35">
        <v>73.816224564730504</v>
      </c>
      <c r="K35">
        <v>0.61398848183451404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-0.40207821981541297</v>
      </c>
      <c r="P35">
        <v>-0.63991584999992301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74.17270954761824</v>
      </c>
      <c r="C36">
        <v>63.253448974794402</v>
      </c>
      <c r="D36">
        <v>108.253887812421</v>
      </c>
      <c r="E36">
        <v>66.271856797838964</v>
      </c>
      <c r="F36">
        <v>69.566869099552434</v>
      </c>
      <c r="G36">
        <v>82.184032839240729</v>
      </c>
      <c r="H36">
        <v>46.712875199090973</v>
      </c>
      <c r="I36">
        <v>48.300000597144134</v>
      </c>
      <c r="J36">
        <v>74.140202243431801</v>
      </c>
      <c r="K36">
        <v>0.61193534320029497</v>
      </c>
      <c r="L36">
        <v>100.22180625</v>
      </c>
      <c r="M36" s="15">
        <f>+'[3]VAR expectations'!C60</f>
        <v>2.2636382290406152</v>
      </c>
      <c r="N36">
        <v>-0.19866515250366801</v>
      </c>
      <c r="O36">
        <v>0.181561700258596</v>
      </c>
      <c r="P36">
        <v>-0.63541897999959396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74.341060971658635</v>
      </c>
      <c r="C37">
        <v>64.098357828457225</v>
      </c>
      <c r="D37">
        <v>107.15975382369767</v>
      </c>
      <c r="E37">
        <v>65.84145378359176</v>
      </c>
      <c r="F37">
        <v>69.072767804196573</v>
      </c>
      <c r="G37">
        <v>82.070455378065702</v>
      </c>
      <c r="H37">
        <v>46.699129957067669</v>
      </c>
      <c r="I37">
        <v>48.834968279355643</v>
      </c>
      <c r="J37">
        <v>74.380939094881796</v>
      </c>
      <c r="K37">
        <v>0.61392623608050001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0.26583891266085302</v>
      </c>
      <c r="P37">
        <v>-0.844244290000153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74.586828837547728</v>
      </c>
      <c r="C38">
        <v>64.806065670026825</v>
      </c>
      <c r="D38">
        <v>106.445834896259</v>
      </c>
      <c r="E38">
        <v>66.10110080790264</v>
      </c>
      <c r="F38">
        <v>69.016510777184664</v>
      </c>
      <c r="G38">
        <v>82.393205064638693</v>
      </c>
      <c r="H38">
        <v>47.312363040526542</v>
      </c>
      <c r="I38">
        <v>48.810172757437499</v>
      </c>
      <c r="J38">
        <v>74.621417244529596</v>
      </c>
      <c r="K38">
        <v>0.61140713450523598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2.2118145407947602E-2</v>
      </c>
      <c r="P38">
        <v>-0.47312000999981302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74.941529851714208</v>
      </c>
      <c r="C39">
        <v>65.527580796613378</v>
      </c>
      <c r="D39">
        <v>105.92448921583934</v>
      </c>
      <c r="E39">
        <v>66.196126733296168</v>
      </c>
      <c r="F39">
        <v>69.020712791608531</v>
      </c>
      <c r="G39">
        <v>81.7954089391976</v>
      </c>
      <c r="H39">
        <v>47.821927966554036</v>
      </c>
      <c r="I39">
        <v>49.301431799639737</v>
      </c>
      <c r="J39">
        <v>74.939620481782299</v>
      </c>
      <c r="K39">
        <v>0.61028716844078001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-3.5729490300290101E-2</v>
      </c>
      <c r="P39">
        <v>-0.23494014999958099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75.254179637010125</v>
      </c>
      <c r="C40">
        <v>66.02447203777831</v>
      </c>
      <c r="D40">
        <v>105.57840811720801</v>
      </c>
      <c r="E40">
        <v>66.295937195995663</v>
      </c>
      <c r="F40">
        <v>69.109899366976265</v>
      </c>
      <c r="G40">
        <v>81.579240085799029</v>
      </c>
      <c r="H40">
        <v>48.150793170250836</v>
      </c>
      <c r="I40">
        <v>50.696241265419665</v>
      </c>
      <c r="J40">
        <v>75.220637934910499</v>
      </c>
      <c r="K40">
        <v>0.62041647951515799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-0.412484320000154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75.297738816454668</v>
      </c>
      <c r="C41">
        <v>66.477450028726537</v>
      </c>
      <c r="D41">
        <v>104.82493353970865</v>
      </c>
      <c r="E41">
        <v>66.743553912159499</v>
      </c>
      <c r="F41">
        <v>69.746466956800873</v>
      </c>
      <c r="G41">
        <v>81.929888109277456</v>
      </c>
      <c r="H41">
        <v>48.454084823978739</v>
      </c>
      <c r="I41">
        <v>49.519114792604228</v>
      </c>
      <c r="J41">
        <v>75.346743635997896</v>
      </c>
      <c r="K41">
        <v>0.61828813643274905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-0.53373754000033002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75.612766960048731</v>
      </c>
      <c r="C42">
        <v>66.969781979790923</v>
      </c>
      <c r="D42">
        <v>104.573454983036</v>
      </c>
      <c r="E42">
        <v>67.31296933397779</v>
      </c>
      <c r="F42">
        <v>70.264155677423631</v>
      </c>
      <c r="G42">
        <v>81.292515586037624</v>
      </c>
      <c r="H42">
        <v>49.190874966079065</v>
      </c>
      <c r="I42">
        <v>49.812423085547266</v>
      </c>
      <c r="J42">
        <v>75.646463224957202</v>
      </c>
      <c r="K42">
        <v>0.61991924669953002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-0.27588602999982398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75.930389741806735</v>
      </c>
      <c r="C43">
        <v>67.54697272016152</v>
      </c>
      <c r="D43">
        <v>104.00485126916134</v>
      </c>
      <c r="E43">
        <v>67.719275637225962</v>
      </c>
      <c r="F43">
        <v>70.752523645890278</v>
      </c>
      <c r="G43">
        <v>81.390202719579236</v>
      </c>
      <c r="H43">
        <v>49.438759816055772</v>
      </c>
      <c r="I43">
        <v>50.456696042213004</v>
      </c>
      <c r="J43">
        <v>75.926728111593704</v>
      </c>
      <c r="K43">
        <v>0.61489452059240901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-0.53395230000040395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76.200272982910704</v>
      </c>
      <c r="C44">
        <v>68.106265290454473</v>
      </c>
      <c r="D44">
        <v>103.62955172532666</v>
      </c>
      <c r="E44">
        <v>67.701733001725742</v>
      </c>
      <c r="F44">
        <v>70.680623240237168</v>
      </c>
      <c r="G44">
        <v>81.372891221417675</v>
      </c>
      <c r="H44">
        <v>49.677802175221338</v>
      </c>
      <c r="I44">
        <v>51.50408427172237</v>
      </c>
      <c r="J44">
        <v>76.159682632104904</v>
      </c>
      <c r="K44">
        <v>0.60867143253604195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0.26648293999980199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76.359143317197223</v>
      </c>
      <c r="C45">
        <v>68.631855809460063</v>
      </c>
      <c r="D45">
        <v>102.87732125882034</v>
      </c>
      <c r="E45">
        <v>67.638280882758309</v>
      </c>
      <c r="F45">
        <v>70.476850084712467</v>
      </c>
      <c r="G45">
        <v>81.287191129788809</v>
      </c>
      <c r="H45">
        <v>50.250960581497395</v>
      </c>
      <c r="I45">
        <v>52.490029578528834</v>
      </c>
      <c r="J45">
        <v>76.418241289752402</v>
      </c>
      <c r="K45">
        <v>0.60880550537729305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0.17862779000014201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76.562231444896497</v>
      </c>
      <c r="C46">
        <v>69.203743096109051</v>
      </c>
      <c r="D46">
        <v>102.21000368741568</v>
      </c>
      <c r="E46">
        <v>67.64619204817447</v>
      </c>
      <c r="F46">
        <v>70.117000340471279</v>
      </c>
      <c r="G46">
        <v>81.074507645022834</v>
      </c>
      <c r="H46">
        <v>50.981515778491371</v>
      </c>
      <c r="I46">
        <v>53.359156400625864</v>
      </c>
      <c r="J46">
        <v>76.596015703334999</v>
      </c>
      <c r="K46">
        <v>0.61031691283897305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-2.59919399995341E-2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77.024679842315635</v>
      </c>
      <c r="C47">
        <v>69.904808946640898</v>
      </c>
      <c r="D47">
        <v>101.65395874629799</v>
      </c>
      <c r="E47">
        <v>67.923169332946699</v>
      </c>
      <c r="F47">
        <v>70.398557799384065</v>
      </c>
      <c r="G47">
        <v>81.151471154442504</v>
      </c>
      <c r="H47">
        <v>51.389293351428428</v>
      </c>
      <c r="I47">
        <v>55.645647716083168</v>
      </c>
      <c r="J47">
        <v>77.015343213425098</v>
      </c>
      <c r="K47">
        <v>0.6183371950373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0.92815783999970602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77.519231176108875</v>
      </c>
      <c r="C48">
        <v>70.711753850553634</v>
      </c>
      <c r="D48">
        <v>101.22455082175433</v>
      </c>
      <c r="E48">
        <v>68.690840572679193</v>
      </c>
      <c r="F48">
        <v>71.390648870832436</v>
      </c>
      <c r="G48">
        <v>80.604662177135523</v>
      </c>
      <c r="H48">
        <v>52.151755186032233</v>
      </c>
      <c r="I48">
        <v>56.44902355568987</v>
      </c>
      <c r="J48">
        <v>77.473807366757001</v>
      </c>
      <c r="K48">
        <v>0.61840327578253995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0.47823727999973997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77.860319039954902</v>
      </c>
      <c r="C49">
        <v>71.4825425105862</v>
      </c>
      <c r="D49">
        <v>100.61472786673266</v>
      </c>
      <c r="E49">
        <v>68.823685138738298</v>
      </c>
      <c r="F49">
        <v>71.584679044298994</v>
      </c>
      <c r="G49">
        <v>80.155897012504909</v>
      </c>
      <c r="H49">
        <v>52.541890037447466</v>
      </c>
      <c r="I49">
        <v>57.440858337897936</v>
      </c>
      <c r="J49">
        <v>77.926615288906405</v>
      </c>
      <c r="K49">
        <v>0.61631983002944801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-0.14649886000040899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78.392641647240353</v>
      </c>
      <c r="C50">
        <v>72.329300983604597</v>
      </c>
      <c r="D50">
        <v>100.07117850207533</v>
      </c>
      <c r="E50">
        <v>68.937238072610114</v>
      </c>
      <c r="F50">
        <v>71.48785024595287</v>
      </c>
      <c r="G50">
        <v>80.839757362851529</v>
      </c>
      <c r="H50">
        <v>52.691778583480378</v>
      </c>
      <c r="I50">
        <v>60.297134296499536</v>
      </c>
      <c r="J50">
        <v>78.429894491653798</v>
      </c>
      <c r="K50">
        <v>0.63415776121743705</v>
      </c>
      <c r="L50">
        <v>99.734880303030295</v>
      </c>
      <c r="M50" s="15">
        <f>+'[3]VAR expectations'!C74</f>
        <v>2.2761535969954032</v>
      </c>
      <c r="N50">
        <v>0.70017615103754105</v>
      </c>
      <c r="O50">
        <v>0.242344274322987</v>
      </c>
      <c r="P50">
        <v>9.7494219999806203E-2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78.665010930999358</v>
      </c>
      <c r="C51">
        <v>72.762316992492529</v>
      </c>
      <c r="D51">
        <v>99.58819601972796</v>
      </c>
      <c r="E51">
        <v>69.148767012439166</v>
      </c>
      <c r="F51">
        <v>71.487766539267923</v>
      </c>
      <c r="G51">
        <v>80.757559263837933</v>
      </c>
      <c r="H51">
        <v>53.781965204136135</v>
      </c>
      <c r="I51">
        <v>62.213078978697865</v>
      </c>
      <c r="J51">
        <v>78.650457637282997</v>
      </c>
      <c r="K51">
        <v>0.63649118346376499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-2.1327579999978599E-2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79.028056405076995</v>
      </c>
      <c r="C52">
        <v>73.385241775894258</v>
      </c>
      <c r="D52">
        <v>99.218511678293751</v>
      </c>
      <c r="E52">
        <v>69.45623571683241</v>
      </c>
      <c r="F52">
        <v>71.887123991106975</v>
      </c>
      <c r="G52">
        <v>80.78470121004203</v>
      </c>
      <c r="H52">
        <v>54.031494121274058</v>
      </c>
      <c r="I52">
        <v>63.507502809746235</v>
      </c>
      <c r="J52">
        <v>78.979696442227294</v>
      </c>
      <c r="K52">
        <v>0.643936754168837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-2.3869130000224802E-2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79.616100225384642</v>
      </c>
      <c r="C53">
        <v>74.005587617868329</v>
      </c>
      <c r="D53">
        <v>98.648450712698704</v>
      </c>
      <c r="E53">
        <v>69.890091452812953</v>
      </c>
      <c r="F53">
        <v>72.381509187665827</v>
      </c>
      <c r="G53">
        <v>80.348361060310864</v>
      </c>
      <c r="H53">
        <v>54.731568843857133</v>
      </c>
      <c r="I53">
        <v>67.671668076232137</v>
      </c>
      <c r="J53">
        <v>79.688486184757195</v>
      </c>
      <c r="K53">
        <v>0.64504573018076805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2.60660000000533E-2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80.274543396607697</v>
      </c>
      <c r="C54">
        <v>74.554497677956974</v>
      </c>
      <c r="D54">
        <v>98.578686660084301</v>
      </c>
      <c r="E54">
        <v>71.285664216311488</v>
      </c>
      <c r="F54">
        <v>73.986476840319625</v>
      </c>
      <c r="G54">
        <v>80.810976635146233</v>
      </c>
      <c r="H54">
        <v>55.63216376841217</v>
      </c>
      <c r="I54">
        <v>70.050693795031862</v>
      </c>
      <c r="J54">
        <v>80.314088364246203</v>
      </c>
      <c r="K54">
        <v>0.64469200388279202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4.9794569999638702E-2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80.800427132575365</v>
      </c>
      <c r="C55">
        <v>75.456551074133301</v>
      </c>
      <c r="D55">
        <v>98.558511824121936</v>
      </c>
      <c r="E55">
        <v>72.057911846690999</v>
      </c>
      <c r="F55">
        <v>74.869558597704625</v>
      </c>
      <c r="G55">
        <v>81.596469123523732</v>
      </c>
      <c r="H55">
        <v>56.187332513789102</v>
      </c>
      <c r="I55">
        <v>69.842554909381889</v>
      </c>
      <c r="J55">
        <v>80.767606489097602</v>
      </c>
      <c r="K55">
        <v>0.63671214878564597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-8.0932616320032805E-2</v>
      </c>
      <c r="P55">
        <v>0.185573520000233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81.294136618142332</v>
      </c>
      <c r="C56">
        <v>76.094739701821567</v>
      </c>
      <c r="D56">
        <v>98.471297792072065</v>
      </c>
      <c r="E56">
        <v>72.551116026655109</v>
      </c>
      <c r="F56">
        <v>75.238861110412515</v>
      </c>
      <c r="G56">
        <v>81.66650658725537</v>
      </c>
      <c r="H56">
        <v>57.265354934886325</v>
      </c>
      <c r="I56">
        <v>71.130011804780565</v>
      </c>
      <c r="J56">
        <v>81.262669993646398</v>
      </c>
      <c r="K56">
        <v>0.625809146435098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0.40345245000034902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81.649031387041632</v>
      </c>
      <c r="C57">
        <v>76.642439922112658</v>
      </c>
      <c r="D57">
        <v>98.272229613701199</v>
      </c>
      <c r="E57">
        <v>73.298449238447461</v>
      </c>
      <c r="F57">
        <v>76.216291529005701</v>
      </c>
      <c r="G57">
        <v>81.349848738668797</v>
      </c>
      <c r="H57">
        <v>57.844587309632324</v>
      </c>
      <c r="I57">
        <v>71.155158546510961</v>
      </c>
      <c r="J57">
        <v>81.726258230910801</v>
      </c>
      <c r="K57">
        <v>0.63249526529381705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0.53149722000028499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81.704607649649702</v>
      </c>
      <c r="C58">
        <v>77.223121109283468</v>
      </c>
      <c r="D58">
        <v>97.540757784990433</v>
      </c>
      <c r="E58">
        <v>73.551211937115582</v>
      </c>
      <c r="F58">
        <v>76.301462693232722</v>
      </c>
      <c r="G58">
        <v>81.728890897952397</v>
      </c>
      <c r="H58">
        <v>58.326849230320903</v>
      </c>
      <c r="I58">
        <v>70.48201604205147</v>
      </c>
      <c r="J58">
        <v>81.738763132842095</v>
      </c>
      <c r="K58">
        <v>0.63428595802217802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0.48016314000027399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82.511309278799573</v>
      </c>
      <c r="C59">
        <v>77.976239856925957</v>
      </c>
      <c r="D59">
        <v>97.458073239266071</v>
      </c>
      <c r="E59">
        <v>75.219909984960438</v>
      </c>
      <c r="F59">
        <v>78.596895966268576</v>
      </c>
      <c r="G59">
        <v>81.927566974682833</v>
      </c>
      <c r="H59">
        <v>58.859086944958428</v>
      </c>
      <c r="I59">
        <v>73.077899324277794</v>
      </c>
      <c r="J59">
        <v>82.455033767777806</v>
      </c>
      <c r="K59">
        <v>0.65156664826788002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0.38278913000034598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83.213165062277525</v>
      </c>
      <c r="C60">
        <v>78.585583425351203</v>
      </c>
      <c r="D60">
        <v>96.951612831423745</v>
      </c>
      <c r="E60">
        <v>75.989538560879495</v>
      </c>
      <c r="F60">
        <v>79.533800499943553</v>
      </c>
      <c r="G60">
        <v>81.958761162349205</v>
      </c>
      <c r="H60">
        <v>59.544387676493237</v>
      </c>
      <c r="I60">
        <v>77.885301460808094</v>
      </c>
      <c r="J60">
        <v>83.2217338100901</v>
      </c>
      <c r="K60">
        <v>0.67751013764314005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0.55036509999983996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84.399628690689099</v>
      </c>
      <c r="C61">
        <v>79.538236533434159</v>
      </c>
      <c r="D61">
        <v>96.709639016547854</v>
      </c>
      <c r="E61">
        <v>78.381976120428334</v>
      </c>
      <c r="F61">
        <v>82.317852041022306</v>
      </c>
      <c r="G61">
        <v>84.883187437644878</v>
      </c>
      <c r="H61">
        <v>60.342090673065229</v>
      </c>
      <c r="I61">
        <v>82.676148018273565</v>
      </c>
      <c r="J61">
        <v>84.478400217256905</v>
      </c>
      <c r="K61">
        <v>0.70527092842389205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-0.77297461999967598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85.622629522491778</v>
      </c>
      <c r="C62">
        <v>80.567896174260639</v>
      </c>
      <c r="D62">
        <v>96.458973770434127</v>
      </c>
      <c r="E62">
        <v>80.821169601773875</v>
      </c>
      <c r="F62">
        <v>85.573695724667104</v>
      </c>
      <c r="G62">
        <v>85.076922298160341</v>
      </c>
      <c r="H62">
        <v>60.9691985667559</v>
      </c>
      <c r="I62">
        <v>87.76759940512477</v>
      </c>
      <c r="J62">
        <v>85.633337971823906</v>
      </c>
      <c r="K62">
        <v>0.72646358089944096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-1.12977768999955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85.715849382895911</v>
      </c>
      <c r="C63">
        <v>81.4477675117747</v>
      </c>
      <c r="D63">
        <v>95.356926312448465</v>
      </c>
      <c r="E63">
        <v>81.793418528561034</v>
      </c>
      <c r="F63">
        <v>86.792930923167162</v>
      </c>
      <c r="G63">
        <v>85.181241398950036</v>
      </c>
      <c r="H63">
        <v>61.653546138086234</v>
      </c>
      <c r="I63">
        <v>85.991096801830508</v>
      </c>
      <c r="J63">
        <v>85.640878374143597</v>
      </c>
      <c r="K63">
        <v>0.72239393340314095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-2.2975232500002498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85.677462003590435</v>
      </c>
      <c r="C64">
        <v>81.837362866827263</v>
      </c>
      <c r="D64">
        <v>94.827625426359432</v>
      </c>
      <c r="E64">
        <v>83.009858652827447</v>
      </c>
      <c r="F64">
        <v>87.992384874774913</v>
      </c>
      <c r="G64">
        <v>87.197952662001612</v>
      </c>
      <c r="H64">
        <v>62.25931168484383</v>
      </c>
      <c r="I64">
        <v>82.010217260363206</v>
      </c>
      <c r="J64">
        <v>85.727731230902805</v>
      </c>
      <c r="K64">
        <v>0.72661089022131198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-3.8884712599996099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86.159767489849173</v>
      </c>
      <c r="C65">
        <v>82.270942376453704</v>
      </c>
      <c r="D65">
        <v>95.654937777344273</v>
      </c>
      <c r="E65">
        <v>83.220861421809005</v>
      </c>
      <c r="F65">
        <v>88.308924287807869</v>
      </c>
      <c r="G65">
        <v>87.210677703919529</v>
      </c>
      <c r="H65">
        <v>62.310962158645133</v>
      </c>
      <c r="I65">
        <v>82.036385555079377</v>
      </c>
      <c r="J65">
        <v>86.234754655048206</v>
      </c>
      <c r="K65">
        <v>0.71057430087007001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-4.00545135999994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86.92435889539108</v>
      </c>
      <c r="C66">
        <v>82.818965492804907</v>
      </c>
      <c r="D66">
        <v>96.748856649983509</v>
      </c>
      <c r="E66">
        <v>83.273957685674176</v>
      </c>
      <c r="F66">
        <v>87.773256603061171</v>
      </c>
      <c r="G66">
        <v>88.565654720674999</v>
      </c>
      <c r="H66">
        <v>63.382792704201904</v>
      </c>
      <c r="I66">
        <v>84.438227766154242</v>
      </c>
      <c r="J66">
        <v>86.903558207126096</v>
      </c>
      <c r="K66">
        <v>0.70624632996315695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-4.0528010000001196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87.534280267116969</v>
      </c>
      <c r="C67">
        <v>83.4104962134424</v>
      </c>
      <c r="D67">
        <v>97.12088913509335</v>
      </c>
      <c r="E67">
        <v>83.844236035341837</v>
      </c>
      <c r="F67">
        <v>88.325908090573037</v>
      </c>
      <c r="G67">
        <v>89.28786755345736</v>
      </c>
      <c r="H67">
        <v>64.125623208476057</v>
      </c>
      <c r="I67">
        <v>86.397386310353966</v>
      </c>
      <c r="J67">
        <v>87.453775650775498</v>
      </c>
      <c r="K67">
        <v>0.71312563216665403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-4.2009004299999901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88.431032090842834</v>
      </c>
      <c r="C68">
        <v>84.379845224399162</v>
      </c>
      <c r="D68">
        <v>97.462492344531157</v>
      </c>
      <c r="E68">
        <v>85.139203816325491</v>
      </c>
      <c r="F68">
        <v>89.453891324442623</v>
      </c>
      <c r="G68">
        <v>89.559487651820987</v>
      </c>
      <c r="H68">
        <v>66.65615261915724</v>
      </c>
      <c r="I68">
        <v>87.699414932820943</v>
      </c>
      <c r="J68">
        <v>88.514135511530895</v>
      </c>
      <c r="K68">
        <v>0.72850263925166703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-3.91803285429474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89.149934808035979</v>
      </c>
      <c r="C69">
        <v>85.19766899041484</v>
      </c>
      <c r="D69">
        <v>97.794868666060339</v>
      </c>
      <c r="E69">
        <v>85.883704379542607</v>
      </c>
      <c r="F69">
        <v>90.264506399415367</v>
      </c>
      <c r="G69">
        <v>90.181220316344493</v>
      </c>
      <c r="H69">
        <v>67.322782567626234</v>
      </c>
      <c r="I69">
        <v>88.993372085055924</v>
      </c>
      <c r="J69">
        <v>89.209094510666404</v>
      </c>
      <c r="K69">
        <v>0.73948734389313797</v>
      </c>
      <c r="L69">
        <v>79.899689230769198</v>
      </c>
      <c r="M69" s="15">
        <f>+'[3]VAR expectations'!C93</f>
        <v>2.6505886564059562</v>
      </c>
      <c r="N69">
        <v>0.58031803605650401</v>
      </c>
      <c r="O69">
        <v>0.158164675972188</v>
      </c>
      <c r="P69">
        <v>-3.1729462029534301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89.638295147184706</v>
      </c>
      <c r="C70">
        <v>85.93366158111553</v>
      </c>
      <c r="D70">
        <v>97.9750583819676</v>
      </c>
      <c r="E70">
        <v>86.951847328745103</v>
      </c>
      <c r="F70">
        <v>91.446251418570156</v>
      </c>
      <c r="G70">
        <v>90.863380672633966</v>
      </c>
      <c r="H70">
        <v>68.001564510865407</v>
      </c>
      <c r="I70">
        <v>88.087499990206538</v>
      </c>
      <c r="J70">
        <v>89.597692240453995</v>
      </c>
      <c r="K70">
        <v>0.73616345215259904</v>
      </c>
      <c r="L70">
        <v>81.7654454545455</v>
      </c>
      <c r="M70" s="15">
        <f>+'[3]VAR expectations'!C94</f>
        <v>2.8352346264846378</v>
      </c>
      <c r="N70">
        <v>0.26076684740058198</v>
      </c>
      <c r="O70">
        <v>-0.12701395323713599</v>
      </c>
      <c r="P70">
        <v>-2.7313100162213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90.489806308850532</v>
      </c>
      <c r="C71">
        <v>86.591552369320638</v>
      </c>
      <c r="D71">
        <v>98.369290984077949</v>
      </c>
      <c r="E71">
        <v>88.591675608722539</v>
      </c>
      <c r="F71">
        <v>93.134609850166157</v>
      </c>
      <c r="G71">
        <v>92.782205507105971</v>
      </c>
      <c r="H71">
        <v>69.334169180284206</v>
      </c>
      <c r="I71">
        <v>90.420110429649768</v>
      </c>
      <c r="J71">
        <v>90.410176642029199</v>
      </c>
      <c r="K71">
        <v>0.74890750503329495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-2.6327041433767802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92.028245086806365</v>
      </c>
      <c r="C72">
        <v>87.912966455543938</v>
      </c>
      <c r="D72">
        <v>99.170307256091704</v>
      </c>
      <c r="E72">
        <v>90.012389624777242</v>
      </c>
      <c r="F72">
        <v>94.43846005558153</v>
      </c>
      <c r="G72">
        <v>93.157880297048109</v>
      </c>
      <c r="H72">
        <v>71.802045426263746</v>
      </c>
      <c r="I72">
        <v>95.633442681356541</v>
      </c>
      <c r="J72">
        <v>92.119748272626197</v>
      </c>
      <c r="K72">
        <v>0.76801178867382702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-2.6640610417010699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93.071537097169767</v>
      </c>
      <c r="C73">
        <v>89.053939651115641</v>
      </c>
      <c r="D73">
        <v>99.26925000003034</v>
      </c>
      <c r="E73">
        <v>91.677959955628253</v>
      </c>
      <c r="F73">
        <v>95.451422115211656</v>
      </c>
      <c r="G73">
        <v>96.631552459070633</v>
      </c>
      <c r="H73">
        <v>74.990929751933223</v>
      </c>
      <c r="I73">
        <v>98.193891828740234</v>
      </c>
      <c r="J73">
        <v>93.115147922292493</v>
      </c>
      <c r="K73">
        <v>0.78598894375808204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-3.6923297145002301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93.884445324018245</v>
      </c>
      <c r="C74">
        <v>89.712906894859245</v>
      </c>
      <c r="D74">
        <v>99.557417156213901</v>
      </c>
      <c r="E74">
        <v>93.23725267038634</v>
      </c>
      <c r="F74">
        <v>97.154979859612865</v>
      </c>
      <c r="G74">
        <v>97.117757191458836</v>
      </c>
      <c r="H74">
        <v>76.509674493281935</v>
      </c>
      <c r="I74">
        <v>100.16049257054374</v>
      </c>
      <c r="J74">
        <v>93.838225645778607</v>
      </c>
      <c r="K74">
        <v>0.79763645735829003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-3.81142395832528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94.672700650307334</v>
      </c>
      <c r="C75">
        <v>90.273252309713186</v>
      </c>
      <c r="D75">
        <v>99.989178193890879</v>
      </c>
      <c r="E75">
        <v>93.532442258515331</v>
      </c>
      <c r="F75">
        <v>97.130999876072266</v>
      </c>
      <c r="G75">
        <v>97.517219078307377</v>
      </c>
      <c r="H75">
        <v>77.876669778295309</v>
      </c>
      <c r="I75">
        <v>104.67348777395767</v>
      </c>
      <c r="J75">
        <v>94.600499579476406</v>
      </c>
      <c r="K75">
        <v>0.79098248277391703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-3.7266611446887898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95.220825825078592</v>
      </c>
      <c r="C76">
        <v>90.990466139023169</v>
      </c>
      <c r="D76">
        <v>100.268575771404</v>
      </c>
      <c r="E76">
        <v>94.339794332309793</v>
      </c>
      <c r="F76">
        <v>98.05961118275583</v>
      </c>
      <c r="G76">
        <v>98.455326004625064</v>
      </c>
      <c r="H76">
        <v>78.297780075495666</v>
      </c>
      <c r="I76">
        <v>104.58848972236568</v>
      </c>
      <c r="J76">
        <v>95.296592807966107</v>
      </c>
      <c r="K76">
        <v>0.78445519594833202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-3.43604987786764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95.661802871178466</v>
      </c>
      <c r="C77">
        <v>91.874672634866371</v>
      </c>
      <c r="D77">
        <v>99.992919302312472</v>
      </c>
      <c r="E77">
        <v>95.203018564256581</v>
      </c>
      <c r="F77">
        <v>98.600123357364126</v>
      </c>
      <c r="G77">
        <v>98.344923174744395</v>
      </c>
      <c r="H77">
        <v>80.928791600220791</v>
      </c>
      <c r="I77">
        <v>104.38450437850133</v>
      </c>
      <c r="J77">
        <v>95.693222687763793</v>
      </c>
      <c r="K77">
        <v>0.77648309280210304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-4.3636593431138501E-2</v>
      </c>
      <c r="P77">
        <v>-2.9944306599945998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96.159760407757105</v>
      </c>
      <c r="C78">
        <v>92.66327863266423</v>
      </c>
      <c r="D78">
        <v>100.06940653585427</v>
      </c>
      <c r="E78">
        <v>96.119998536119397</v>
      </c>
      <c r="F78">
        <v>99.226056661723092</v>
      </c>
      <c r="G78">
        <v>98.88918506286673</v>
      </c>
      <c r="H78">
        <v>82.976610684251639</v>
      </c>
      <c r="I78">
        <v>103.683943080402</v>
      </c>
      <c r="J78">
        <v>96.132768307259497</v>
      </c>
      <c r="K78">
        <v>0.773750224657893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-2.5407859870409402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97.162653670006662</v>
      </c>
      <c r="C79">
        <v>93.82650665070183</v>
      </c>
      <c r="D79">
        <v>100.41599121272766</v>
      </c>
      <c r="E79">
        <v>97.577221434824835</v>
      </c>
      <c r="F79">
        <v>100.72040991083533</v>
      </c>
      <c r="G79">
        <v>99.479597632978866</v>
      </c>
      <c r="H79">
        <v>84.6351797441191</v>
      </c>
      <c r="I79">
        <v>105.58560835049501</v>
      </c>
      <c r="J79">
        <v>97.111015754146393</v>
      </c>
      <c r="K79">
        <v>0.77593535443149497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-2.5761558467830801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97.878203327135921</v>
      </c>
      <c r="C80">
        <v>94.497723717974438</v>
      </c>
      <c r="D80">
        <v>100.25492246567801</v>
      </c>
      <c r="E80">
        <v>98.933195308060576</v>
      </c>
      <c r="F80">
        <v>101.83121073615366</v>
      </c>
      <c r="G80">
        <v>101.777604680696</v>
      </c>
      <c r="H80">
        <v>85.719780560311676</v>
      </c>
      <c r="I80">
        <v>108.31126359760999</v>
      </c>
      <c r="J80">
        <v>97.925467879824694</v>
      </c>
      <c r="K80">
        <v>0.793275555227409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-2.84268403872677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98.251374448720199</v>
      </c>
      <c r="C81">
        <v>95.046491348393189</v>
      </c>
      <c r="D81">
        <v>100.27978802532067</v>
      </c>
      <c r="E81">
        <v>99.859677691885736</v>
      </c>
      <c r="F81">
        <v>102.75497881802899</v>
      </c>
      <c r="G81">
        <v>101.83633107838068</v>
      </c>
      <c r="H81">
        <v>87.210918064887963</v>
      </c>
      <c r="I81">
        <v>107.83200081522966</v>
      </c>
      <c r="J81">
        <v>98.272716538371398</v>
      </c>
      <c r="K81">
        <v>0.78606778031131697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-2.8338661798490601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98.752862081815124</v>
      </c>
      <c r="C82">
        <v>95.572859038309559</v>
      </c>
      <c r="D82">
        <v>100.44629039507232</v>
      </c>
      <c r="E82">
        <v>100.64149099058034</v>
      </c>
      <c r="F82">
        <v>103.29671778068867</v>
      </c>
      <c r="G82">
        <v>102.71403476503201</v>
      </c>
      <c r="H82">
        <v>88.583183466980401</v>
      </c>
      <c r="I82">
        <v>108.30885361513701</v>
      </c>
      <c r="J82">
        <v>98.742106498262501</v>
      </c>
      <c r="K82">
        <v>0.78685398527671802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-1.97346611858113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99.166455592172198</v>
      </c>
      <c r="C83">
        <v>96.228041246320842</v>
      </c>
      <c r="D83">
        <v>100.78377129820501</v>
      </c>
      <c r="E83">
        <v>101.17450936472834</v>
      </c>
      <c r="F83">
        <v>103.58096286715134</v>
      </c>
      <c r="G83">
        <v>102.56864473176132</v>
      </c>
      <c r="H83">
        <v>90.447118518785203</v>
      </c>
      <c r="I83">
        <v>107.92760257364233</v>
      </c>
      <c r="J83">
        <v>99.137340308859706</v>
      </c>
      <c r="K83">
        <v>0.77148855611012102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-2.1940236505857098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99.615968906748876</v>
      </c>
      <c r="C84">
        <v>96.761858433123962</v>
      </c>
      <c r="D84">
        <v>100.74132909820067</v>
      </c>
      <c r="E84">
        <v>101.512664134498</v>
      </c>
      <c r="F84">
        <v>103.69936466307267</v>
      </c>
      <c r="G84">
        <v>102.60391862818101</v>
      </c>
      <c r="H84">
        <v>91.971306717213039</v>
      </c>
      <c r="I84">
        <v>109.70569253806967</v>
      </c>
      <c r="J84">
        <v>99.631496133959999</v>
      </c>
      <c r="K84">
        <v>0.764685545599466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-1.8830944115350801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99.965825904097528</v>
      </c>
      <c r="C85">
        <v>97.447288367288408</v>
      </c>
      <c r="D85">
        <v>101.19549000959267</v>
      </c>
      <c r="E85">
        <v>101.10266025329067</v>
      </c>
      <c r="F85">
        <v>102.71205654769101</v>
      </c>
      <c r="G85">
        <v>102.606853523616</v>
      </c>
      <c r="H85">
        <v>93.613982426463295</v>
      </c>
      <c r="I85">
        <v>108.99812258376666</v>
      </c>
      <c r="J85">
        <v>99.977122710937707</v>
      </c>
      <c r="K85">
        <v>0.75652355931874804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-1.38025236592544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100.15676356636168</v>
      </c>
      <c r="C86">
        <v>97.959429981123662</v>
      </c>
      <c r="D86">
        <v>101.00931192098767</v>
      </c>
      <c r="E86">
        <v>101.19989509715867</v>
      </c>
      <c r="F86">
        <v>102.32973825727267</v>
      </c>
      <c r="G86">
        <v>102.08060697266467</v>
      </c>
      <c r="H86">
        <v>95.727641626784575</v>
      </c>
      <c r="I86">
        <v>108.44573492953533</v>
      </c>
      <c r="J86">
        <v>100.163074616019</v>
      </c>
      <c r="K86">
        <v>0.74703364887329005</v>
      </c>
      <c r="L86">
        <v>88.037404545454507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-1.33717344783272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100.07195420434344</v>
      </c>
      <c r="C87">
        <v>98.543339138139615</v>
      </c>
      <c r="D87">
        <v>100.49867251171133</v>
      </c>
      <c r="E87">
        <v>101.34943945432501</v>
      </c>
      <c r="F87">
        <v>101.90288036523232</v>
      </c>
      <c r="G87">
        <v>102.87853932846099</v>
      </c>
      <c r="H87">
        <v>97.584688653368289</v>
      </c>
      <c r="I87">
        <v>105.70797191210168</v>
      </c>
      <c r="J87">
        <v>100.062431578592</v>
      </c>
      <c r="K87">
        <v>0.74102157012206804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-1.2503114353106499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99.755683023764334</v>
      </c>
      <c r="C88">
        <v>99.111215593718995</v>
      </c>
      <c r="D88">
        <v>100.2164811727328</v>
      </c>
      <c r="E88">
        <v>100.36853557472368</v>
      </c>
      <c r="F88">
        <v>100.68619575110334</v>
      </c>
      <c r="G88">
        <v>100.86636285178933</v>
      </c>
      <c r="H88">
        <v>98.714924911678921</v>
      </c>
      <c r="I88">
        <v>100.83029839320132</v>
      </c>
      <c r="J88">
        <v>99.740830630068103</v>
      </c>
      <c r="K88">
        <v>0.72146583209529702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-1.3044302728727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99.962479172896522</v>
      </c>
      <c r="C89">
        <v>99.576138355122438</v>
      </c>
      <c r="D89">
        <v>100.00502106998995</v>
      </c>
      <c r="E89">
        <v>100.17213663946534</v>
      </c>
      <c r="F89">
        <v>100.35603676422666</v>
      </c>
      <c r="G89">
        <v>100.54282089169067</v>
      </c>
      <c r="H89">
        <v>99.288010817223963</v>
      </c>
      <c r="I89">
        <v>101.88198049921967</v>
      </c>
      <c r="J89">
        <v>99.974068619788895</v>
      </c>
      <c r="K89">
        <v>0.71542272078423097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-1.4665684435573401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100.12999884701701</v>
      </c>
      <c r="C90">
        <v>100.26230213730901</v>
      </c>
      <c r="D90">
        <v>100.00270574171094</v>
      </c>
      <c r="E90">
        <v>99.895459773867444</v>
      </c>
      <c r="F90">
        <v>99.795556434271631</v>
      </c>
      <c r="G90">
        <v>99.804982534442104</v>
      </c>
      <c r="H90">
        <v>100.32575512402134</v>
      </c>
      <c r="I90">
        <v>99.959030532913019</v>
      </c>
      <c r="J90">
        <v>100.140759088815</v>
      </c>
      <c r="K90">
        <v>0.70953585910489703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-1.27441760495495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100.131991787313</v>
      </c>
      <c r="C91">
        <v>101.03811077719865</v>
      </c>
      <c r="D91">
        <v>99.774714670932667</v>
      </c>
      <c r="E91">
        <v>99.559113761874997</v>
      </c>
      <c r="F91">
        <v>99.151106061705434</v>
      </c>
      <c r="G91">
        <v>98.665730527176137</v>
      </c>
      <c r="H91">
        <v>101.753380399815</v>
      </c>
      <c r="I91">
        <v>97.167285114499848</v>
      </c>
      <c r="J91">
        <v>100.144341661328</v>
      </c>
      <c r="K91">
        <v>0.69999900006120397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-0.81553028370272795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100.13363143444967</v>
      </c>
      <c r="C92">
        <v>101.63160315669967</v>
      </c>
      <c r="D92">
        <v>99.608915447427407</v>
      </c>
      <c r="E92">
        <v>98.872615042798017</v>
      </c>
      <c r="F92">
        <v>98.164636466774809</v>
      </c>
      <c r="G92">
        <v>97.543022823964122</v>
      </c>
      <c r="H92">
        <v>102.86880217178232</v>
      </c>
      <c r="I92">
        <v>95.366851683155971</v>
      </c>
      <c r="J92">
        <v>100.093688167891</v>
      </c>
      <c r="K92">
        <v>0.71380270581144101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-0.67035725776747501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100.31894024844132</v>
      </c>
      <c r="C93">
        <v>102.171578574322</v>
      </c>
      <c r="D93">
        <v>99.216114359393529</v>
      </c>
      <c r="E93">
        <v>98.484608243487898</v>
      </c>
      <c r="F93">
        <v>97.580325965248562</v>
      </c>
      <c r="G93">
        <v>96.319776426321098</v>
      </c>
      <c r="H93">
        <v>104.01659253595467</v>
      </c>
      <c r="I93">
        <v>96.844065932290675</v>
      </c>
      <c r="J93">
        <v>100.33092122503299</v>
      </c>
      <c r="K93">
        <v>0.72841909278455397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-0.95073799251133695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100.824866403915</v>
      </c>
      <c r="C94">
        <v>102.97909437122065</v>
      </c>
      <c r="D94">
        <v>99.172502053407115</v>
      </c>
      <c r="E94">
        <v>98.706524513126269</v>
      </c>
      <c r="F94">
        <v>97.440095679482113</v>
      </c>
      <c r="G94">
        <v>96.301392110258192</v>
      </c>
      <c r="H94">
        <v>105.934558491404</v>
      </c>
      <c r="I94">
        <v>97.785131889524507</v>
      </c>
      <c r="J94">
        <v>100.842577266405</v>
      </c>
      <c r="K94">
        <v>0.75866722226809502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-0.74051985533749398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101.35241596539232</v>
      </c>
      <c r="C95">
        <v>103.43232756721734</v>
      </c>
      <c r="D95">
        <v>99.731295962747325</v>
      </c>
      <c r="E95">
        <v>98.873349483710797</v>
      </c>
      <c r="F95">
        <v>97.3400250844699</v>
      </c>
      <c r="G95">
        <v>97.007010969455337</v>
      </c>
      <c r="H95">
        <v>106.76245190929035</v>
      </c>
      <c r="I95">
        <v>100.01237069314163</v>
      </c>
      <c r="J95">
        <v>101.37699610351299</v>
      </c>
      <c r="K95">
        <v>0.77922745217358302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-0.676689377482381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102.29132552477033</v>
      </c>
      <c r="C96">
        <v>104.16689117536232</v>
      </c>
      <c r="D96">
        <v>100.32447675256793</v>
      </c>
      <c r="E96">
        <v>100.01673650349851</v>
      </c>
      <c r="F96">
        <v>98.469519113230788</v>
      </c>
      <c r="G96">
        <v>97.89032859081216</v>
      </c>
      <c r="H96">
        <v>108.388220881358</v>
      </c>
      <c r="I96">
        <v>103.56100303412933</v>
      </c>
      <c r="J96">
        <v>102.233239431109</v>
      </c>
      <c r="K96">
        <v>0.78952175777403</v>
      </c>
      <c r="L96">
        <v>77.053801538461499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-0.56408585572950698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103.07631044253701</v>
      </c>
      <c r="C97">
        <v>105.06120286386466</v>
      </c>
      <c r="D97">
        <v>101.166754855478</v>
      </c>
      <c r="E97">
        <v>101.23230533717235</v>
      </c>
      <c r="F97">
        <v>99.491549593777279</v>
      </c>
      <c r="G97">
        <v>99.076440264965029</v>
      </c>
      <c r="H97">
        <v>110.41392877016533</v>
      </c>
      <c r="I97">
        <v>102.39119779125667</v>
      </c>
      <c r="J97">
        <v>103.090342955125</v>
      </c>
      <c r="K97">
        <v>0.785893147625779</v>
      </c>
      <c r="L97">
        <v>77.968176923076896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-0.63670267301125405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103.64358435996201</v>
      </c>
      <c r="C98">
        <v>105.71155579591101</v>
      </c>
      <c r="D98">
        <v>101.61641578528265</v>
      </c>
      <c r="E98">
        <v>101.81619705512468</v>
      </c>
      <c r="F98">
        <v>99.910146243730495</v>
      </c>
      <c r="G98">
        <v>99.600145506292634</v>
      </c>
      <c r="H98">
        <v>111.81898124088832</v>
      </c>
      <c r="I98">
        <v>102.45264697415899</v>
      </c>
      <c r="J98">
        <v>103.67024483275701</v>
      </c>
      <c r="K98">
        <v>0.79269568773239496</v>
      </c>
      <c r="L98">
        <v>76.548027692307699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-0.80477611329582199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104.42646800467934</v>
      </c>
      <c r="C99">
        <v>106.23639769735566</v>
      </c>
      <c r="D99">
        <v>102.24336988047133</v>
      </c>
      <c r="E99">
        <v>103.08187939567699</v>
      </c>
      <c r="F99">
        <v>101.25802693070233</v>
      </c>
      <c r="G99">
        <v>99.754489678000439</v>
      </c>
      <c r="H99">
        <v>113.51079320377266</v>
      </c>
      <c r="I99">
        <v>105.16612905610468</v>
      </c>
      <c r="J99">
        <v>104.454947673666</v>
      </c>
      <c r="K99">
        <v>0.79908942011029505</v>
      </c>
      <c r="L99">
        <v>77.708216923076904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-0.829640822117796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105.07911973809632</v>
      </c>
      <c r="C100">
        <v>106.845503103502</v>
      </c>
      <c r="D100">
        <v>102.60512045429232</v>
      </c>
      <c r="E100">
        <v>103.73820126279634</v>
      </c>
      <c r="F100">
        <v>101.67618666664767</v>
      </c>
      <c r="G100">
        <v>99.919302820959544</v>
      </c>
      <c r="H100">
        <v>116.018394068098</v>
      </c>
      <c r="I100">
        <v>107.59414715666468</v>
      </c>
      <c r="J100">
        <v>104.997349103576</v>
      </c>
      <c r="K100">
        <v>0.80726253139325199</v>
      </c>
      <c r="L100">
        <v>79.033741538461499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-0.90415499522504195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105.56113734144499</v>
      </c>
      <c r="C101">
        <v>107.412706792706</v>
      </c>
      <c r="D101">
        <v>102.91328242208665</v>
      </c>
      <c r="E101">
        <v>104.06311750105833</v>
      </c>
      <c r="F101">
        <v>101.76944706302368</v>
      </c>
      <c r="G101">
        <v>99.721055410323586</v>
      </c>
      <c r="H101">
        <v>118.05964701541599</v>
      </c>
      <c r="I101">
        <v>108.66496713040567</v>
      </c>
      <c r="J101">
        <v>105.599437820326</v>
      </c>
      <c r="K101">
        <v>0.81024107379897403</v>
      </c>
      <c r="L101">
        <v>79.101027692307696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-0.74815136343608601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106.24266776832134</v>
      </c>
      <c r="C102">
        <v>108.25638115445567</v>
      </c>
      <c r="D102">
        <v>102.85001130219767</v>
      </c>
      <c r="E102">
        <v>104.471088594063</v>
      </c>
      <c r="F102">
        <v>101.969358012472</v>
      </c>
      <c r="G102">
        <v>99.973319428081467</v>
      </c>
      <c r="H102">
        <v>119.75430743770801</v>
      </c>
      <c r="I102">
        <v>111.75556002058399</v>
      </c>
      <c r="J102">
        <v>106.26594400099199</v>
      </c>
      <c r="K102">
        <v>0.81983150343626099</v>
      </c>
      <c r="L102">
        <v>77.813970769230806</v>
      </c>
      <c r="M102" s="15">
        <f>+'[3]VAR expectations'!C126</f>
        <v>2.6759360893479318</v>
      </c>
      <c r="N102">
        <v>0.59026787322204399</v>
      </c>
      <c r="O102">
        <v>0.21968415645398701</v>
      </c>
      <c r="P102">
        <v>-0.56415083161494595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106.80043416135101</v>
      </c>
      <c r="C103">
        <v>108.86236055561666</v>
      </c>
      <c r="D103">
        <v>103.18998794414865</v>
      </c>
      <c r="E103">
        <v>104.97048804335166</v>
      </c>
      <c r="F103">
        <v>101.96462272745232</v>
      </c>
      <c r="G103">
        <v>100.26787736819868</v>
      </c>
      <c r="H103">
        <v>122.71562507178</v>
      </c>
      <c r="I103">
        <v>113.99601845538966</v>
      </c>
      <c r="J103">
        <v>106.82470879420799</v>
      </c>
      <c r="K103">
        <v>0.81626752245600098</v>
      </c>
      <c r="L103">
        <v>77.843365151515201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-0.54654012964452603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107.07125644769</v>
      </c>
      <c r="C104">
        <v>109.50627424338933</v>
      </c>
      <c r="D104">
        <v>103.54952222885233</v>
      </c>
      <c r="E104">
        <v>105.87931438902633</v>
      </c>
      <c r="F104">
        <v>102.66231726793733</v>
      </c>
      <c r="G104">
        <v>100.89776973216</v>
      </c>
      <c r="H104">
        <v>125.21664179192199</v>
      </c>
      <c r="I104">
        <v>109.36442733915466</v>
      </c>
      <c r="J104">
        <v>106.96369848153699</v>
      </c>
      <c r="K104">
        <v>0.81070131262425305</v>
      </c>
      <c r="L104">
        <v>78.730029687499993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-0.12867681351254501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107.69459391073234</v>
      </c>
      <c r="C105">
        <v>110.24873335869667</v>
      </c>
      <c r="D105">
        <v>103.31847382359933</v>
      </c>
      <c r="E105">
        <v>105.959753664731</v>
      </c>
      <c r="F105">
        <v>102.89970380221401</v>
      </c>
      <c r="G105">
        <v>100.39264228811301</v>
      </c>
      <c r="H105">
        <v>125.29200571200533</v>
      </c>
      <c r="I105">
        <v>115.26611286691133</v>
      </c>
      <c r="J105">
        <v>107.777659903979</v>
      </c>
      <c r="K105">
        <v>0.81987586424888903</v>
      </c>
      <c r="L105">
        <v>78.457547692307699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-0.56622414682537503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108.19350852901432</v>
      </c>
      <c r="C106">
        <v>110.88284477209299</v>
      </c>
      <c r="D106">
        <v>103.48915670774367</v>
      </c>
      <c r="E106">
        <v>106.69228295221234</v>
      </c>
      <c r="F106">
        <v>103.624186960101</v>
      </c>
      <c r="G106">
        <v>100.918773072985</v>
      </c>
      <c r="H106">
        <v>126.24986317306667</v>
      </c>
      <c r="I106">
        <v>114.890981040715</v>
      </c>
      <c r="J106">
        <v>108.20287939372299</v>
      </c>
      <c r="K106">
        <v>0.83369252863313603</v>
      </c>
      <c r="L106">
        <v>75.795746969697007</v>
      </c>
      <c r="M106" s="15">
        <f>+'[3]VAR expectations'!C130</f>
        <v>2.9781745842670815</v>
      </c>
      <c r="N106">
        <v>0.17462163035891601</v>
      </c>
      <c r="O106">
        <v>-8.21163442679727E-3</v>
      </c>
      <c r="P106">
        <v>-0.44810462336694201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108.30797183465098</v>
      </c>
      <c r="C107">
        <v>111.42784741674234</v>
      </c>
      <c r="D107">
        <v>103.64708731988533</v>
      </c>
      <c r="E107">
        <v>106.93063869676934</v>
      </c>
      <c r="F107">
        <v>103.70729715299933</v>
      </c>
      <c r="G107">
        <v>101.56909989166634</v>
      </c>
      <c r="H107">
        <v>126.30715530665934</v>
      </c>
      <c r="I107">
        <v>112.09896577715666</v>
      </c>
      <c r="J107">
        <v>108.32215602212101</v>
      </c>
      <c r="K107">
        <v>0.81585606993257498</v>
      </c>
      <c r="L107">
        <v>79.403969696969696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-0.54907363549229404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108.90546483204766</v>
      </c>
      <c r="C108">
        <v>112.21134958271068</v>
      </c>
      <c r="D108">
        <v>103.99183136018134</v>
      </c>
      <c r="E108">
        <v>107.27166872527266</v>
      </c>
      <c r="F108">
        <v>104.05042980308265</v>
      </c>
      <c r="G108">
        <v>101.87093861419301</v>
      </c>
      <c r="H108">
        <v>126.67914761106766</v>
      </c>
      <c r="I108">
        <v>112.926943226679</v>
      </c>
      <c r="J108">
        <v>108.767350076038</v>
      </c>
      <c r="K108">
        <v>0.81035288021968699</v>
      </c>
      <c r="L108">
        <v>79.231538461538506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-0.62569185220107304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108.295655345574</v>
      </c>
      <c r="C109">
        <v>112.32372589820034</v>
      </c>
      <c r="D109">
        <v>103.806835220591</v>
      </c>
      <c r="E109">
        <v>107.74267357662733</v>
      </c>
      <c r="F109">
        <v>104.34019879497635</v>
      </c>
      <c r="G109">
        <v>102.44427942604534</v>
      </c>
      <c r="H109">
        <v>128.619080106383</v>
      </c>
      <c r="I109">
        <v>102.50903090731833</v>
      </c>
      <c r="J109">
        <v>108.442866798586</v>
      </c>
      <c r="K109">
        <v>0.79949973931455798</v>
      </c>
      <c r="L109">
        <v>77.416984615384607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-2.7964202478446398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108.85244832430199</v>
      </c>
      <c r="C110">
        <v>112.447842191329</v>
      </c>
      <c r="D110">
        <v>104.62763449568301</v>
      </c>
      <c r="E110">
        <v>107.63558406607667</v>
      </c>
      <c r="F110">
        <v>103.96216489290066</v>
      </c>
      <c r="G110">
        <v>101.78288383460301</v>
      </c>
      <c r="H110">
        <v>130.62202194879134</v>
      </c>
      <c r="I110">
        <v>104.99427578406367</v>
      </c>
      <c r="J110">
        <v>108.830475200649</v>
      </c>
      <c r="K110">
        <v>0.79834560906724505</v>
      </c>
      <c r="L110">
        <v>77.453536363636402</v>
      </c>
      <c r="M110" s="15">
        <f>+'[3]VAR expectations'!C134</f>
        <v>3.1319434989789481</v>
      </c>
      <c r="N110">
        <v>-0.57563884899936701</v>
      </c>
      <c r="O110">
        <v>0.118900887754049</v>
      </c>
      <c r="P110">
        <v>-1.96778451829028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108.89021627925833</v>
      </c>
      <c r="C111">
        <v>113.01153596721501</v>
      </c>
      <c r="D111">
        <v>104.88290970058132</v>
      </c>
      <c r="E111">
        <v>107.320894803809</v>
      </c>
      <c r="F111">
        <v>103.204465086965</v>
      </c>
      <c r="G111">
        <v>101.94165587069767</v>
      </c>
      <c r="H111">
        <v>131.90880282914566</v>
      </c>
      <c r="I111">
        <v>102.04669084453866</v>
      </c>
      <c r="J111">
        <v>108.886475749985</v>
      </c>
      <c r="K111">
        <v>0.807719556848424</v>
      </c>
      <c r="L111">
        <v>77.966816666666702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-1.6894379899480401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109.61991019103266</v>
      </c>
      <c r="C112">
        <v>114.032636533385</v>
      </c>
      <c r="D112">
        <v>104.75522588580968</v>
      </c>
      <c r="E112">
        <v>107.47387052670634</v>
      </c>
      <c r="F112">
        <v>103.16404648247499</v>
      </c>
      <c r="G112">
        <v>102.19892527946968</v>
      </c>
      <c r="H112">
        <v>133.15532057139635</v>
      </c>
      <c r="I112">
        <v>106.43415936059633</v>
      </c>
      <c r="J112">
        <v>109.498341167383</v>
      </c>
      <c r="K112">
        <v>0.80260600542279303</v>
      </c>
      <c r="L112">
        <v>80.482731250000001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-0.91179431812897105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110.44204842925835</v>
      </c>
      <c r="C113">
        <v>114.37313878643499</v>
      </c>
      <c r="D113">
        <v>105.85465693432532</v>
      </c>
      <c r="E113">
        <v>107.76503807288033</v>
      </c>
      <c r="F113">
        <v>103.52829673407467</v>
      </c>
      <c r="G113">
        <v>103.32226537077634</v>
      </c>
      <c r="H113">
        <v>132.46525122635902</v>
      </c>
      <c r="I113">
        <v>111.44289665430999</v>
      </c>
      <c r="J113">
        <v>110.61786579135401</v>
      </c>
      <c r="K113">
        <v>0.814089043773909</v>
      </c>
      <c r="L113">
        <v>81.786427692307697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0.12673076908549399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111.88434868684367</v>
      </c>
      <c r="C114">
        <v>115.14686960716267</v>
      </c>
      <c r="D114">
        <v>107.75260341857</v>
      </c>
      <c r="E114">
        <v>108.41897383403767</v>
      </c>
      <c r="F114">
        <v>104.09690249169167</v>
      </c>
      <c r="G114">
        <v>103.38916792378133</v>
      </c>
      <c r="H114">
        <v>134.14361383500867</v>
      </c>
      <c r="I114">
        <v>115.32837424286799</v>
      </c>
      <c r="J114">
        <v>111.825054138231</v>
      </c>
      <c r="K114">
        <v>0.83577480203352394</v>
      </c>
      <c r="L114">
        <v>81.769348484848507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0.25723020119906398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114.25428195158231</v>
      </c>
      <c r="C115">
        <v>116.74496778880767</v>
      </c>
      <c r="D115">
        <v>109.66934642311033</v>
      </c>
      <c r="E115">
        <v>110.41873582904766</v>
      </c>
      <c r="F115">
        <v>105.935542888562</v>
      </c>
      <c r="G115">
        <v>104.11503795397634</v>
      </c>
      <c r="H115">
        <v>138.26818195780768</v>
      </c>
      <c r="I115">
        <v>126.82570221118267</v>
      </c>
      <c r="J115">
        <v>114.23369672895301</v>
      </c>
      <c r="K115">
        <v>0.88967799254248703</v>
      </c>
      <c r="L115">
        <v>81.601331818181805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0.77392107329598503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116.48253413480967</v>
      </c>
      <c r="C116">
        <v>118.21236135877166</v>
      </c>
      <c r="D116">
        <v>112.13667395045032</v>
      </c>
      <c r="E116">
        <v>112.61677521399032</v>
      </c>
      <c r="F116">
        <v>108.46393716678699</v>
      </c>
      <c r="G116">
        <v>104.05231145314633</v>
      </c>
      <c r="H116">
        <v>141.17682136155534</v>
      </c>
      <c r="I116">
        <v>132.16555298876997</v>
      </c>
      <c r="J116">
        <v>116.393823524045</v>
      </c>
      <c r="K116">
        <v>0.91704684352781196</v>
      </c>
      <c r="L116">
        <v>82.320465624997198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1.8408776337000201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120.47948558557501</v>
      </c>
      <c r="C117">
        <v>119.959142365128</v>
      </c>
      <c r="D117">
        <v>113.42296277972933</v>
      </c>
      <c r="E117">
        <v>115.547206250062</v>
      </c>
      <c r="F117">
        <v>112.13600719440267</v>
      </c>
      <c r="G117">
        <v>104.79320806981701</v>
      </c>
      <c r="H117">
        <v>143.00402463998932</v>
      </c>
      <c r="I117">
        <v>171.23448869769064</v>
      </c>
      <c r="J117">
        <v>120.68050134177599</v>
      </c>
      <c r="K117">
        <v>0.97799595064369504</v>
      </c>
      <c r="L117">
        <v>80.190636866096895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1.88338934084884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123.117722400566</v>
      </c>
      <c r="C118">
        <v>121.93673399940532</v>
      </c>
      <c r="D118">
        <v>114.97689213569465</v>
      </c>
      <c r="E118">
        <v>120.364367445835</v>
      </c>
      <c r="F118">
        <v>118.03672365380935</v>
      </c>
      <c r="G118">
        <v>106.37906212555833</v>
      </c>
      <c r="H118">
        <v>145.15904716584768</v>
      </c>
      <c r="I118">
        <v>177.46661706677699</v>
      </c>
      <c r="J118">
        <v>123.00482789268899</v>
      </c>
      <c r="K118">
        <v>1.0191295882470099</v>
      </c>
      <c r="L118">
        <v>78.205745454544996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1.65702853123937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126.56612526792567</v>
      </c>
      <c r="C119">
        <v>124.29751251452267</v>
      </c>
      <c r="D119">
        <v>116.60047297842432</v>
      </c>
      <c r="E119">
        <v>124.67313965762467</v>
      </c>
      <c r="F119">
        <v>123.39210278645199</v>
      </c>
      <c r="G119">
        <v>107.97067764833268</v>
      </c>
      <c r="H119">
        <v>145.93929805091304</v>
      </c>
      <c r="I119">
        <v>197.67176944729167</v>
      </c>
      <c r="J119">
        <v>126.540489869678</v>
      </c>
      <c r="K119">
        <v>1.0075868270203401</v>
      </c>
      <c r="L119">
        <v>78.079235384615401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1.46171545167883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128.36415167249402</v>
      </c>
      <c r="C120">
        <v>125.89134169523901</v>
      </c>
      <c r="D120">
        <v>118.536388450223</v>
      </c>
      <c r="E120">
        <v>128.60205445001966</v>
      </c>
      <c r="F120">
        <v>127.99198538266366</v>
      </c>
      <c r="G120">
        <v>110.11510931037566</v>
      </c>
      <c r="H120">
        <v>148.09775012258334</v>
      </c>
      <c r="I120">
        <v>193.28726286465132</v>
      </c>
      <c r="J120">
        <v>128.331620513014</v>
      </c>
      <c r="K120">
        <v>1.018927972462</v>
      </c>
      <c r="L120">
        <v>78.144530769230798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1.1548768309236801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130.55765386101135</v>
      </c>
      <c r="C121">
        <v>128.48008383204402</v>
      </c>
      <c r="D121">
        <v>120.82792945942533</v>
      </c>
      <c r="E121">
        <v>133.44359740784699</v>
      </c>
      <c r="F121">
        <v>132.51838882294234</v>
      </c>
      <c r="G121">
        <v>112.08932019318233</v>
      </c>
      <c r="H121">
        <v>158.99105016006934</v>
      </c>
      <c r="I121">
        <v>183.74687541746036</v>
      </c>
      <c r="J121">
        <v>130.749574897206</v>
      </c>
      <c r="K121">
        <v>1.0008168053352999</v>
      </c>
      <c r="L121">
        <v>80.435667692307703</v>
      </c>
      <c r="M121" s="15">
        <f>+'[3]VAR expectations'!C145</f>
        <v>4.9659010810981856</v>
      </c>
      <c r="N121">
        <v>0.70170723997551099</v>
      </c>
      <c r="O121">
        <v>-0.231251350162267</v>
      </c>
      <c r="P121">
        <v>0.86764254780892403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131.39669679619536</v>
      </c>
      <c r="C122">
        <v>130.49389241693532</v>
      </c>
      <c r="D122">
        <v>121.02980054814235</v>
      </c>
      <c r="E122">
        <v>135.45629947141134</v>
      </c>
      <c r="F122">
        <v>133.95455544491998</v>
      </c>
      <c r="G122">
        <v>115.81352047271167</v>
      </c>
      <c r="H122">
        <v>162.50394627929401</v>
      </c>
      <c r="I122">
        <v>171.4796580112783</v>
      </c>
      <c r="J122">
        <v>131.237550087682</v>
      </c>
      <c r="K122">
        <v>0.98602621638057697</v>
      </c>
      <c r="L122">
        <v>82.183743076923093</v>
      </c>
      <c r="M122" s="15">
        <f>+'[3]VAR expectations'!C146</f>
        <v>4.3007323969777262</v>
      </c>
      <c r="N122">
        <v>-0.16340187781012599</v>
      </c>
      <c r="O122">
        <v>-0.673433352934243</v>
      </c>
      <c r="P122">
        <v>0.40713828405875901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131.88795875861632</v>
      </c>
      <c r="C123">
        <v>132.27311867602</v>
      </c>
      <c r="D123">
        <v>120.81317110121967</v>
      </c>
      <c r="E123">
        <v>136.73186624848901</v>
      </c>
      <c r="F123">
        <v>134.63066522509166</v>
      </c>
      <c r="G123">
        <v>118.03352713778666</v>
      </c>
      <c r="H123">
        <v>165.58503329093799</v>
      </c>
      <c r="I123">
        <v>164.753302146989</v>
      </c>
      <c r="J123">
        <v>131.865840235045</v>
      </c>
      <c r="K123">
        <v>0.99411759541347999</v>
      </c>
      <c r="L123">
        <v>81.170489230769206</v>
      </c>
      <c r="M123" s="15">
        <f>+'[3]VAR expectations'!C147</f>
        <v>3.8582721147576735</v>
      </c>
      <c r="N123">
        <v>-1.3678165112816401</v>
      </c>
      <c r="O123">
        <v>-0.21694556148073699</v>
      </c>
      <c r="P123">
        <v>-0.114114880345432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B124">
        <v>132.91599586338765</v>
      </c>
      <c r="C124">
        <v>133.80746303170534</v>
      </c>
      <c r="D124">
        <v>120.94574486109234</v>
      </c>
      <c r="E124">
        <v>137.63477674632634</v>
      </c>
      <c r="F124">
        <v>134.79530814743501</v>
      </c>
      <c r="G124">
        <v>118.871156223292</v>
      </c>
      <c r="H124">
        <v>171.76440155168333</v>
      </c>
      <c r="I124">
        <v>166.17352755660804</v>
      </c>
      <c r="J124">
        <v>132.94048268817099</v>
      </c>
      <c r="K124">
        <v>0.98526455612131902</v>
      </c>
      <c r="L124">
        <v>82.562649230769196</v>
      </c>
      <c r="M124" s="15">
        <f>+'[3]VAR expectations'!C148</f>
        <v>3.6255376960251078</v>
      </c>
      <c r="N124">
        <v>-1.0717785266822</v>
      </c>
      <c r="O124">
        <v>4.3541846025459997E-2</v>
      </c>
      <c r="P124">
        <v>-0.23701539838694999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B125">
        <v>133.24602658430231</v>
      </c>
      <c r="C125">
        <v>135.81951186678066</v>
      </c>
      <c r="D125">
        <v>120.94483335513132</v>
      </c>
      <c r="E125">
        <v>138.06726162127833</v>
      </c>
      <c r="F125">
        <v>135.19539542364768</v>
      </c>
      <c r="G125">
        <v>118.57700543187967</v>
      </c>
      <c r="H125">
        <v>174.50747144524732</v>
      </c>
      <c r="I125">
        <v>154.11387592129768</v>
      </c>
      <c r="J125">
        <v>133.424750027051</v>
      </c>
      <c r="K125">
        <v>0.99574367761410199</v>
      </c>
      <c r="L125">
        <v>82.934533846153798</v>
      </c>
      <c r="M125" s="15">
        <f>+'[3]VAR expectations'!C149</f>
        <v>2.979353541970323</v>
      </c>
      <c r="N125">
        <v>-1.2261098957021399</v>
      </c>
      <c r="O125">
        <v>-0.40443614577732501</v>
      </c>
      <c r="P125">
        <v>-0.31796223911910199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B126">
        <v>134.08792529613501</v>
      </c>
      <c r="C126">
        <v>137.26159621371835</v>
      </c>
      <c r="D126">
        <v>121.262638546478</v>
      </c>
      <c r="E126">
        <v>139.080739009962</v>
      </c>
      <c r="F126">
        <v>136.03719571586834</v>
      </c>
      <c r="G126">
        <v>118.92111592775301</v>
      </c>
      <c r="H126">
        <v>177.82435092900133</v>
      </c>
      <c r="I126">
        <v>148.59770679363135</v>
      </c>
      <c r="J126">
        <v>133.89840716548099</v>
      </c>
      <c r="K126">
        <v>0.97587846557592905</v>
      </c>
      <c r="L126">
        <v>84.298359090909102</v>
      </c>
      <c r="M126" s="15">
        <f>+'[3]VAR expectations'!C150</f>
        <v>2.9717312535901965</v>
      </c>
      <c r="N126">
        <v>-0.96369939332577004</v>
      </c>
      <c r="O126">
        <v>-0.39830475465660198</v>
      </c>
      <c r="P126">
        <v>-0.34910611907885097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B127">
        <v>135.17976917085832</v>
      </c>
      <c r="C127">
        <v>138.63373109072231</v>
      </c>
      <c r="D127">
        <v>121.95684063321634</v>
      </c>
      <c r="E127">
        <v>140.75118206560967</v>
      </c>
      <c r="F127">
        <v>137.27270463566967</v>
      </c>
      <c r="G127">
        <v>119.75190705347234</v>
      </c>
      <c r="H127">
        <v>182.81592552819734</v>
      </c>
      <c r="I127">
        <v>151.15264240896269</v>
      </c>
      <c r="J127">
        <v>135.147844066792</v>
      </c>
      <c r="K127">
        <v>0.97755443466796799</v>
      </c>
      <c r="L127">
        <v>84.617050000000006</v>
      </c>
      <c r="M127" s="15">
        <f>+'[3]VAR expectations'!C151</f>
        <v>3.468785277541127</v>
      </c>
      <c r="N127">
        <v>-0.58156090930256898</v>
      </c>
      <c r="O127">
        <v>0.16500605812762401</v>
      </c>
      <c r="P127">
        <v>-0.43079458490040201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B128">
        <v>136.62783989041566</v>
      </c>
      <c r="C128">
        <v>140.43121663996735</v>
      </c>
      <c r="D128">
        <v>122.45588391864733</v>
      </c>
      <c r="E128">
        <v>142.78931478157367</v>
      </c>
      <c r="F128">
        <v>139.14168048260299</v>
      </c>
      <c r="G128">
        <v>121.258426598311</v>
      </c>
      <c r="H128">
        <v>187.09751242017737</v>
      </c>
      <c r="I128">
        <v>153.92753359955836</v>
      </c>
      <c r="J128">
        <v>136.70608672629501</v>
      </c>
      <c r="K128">
        <v>0.99939408428411303</v>
      </c>
      <c r="L128">
        <v>84.063576562500003</v>
      </c>
      <c r="M128" s="15">
        <f>+'[3]VAR expectations'!C152</f>
        <v>3.8021957884789486</v>
      </c>
      <c r="N128">
        <v>-0.518303217993346</v>
      </c>
      <c r="O128">
        <v>0.107917584062745</v>
      </c>
      <c r="P128">
        <v>-0.48079148933070998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B129">
        <v>137.874036141624</v>
      </c>
      <c r="C129">
        <v>142.49229603385766</v>
      </c>
      <c r="D129">
        <v>122.70999686544299</v>
      </c>
      <c r="E129">
        <v>144.361109101111</v>
      </c>
      <c r="F129">
        <v>140.76381667088603</v>
      </c>
      <c r="G129">
        <v>123.34199281620033</v>
      </c>
      <c r="H129">
        <v>188.28482363093801</v>
      </c>
      <c r="I129">
        <v>152.81972428464101</v>
      </c>
      <c r="J129">
        <v>138.040567430181</v>
      </c>
      <c r="K129">
        <v>0.99106811490214497</v>
      </c>
      <c r="L129">
        <v>85.433744615384597</v>
      </c>
      <c r="M129" s="15">
        <f>+'[3]VAR expectations'!C153</f>
        <v>4.011042611251681</v>
      </c>
      <c r="N129">
        <v>-8.0156162901135294E-2</v>
      </c>
      <c r="O129">
        <v>4.1047258462795402E-2</v>
      </c>
      <c r="P129">
        <v>-0.54822007326458799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B130">
        <v>139.18546367727299</v>
      </c>
      <c r="C130">
        <v>143.81092533627668</v>
      </c>
      <c r="D130">
        <v>123.18319560878599</v>
      </c>
      <c r="E130">
        <v>146.184334848985</v>
      </c>
      <c r="F130">
        <v>142.65602348266899</v>
      </c>
      <c r="G130">
        <v>123.60121990840001</v>
      </c>
      <c r="H130">
        <v>191.89609192896765</v>
      </c>
      <c r="I130">
        <v>152.44417766719366</v>
      </c>
      <c r="J130">
        <v>138.971878880872</v>
      </c>
      <c r="K130">
        <v>0.98826679418242003</v>
      </c>
      <c r="L130">
        <v>84.985242424242401</v>
      </c>
      <c r="M130" s="15">
        <f>+'[3]VAR expectations'!C154</f>
        <v>3.9691108090385026</v>
      </c>
      <c r="N130">
        <v>0.17385582924148901</v>
      </c>
      <c r="O130">
        <v>-0.14024893238342001</v>
      </c>
      <c r="P130">
        <v>-0.65577541501876602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B131">
        <v>139.92136147937967</v>
      </c>
      <c r="C131">
        <v>145.0116410111963</v>
      </c>
      <c r="D131">
        <v>123.42667735079833</v>
      </c>
      <c r="E131">
        <v>147.33892593021599</v>
      </c>
      <c r="F131">
        <v>144.257084367565</v>
      </c>
      <c r="G131">
        <v>124.45512266612968</v>
      </c>
      <c r="H131">
        <v>194.03872536110234</v>
      </c>
      <c r="I131">
        <v>152.923618016473</v>
      </c>
      <c r="J131">
        <v>139.85387475851701</v>
      </c>
      <c r="K131">
        <v>0.98263826862659698</v>
      </c>
      <c r="L131">
        <v>84.479012844963606</v>
      </c>
      <c r="M131" s="15">
        <f>+'[3]VAR expectations'!C155</f>
        <v>3.8470567349792795</v>
      </c>
      <c r="N131">
        <v>7.0352199113104696E-2</v>
      </c>
      <c r="O131">
        <v>5.6917628496099902E-2</v>
      </c>
      <c r="P131">
        <v>-0.76374061524771397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B132">
        <v>140.84723266662999</v>
      </c>
      <c r="C132">
        <v>146.40807249731665</v>
      </c>
      <c r="D132">
        <v>123.81257221531</v>
      </c>
      <c r="E132">
        <v>147.91816065519131</v>
      </c>
      <c r="F132">
        <v>145.38741487515099</v>
      </c>
      <c r="G132">
        <v>123.028397905956</v>
      </c>
      <c r="H132">
        <v>199.13729316669568</v>
      </c>
      <c r="I132">
        <v>152.22948209788669</v>
      </c>
      <c r="J132">
        <v>140.96006154114301</v>
      </c>
      <c r="K132">
        <v>0.97725801282102598</v>
      </c>
      <c r="L132">
        <v>84.252155690230595</v>
      </c>
      <c r="M132" s="15">
        <f>+'[3]VAR expectations'!C156</f>
        <v>4.1639091291217634</v>
      </c>
      <c r="N132">
        <v>-6.2439376125195997E-2</v>
      </c>
      <c r="O132">
        <v>-1.7071836905162601E-2</v>
      </c>
      <c r="P132">
        <v>-0.78837729999999495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157.46980138232701</v>
      </c>
      <c r="J133">
        <v>142.00570327765499</v>
      </c>
      <c r="K133">
        <v>0.97495040409969502</v>
      </c>
      <c r="L133">
        <v>84.117538990663405</v>
      </c>
      <c r="M133" s="15">
        <f>+'[3]VAR expectations'!C157</f>
        <v>5.4104651194166893</v>
      </c>
      <c r="N133">
        <v>0.17834605911026</v>
      </c>
      <c r="O133">
        <v>0.27934691363146902</v>
      </c>
      <c r="P133">
        <v>-0.81328796999999498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159.30465635401933</v>
      </c>
      <c r="J134">
        <v>142.70718635416901</v>
      </c>
      <c r="K134">
        <v>0.97388426513513504</v>
      </c>
      <c r="L134">
        <v>83.985309784793699</v>
      </c>
      <c r="M134" s="15">
        <f>+'[3]VAR expectations'!C158</f>
        <v>4.9139696600199789</v>
      </c>
      <c r="N134">
        <v>0.29097335910427802</v>
      </c>
      <c r="O134">
        <v>-2.4761746194057799E-2</v>
      </c>
      <c r="P134">
        <v>-0.80286259999999599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157.73140513593833</v>
      </c>
      <c r="J135">
        <v>143.350983533928</v>
      </c>
      <c r="K135">
        <v>0.97306004000609503</v>
      </c>
      <c r="L135">
        <v>83.853892259900505</v>
      </c>
      <c r="M135" s="15">
        <f>+'[3]VAR expectations'!C159</f>
        <v>4.0011512098701685</v>
      </c>
      <c r="N135">
        <v>0.19411764869801101</v>
      </c>
      <c r="O135">
        <v>-3.8177707498694202E-2</v>
      </c>
      <c r="P135">
        <v>-0.74313014999999405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I136">
        <v>157.520705242486</v>
      </c>
      <c r="J136">
        <v>144.033291882393</v>
      </c>
      <c r="K136">
        <v>0.97240043564962397</v>
      </c>
      <c r="L136">
        <v>83.722427852144094</v>
      </c>
      <c r="M136" s="15">
        <f>+'[3]VAR expectations'!C160</f>
        <v>3.3715300668176842</v>
      </c>
      <c r="N136">
        <v>0.208417294591415</v>
      </c>
      <c r="O136">
        <v>2.13358108401909E-4</v>
      </c>
      <c r="P136">
        <v>-0.64743468999999598</v>
      </c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I137">
        <v>156.965535958461</v>
      </c>
      <c r="J137">
        <v>144.76619421549799</v>
      </c>
      <c r="K137">
        <v>0.97421348895219395</v>
      </c>
      <c r="L137">
        <v>83.591451351612804</v>
      </c>
      <c r="M137" s="15">
        <f>+'[3]VAR expectations'!C161</f>
        <v>2.9319715449134089</v>
      </c>
      <c r="N137">
        <v>-3.0372033582109999E-2</v>
      </c>
      <c r="O137">
        <v>3.41681168050103E-2</v>
      </c>
      <c r="P137">
        <v>-0.54794469000000101</v>
      </c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I138">
        <v>159.09421815218934</v>
      </c>
      <c r="J138">
        <v>145.507213273346</v>
      </c>
      <c r="K138">
        <v>0.97436963436458002</v>
      </c>
      <c r="L138">
        <v>83.462187269638207</v>
      </c>
      <c r="M138" s="15">
        <f>+'[3]VAR expectations'!C162</f>
        <v>2.624058833894372</v>
      </c>
      <c r="N138">
        <v>6.0302951733499999E-3</v>
      </c>
      <c r="O138">
        <v>1.15398165866652E-2</v>
      </c>
      <c r="P138">
        <v>-0.449439899999999</v>
      </c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I139">
        <v>159.11099764876499</v>
      </c>
      <c r="J139">
        <v>146.26524121222599</v>
      </c>
      <c r="K139">
        <v>0.97332130611155698</v>
      </c>
      <c r="L139">
        <v>83.3355013115834</v>
      </c>
      <c r="M139" s="15">
        <f>+'[3]VAR expectations'!C163</f>
        <v>2.4687156565697737</v>
      </c>
      <c r="N139">
        <v>5.4953356977352798E-2</v>
      </c>
      <c r="O139">
        <v>1.1097633463309199E-2</v>
      </c>
      <c r="P139">
        <v>-0.36872139999994702</v>
      </c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I140">
        <v>159.25535202256603</v>
      </c>
      <c r="J140">
        <v>147.00873820596701</v>
      </c>
      <c r="K140">
        <v>0.97211633808919795</v>
      </c>
      <c r="L140">
        <v>83.211437656241699</v>
      </c>
      <c r="M140" s="15">
        <f>+'[3]VAR expectations'!C164</f>
        <v>2.4272584547421974</v>
      </c>
      <c r="N140">
        <v>6.0807530754992199E-2</v>
      </c>
      <c r="O140">
        <v>4.6243938598148496E-3</v>
      </c>
      <c r="P140">
        <v>-0.278361470000003</v>
      </c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I141">
        <v>158.41609950496667</v>
      </c>
      <c r="J141">
        <v>147.78016162913499</v>
      </c>
      <c r="K141">
        <v>0.97121443038946198</v>
      </c>
      <c r="L141">
        <v>83.089805120932098</v>
      </c>
      <c r="M141" s="15">
        <f>+'[3]VAR expectations'!C165</f>
        <v>2.4505337246023733</v>
      </c>
      <c r="N141">
        <v>5.2961631016687702E-2</v>
      </c>
      <c r="O141">
        <v>2.59377181723855E-2</v>
      </c>
      <c r="P141">
        <v>-0.17979681999998401</v>
      </c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I142">
        <v>160.29157978697768</v>
      </c>
      <c r="J142">
        <v>148.54929407238799</v>
      </c>
      <c r="K142">
        <v>0.97018548636511204</v>
      </c>
      <c r="L142">
        <v>82.970359088415194</v>
      </c>
      <c r="M142" s="15">
        <f>+'[3]VAR expectations'!C166</f>
        <v>2.4399426350808717</v>
      </c>
      <c r="N142">
        <v>5.5627618626222397E-2</v>
      </c>
      <c r="O142">
        <v>1.4130632639043499E-2</v>
      </c>
      <c r="P142">
        <v>-0.10053368999996</v>
      </c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I143">
        <v>160.705684451792</v>
      </c>
      <c r="J143">
        <v>149.33243191761699</v>
      </c>
      <c r="K143">
        <v>0.96942555925380702</v>
      </c>
      <c r="L143">
        <v>82.852814967888094</v>
      </c>
      <c r="M143" s="15">
        <f>+'[3]VAR expectations'!C167</f>
        <v>2.4724757454078841</v>
      </c>
      <c r="N143">
        <v>5.9236448752574097E-2</v>
      </c>
      <c r="O143">
        <v>1.47508857815706E-2</v>
      </c>
      <c r="P143">
        <v>-2.1270559999907901E-2</v>
      </c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M144" s="15">
        <f>+'[3]VAR expectations'!C168</f>
        <v>2.5381252562448622</v>
      </c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/>
      <c r="M145" s="15">
        <f>+'[3]VAR expectations'!C169</f>
        <v>2.6576871518365146</v>
      </c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DDD5-CC1A-457E-92B9-20D1F44E3A97}">
  <dimension ref="A1:W172"/>
  <sheetViews>
    <sheetView zoomScaleNormal="100" workbookViewId="0">
      <selection activeCell="Q12" sqref="Q12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D3" s="3"/>
      <c r="I3" s="1" t="s">
        <v>7</v>
      </c>
      <c r="J3" s="2" t="s">
        <v>5</v>
      </c>
      <c r="K3" s="2"/>
      <c r="L3" t="s">
        <v>71</v>
      </c>
    </row>
    <row r="4" spans="1:23" x14ac:dyDescent="0.25">
      <c r="A4" t="s">
        <v>323</v>
      </c>
      <c r="B4" s="2" t="s">
        <v>8</v>
      </c>
      <c r="C4" s="2"/>
      <c r="D4" s="3" t="s">
        <v>324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272</v>
      </c>
      <c r="J5" s="2" t="s">
        <v>9</v>
      </c>
      <c r="K5" s="2"/>
    </row>
    <row r="6" spans="1:23" x14ac:dyDescent="0.25">
      <c r="A6" t="s">
        <v>321</v>
      </c>
      <c r="I6" t="s">
        <v>271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conv2qa(X12(stifidx_jan2026.m,MULT,1996m1,2026m6))</v>
      </c>
      <c r="C10" s="11" t="str">
        <f t="shared" ref="C10:D10" si="0">"conv2qa(X12("&amp;$D$5&amp;$D$3&amp;C9&amp;$D$4&amp;",MULT," &amp; TEXT($A$3,"yyyy""m""m") &amp; "," &amp; TEXT($A$4,"yyyy""m""m") &amp; "))"</f>
        <v>conv2qa(X12(stif_srv_jan2026.m,MULT,1996m1,2026m6))</v>
      </c>
      <c r="D10" s="11" t="str">
        <f t="shared" si="0"/>
        <v>conv2qa(X12(stif_gds_xeatfnab_jan2026.m,MULT,1996m1,2026m6))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booze.m,fags.m,#,#,#,#,#,#,#,#,#,#,#,#,#,#,#,#,#),MULT,1996m1,2026m6))</v>
      </c>
      <c r="F10" s="11" t="str">
        <f>"conv2qa(X12("&amp;$D$5&amp;$D$3&amp;F9&amp;$D$4&amp;",MULT," &amp; TEXT($A$3,"yyyy""m""m") &amp; "," &amp; TEXT($A$4,"yyyy""m""m") &amp; "))"</f>
        <v>conv2qa(X12(stif_fnab_jan2026.m,MULT,1996m1,2026m6))</v>
      </c>
      <c r="G10" s="11" t="str">
        <f>"conv2qa(X12("&amp;G9&amp;",MULT," &amp; TEXT($A$3,"yyyy""m""m") &amp; "," &amp; TEXT($A$4,"yyyy""m""m") &amp; "))"</f>
        <v>conv2qa(X12(booze.m,MULT,1996m1,2026m6))</v>
      </c>
      <c r="H10" s="11" t="str">
        <f>"conv2qa(X12("&amp;H9&amp;",MULT," &amp; TEXT($A$3,"yyyy""m""m") &amp; "," &amp; TEXT($A$4,"yyyy""m""m") &amp; "))"</f>
        <v>conv2qa(X12(fags.m,MULT,1996m1,2026m6))</v>
      </c>
      <c r="I10" s="11" t="str">
        <f>"conv2qa(X12("&amp;$D$5&amp;$D$3&amp;I9&amp;$D$4&amp;",MULT," &amp; TEXT($A$3,"yyyy""m""m") &amp; "," &amp; TEXT($I$5,"yyyy""m""m") &amp; "))"</f>
        <v>conv2qa(X12(stif_pu_jan2026.m,MULT,1996m1,2028m12))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68.336249781639438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58.553707089085371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77.833862631324294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>
        <f>[2]!FAMEData($L$5&amp;$L$3&amp;J9&amp;$L$4, $I$3, $I$4, 0,"Quarterly", "Down", "No Heading", "Normal")</f>
        <v>68.2747845747502</v>
      </c>
      <c r="K12">
        <f>[2]!FAMEData($L$5&amp;$L$3&amp;K9&amp;$L$4, $I$3, $I$4, 0,"Quarterly", "Down", "No Heading", "Normal")</f>
        <v>0.69676277490104199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0.3</v>
      </c>
      <c r="O12">
        <f>[2]!FAMEData($L$5&amp;$L$3&amp;O9&amp;$L$4, $I$3, $I$4, 0,"Quarterly", "Down", "No Heading", "Normal")</f>
        <v>0.20789577611610899</v>
      </c>
      <c r="P12">
        <f>[2]!FAMEData($L$5&amp;$L$3&amp;P9&amp;$L$4, $I$3, $I$4, 0,"Quarterly", "Down", "No Heading", "Normal")</f>
        <v>-0.67179062000018097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68.646170837330502</v>
      </c>
      <c r="K13">
        <v>0.697170201453299</v>
      </c>
      <c r="L13">
        <v>81.882196923076904</v>
      </c>
      <c r="M13" s="15">
        <f>+'[3]VAR expectations'!C37</f>
        <v>2.6154884948264598</v>
      </c>
      <c r="N13">
        <v>0.3</v>
      </c>
      <c r="O13">
        <v>-0.16120155703172701</v>
      </c>
      <c r="P13">
        <v>-0.90951431999948096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68.991320835927496</v>
      </c>
      <c r="K14">
        <v>0.68186344897864604</v>
      </c>
      <c r="L14">
        <v>82.869486363636398</v>
      </c>
      <c r="M14" s="15">
        <f>+'[3]VAR expectations'!C38</f>
        <v>2.6428562485995646</v>
      </c>
      <c r="N14">
        <v>0.3</v>
      </c>
      <c r="O14">
        <v>0.32912444162450999</v>
      </c>
      <c r="P14">
        <v>-0.98499010000016896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69.381898637076503</v>
      </c>
      <c r="K15">
        <v>0.67273735054240202</v>
      </c>
      <c r="L15">
        <v>88.333556060606099</v>
      </c>
      <c r="M15" s="15">
        <f>+'[3]VAR expectations'!C39</f>
        <v>2.8292929206876933</v>
      </c>
      <c r="N15">
        <v>0.3</v>
      </c>
      <c r="O15">
        <v>-2.2510150918334201E-3</v>
      </c>
      <c r="P15">
        <v>-0.94538048999989799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69.587122726538695</v>
      </c>
      <c r="K16">
        <v>0.64938685118057304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-0.262290558696672</v>
      </c>
      <c r="P16">
        <v>-8.1624399997278201E-3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69.779560867304099</v>
      </c>
      <c r="K17">
        <v>0.63898761329940501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-0.18076935065413899</v>
      </c>
      <c r="P17">
        <v>7.83533299999771E-2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70.337382907513899</v>
      </c>
      <c r="K18">
        <v>0.63319365618204004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0.135072712526874</v>
      </c>
      <c r="P18">
        <v>5.2405800004195497E-3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70.534190606333013</v>
      </c>
      <c r="C19">
        <v>54.3557598582004</v>
      </c>
      <c r="D19">
        <v>120.137475565896</v>
      </c>
      <c r="E19">
        <v>60.1132805423672</v>
      </c>
      <c r="F19">
        <v>65.8557702922663</v>
      </c>
      <c r="G19">
        <v>79.329518514698592</v>
      </c>
      <c r="H19">
        <v>34.107615541725302</v>
      </c>
      <c r="I19">
        <v>45.165943591837333</v>
      </c>
      <c r="J19">
        <v>70.608566415176995</v>
      </c>
      <c r="K19">
        <v>0.63128999906948902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-0.18038836269067801</v>
      </c>
      <c r="P19">
        <v>-0.113323839999526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70.691928078931596</v>
      </c>
      <c r="K20">
        <v>0.62538235592018598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-0.40106993870267899</v>
      </c>
      <c r="P20">
        <v>0.35224228000025998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45.512400795735232</v>
      </c>
      <c r="J21">
        <v>71.092689368342107</v>
      </c>
      <c r="K21">
        <v>0.61574060369241101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-0.121959828355084</v>
      </c>
      <c r="P21">
        <v>0.18539484000045001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45.240117527977397</v>
      </c>
      <c r="J22">
        <v>71.320296559880902</v>
      </c>
      <c r="K22">
        <v>0.61194660690414404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0.148148898493562</v>
      </c>
      <c r="P22">
        <v>0.157820159999876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45.182611283650964</v>
      </c>
      <c r="J23">
        <v>71.576718532144298</v>
      </c>
      <c r="K23">
        <v>0.615800780480114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-0.44461325206669999</v>
      </c>
      <c r="P23">
        <v>-0.51318826999976597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71.869448362919044</v>
      </c>
      <c r="C24">
        <v>56.820337302049971</v>
      </c>
      <c r="D24">
        <v>117.91126120930566</v>
      </c>
      <c r="E24">
        <v>62.464147948596434</v>
      </c>
      <c r="F24">
        <v>67.238659277963379</v>
      </c>
      <c r="G24">
        <v>81.576404148116495</v>
      </c>
      <c r="H24">
        <v>38.383741142268832</v>
      </c>
      <c r="I24">
        <v>45.605839036949625</v>
      </c>
      <c r="J24">
        <v>71.807722498277897</v>
      </c>
      <c r="K24">
        <v>0.61208261764455096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0.52782221066476598</v>
      </c>
      <c r="P24">
        <v>-0.37213479000032401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72.089045435709679</v>
      </c>
      <c r="C25">
        <v>57.315645524914736</v>
      </c>
      <c r="D25">
        <v>117.102020370133</v>
      </c>
      <c r="E25">
        <v>62.327610240975268</v>
      </c>
      <c r="F25">
        <v>66.571844762680328</v>
      </c>
      <c r="G25">
        <v>81.622908379807328</v>
      </c>
      <c r="H25">
        <v>39.566559269054366</v>
      </c>
      <c r="I25">
        <v>46.924886016740139</v>
      </c>
      <c r="J25">
        <v>72.102602287631697</v>
      </c>
      <c r="K25">
        <v>0.60729455707630897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0.48725261916995399</v>
      </c>
      <c r="P25">
        <v>4.5377830000379198E-2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81.700276436858232</v>
      </c>
      <c r="H26">
        <v>40.694457856544773</v>
      </c>
      <c r="I26">
        <v>47.676146770894739</v>
      </c>
      <c r="J26">
        <v>72.187037675331496</v>
      </c>
      <c r="K26">
        <v>0.61019911719025599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0.67076862974608797</v>
      </c>
      <c r="P26">
        <v>0.16253140999992199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81.899917498002125</v>
      </c>
      <c r="H27">
        <v>41.070297940002668</v>
      </c>
      <c r="I27">
        <v>48.744128850988538</v>
      </c>
      <c r="J27">
        <v>72.375603928269996</v>
      </c>
      <c r="K27">
        <v>0.61022681521550604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0.25537877518103203</v>
      </c>
      <c r="P27">
        <v>0.81449639999964296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81.953847149906736</v>
      </c>
      <c r="H28">
        <v>41.192698366617037</v>
      </c>
      <c r="I28">
        <v>50.014345022098034</v>
      </c>
      <c r="J28">
        <v>72.393685210266895</v>
      </c>
      <c r="K28">
        <v>0.61741448216996297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9.2271063782413995E-2</v>
      </c>
      <c r="P28">
        <v>-0.80713768000018604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72.539182312841533</v>
      </c>
      <c r="C29">
        <v>59.022039679802099</v>
      </c>
      <c r="D29">
        <v>113.06246638512567</v>
      </c>
      <c r="E29">
        <v>62.695488488984267</v>
      </c>
      <c r="F29">
        <v>65.547576525313545</v>
      </c>
      <c r="G29">
        <v>81.549251880083574</v>
      </c>
      <c r="H29">
        <v>43.499742188367001</v>
      </c>
      <c r="I29">
        <v>50.294131092572094</v>
      </c>
      <c r="J29">
        <v>72.563312048485201</v>
      </c>
      <c r="K29">
        <v>0.61947343357984297</v>
      </c>
      <c r="L29">
        <v>101.013821538462</v>
      </c>
      <c r="M29" s="15">
        <f>+'[3]VAR expectations'!C53</f>
        <v>2.480790509902373</v>
      </c>
      <c r="N29">
        <v>0.578228356186961</v>
      </c>
      <c r="O29">
        <v>6.4185673634936505E-2</v>
      </c>
      <c r="P29">
        <v>0.53258052999994498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72.707840576543902</v>
      </c>
      <c r="C30">
        <v>59.618307460292577</v>
      </c>
      <c r="D30">
        <v>111.70485772051767</v>
      </c>
      <c r="E30">
        <v>63.4807864145831</v>
      </c>
      <c r="F30">
        <v>66.47073313012443</v>
      </c>
      <c r="G30">
        <v>81.400383542533334</v>
      </c>
      <c r="H30">
        <v>44.129516914186361</v>
      </c>
      <c r="I30">
        <v>50.848549060358494</v>
      </c>
      <c r="J30">
        <v>72.759781094113606</v>
      </c>
      <c r="K30">
        <v>0.63243205574934103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0.321076211975517</v>
      </c>
      <c r="P30">
        <v>0.27187322999959301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73.058296991468595</v>
      </c>
      <c r="C31">
        <v>60.261873317660502</v>
      </c>
      <c r="D31">
        <v>111.14640687755167</v>
      </c>
      <c r="E31">
        <v>63.852768971110358</v>
      </c>
      <c r="F31">
        <v>66.715067260746238</v>
      </c>
      <c r="G31">
        <v>81.76564392700142</v>
      </c>
      <c r="H31">
        <v>44.729361748243328</v>
      </c>
      <c r="I31">
        <v>51.114811152050237</v>
      </c>
      <c r="J31">
        <v>73.063980130589101</v>
      </c>
      <c r="K31">
        <v>0.63168490396144295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-1.6390389462865099E-2</v>
      </c>
      <c r="P31">
        <v>0.70676578999984596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73.057199972199768</v>
      </c>
      <c r="C32">
        <v>60.743618510486392</v>
      </c>
      <c r="D32">
        <v>110.17048885713501</v>
      </c>
      <c r="E32">
        <v>64.304947564597924</v>
      </c>
      <c r="F32">
        <v>67.219576569640878</v>
      </c>
      <c r="G32">
        <v>81.956356251031664</v>
      </c>
      <c r="H32">
        <v>45.213764851116537</v>
      </c>
      <c r="I32">
        <v>49.776772698763033</v>
      </c>
      <c r="J32">
        <v>73.022576733062607</v>
      </c>
      <c r="K32">
        <v>0.63197458532471795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-0.227577979531076</v>
      </c>
      <c r="P32">
        <v>0.41767657000032898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73.640782847444029</v>
      </c>
      <c r="C33">
        <v>61.544420219885431</v>
      </c>
      <c r="D33">
        <v>109.89504456781434</v>
      </c>
      <c r="E33">
        <v>65.671562289780027</v>
      </c>
      <c r="F33">
        <v>69.291698510684796</v>
      </c>
      <c r="G33">
        <v>81.89472291611844</v>
      </c>
      <c r="H33">
        <v>45.47567267219123</v>
      </c>
      <c r="I33">
        <v>49.554685240335935</v>
      </c>
      <c r="J33">
        <v>73.6724521571211</v>
      </c>
      <c r="K33">
        <v>0.62800409836081905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0.14427868690463599</v>
      </c>
      <c r="P33">
        <v>0.27177293000019898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73.825368346705162</v>
      </c>
      <c r="C34">
        <v>62.223963784280436</v>
      </c>
      <c r="D34">
        <v>109.34835279541333</v>
      </c>
      <c r="E34">
        <v>65.6414487139279</v>
      </c>
      <c r="F34">
        <v>68.979536133830408</v>
      </c>
      <c r="G34">
        <v>82.063297448349473</v>
      </c>
      <c r="H34">
        <v>45.842531038285635</v>
      </c>
      <c r="I34">
        <v>49.541042554844729</v>
      </c>
      <c r="J34">
        <v>73.864341691333095</v>
      </c>
      <c r="K34">
        <v>0.62070323942146299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-0.145405425617782</v>
      </c>
      <c r="P34">
        <v>2.9689800000429499E-2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73.809976698452132</v>
      </c>
      <c r="C35">
        <v>62.586922212635038</v>
      </c>
      <c r="D35">
        <v>108.73663622536766</v>
      </c>
      <c r="E35">
        <v>65.82869866931928</v>
      </c>
      <c r="F35">
        <v>68.970945389893998</v>
      </c>
      <c r="G35">
        <v>82.057820783109364</v>
      </c>
      <c r="H35">
        <v>46.482425595715227</v>
      </c>
      <c r="I35">
        <v>48.008808713619068</v>
      </c>
      <c r="J35">
        <v>73.816220967024293</v>
      </c>
      <c r="K35">
        <v>0.61399358747248201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-0.40207821981541297</v>
      </c>
      <c r="P35">
        <v>-0.63991584999992301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74.172709547617856</v>
      </c>
      <c r="C36">
        <v>63.253448974794367</v>
      </c>
      <c r="D36">
        <v>108.253887812421</v>
      </c>
      <c r="E36">
        <v>66.271856797838936</v>
      </c>
      <c r="F36">
        <v>69.566869099541108</v>
      </c>
      <c r="G36">
        <v>82.184032836313278</v>
      </c>
      <c r="H36">
        <v>46.71287519881546</v>
      </c>
      <c r="I36">
        <v>48.300000597176535</v>
      </c>
      <c r="J36">
        <v>74.140198629934503</v>
      </c>
      <c r="K36">
        <v>0.61193038298108404</v>
      </c>
      <c r="L36">
        <v>100.22180625</v>
      </c>
      <c r="M36" s="15">
        <f>+'[3]VAR expectations'!C60</f>
        <v>2.2636382290406152</v>
      </c>
      <c r="N36">
        <v>-0.19866515250366801</v>
      </c>
      <c r="O36">
        <v>0.181561700258596</v>
      </c>
      <c r="P36">
        <v>-0.63541897999959396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74.341060971658422</v>
      </c>
      <c r="C37">
        <v>64.098357828457964</v>
      </c>
      <c r="D37">
        <v>107.159753823698</v>
      </c>
      <c r="E37">
        <v>65.84145378359166</v>
      </c>
      <c r="F37">
        <v>69.072767804201916</v>
      </c>
      <c r="G37">
        <v>82.070455382210241</v>
      </c>
      <c r="H37">
        <v>46.699129956859402</v>
      </c>
      <c r="I37">
        <v>48.834968279374969</v>
      </c>
      <c r="J37">
        <v>74.380935469653593</v>
      </c>
      <c r="K37">
        <v>0.61392139822955905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0.26583891266085302</v>
      </c>
      <c r="P37">
        <v>-0.844244290000153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74.586828837548111</v>
      </c>
      <c r="C38">
        <v>64.806065670027522</v>
      </c>
      <c r="D38">
        <v>106.44583489625866</v>
      </c>
      <c r="E38">
        <v>66.101100807902739</v>
      </c>
      <c r="F38">
        <v>69.016510777198548</v>
      </c>
      <c r="G38">
        <v>82.393205073304031</v>
      </c>
      <c r="H38">
        <v>47.31236304147243</v>
      </c>
      <c r="I38">
        <v>48.810172757374801</v>
      </c>
      <c r="J38">
        <v>74.621413607581303</v>
      </c>
      <c r="K38">
        <v>0.61140713450523598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2.2118145407947602E-2</v>
      </c>
      <c r="P38">
        <v>-0.47312000999981302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74.941529851714975</v>
      </c>
      <c r="C39">
        <v>65.527580796611275</v>
      </c>
      <c r="D39">
        <v>105.92448921583998</v>
      </c>
      <c r="E39">
        <v>66.19612673329469</v>
      </c>
      <c r="F39">
        <v>69.020712791600772</v>
      </c>
      <c r="G39">
        <v>81.795408931370289</v>
      </c>
      <c r="H39">
        <v>47.821927966220166</v>
      </c>
      <c r="I39">
        <v>49.301431799612494</v>
      </c>
      <c r="J39">
        <v>74.939616829324905</v>
      </c>
      <c r="K39">
        <v>0.61029675732614896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-3.5729490300290101E-2</v>
      </c>
      <c r="P39">
        <v>-0.23494014999958099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75.254179637007908</v>
      </c>
      <c r="C40">
        <v>66.024472037778366</v>
      </c>
      <c r="D40">
        <v>105.57840811720733</v>
      </c>
      <c r="E40">
        <v>66.29593719599923</v>
      </c>
      <c r="F40">
        <v>69.109899366949435</v>
      </c>
      <c r="G40">
        <v>81.579240062140443</v>
      </c>
      <c r="H40">
        <v>48.15079316911963</v>
      </c>
      <c r="I40">
        <v>50.696241265618333</v>
      </c>
      <c r="J40">
        <v>75.220634268750601</v>
      </c>
      <c r="K40">
        <v>0.62041647951515799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-0.412484320000154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75.297738816455805</v>
      </c>
      <c r="C41">
        <v>66.477450028728938</v>
      </c>
      <c r="D41">
        <v>104.82493353970767</v>
      </c>
      <c r="E41">
        <v>66.743553912159655</v>
      </c>
      <c r="F41">
        <v>69.746466956826126</v>
      </c>
      <c r="G41">
        <v>81.929888132916673</v>
      </c>
      <c r="H41">
        <v>48.454084824284827</v>
      </c>
      <c r="I41">
        <v>49.519114792648566</v>
      </c>
      <c r="J41">
        <v>75.346739963703399</v>
      </c>
      <c r="K41">
        <v>0.61830243153139897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-0.53373754000033002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75.612766960049271</v>
      </c>
      <c r="C42">
        <v>66.969781979792629</v>
      </c>
      <c r="D42">
        <v>104.57345498303668</v>
      </c>
      <c r="E42">
        <v>67.312969333969576</v>
      </c>
      <c r="F42">
        <v>70.264155677450333</v>
      </c>
      <c r="G42">
        <v>81.292515617227139</v>
      </c>
      <c r="H42">
        <v>49.19087496908454</v>
      </c>
      <c r="I42">
        <v>49.812423084891861</v>
      </c>
      <c r="J42">
        <v>75.6464595380465</v>
      </c>
      <c r="K42">
        <v>0.61992864970907302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-0.27588602999982398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75.930389741808341</v>
      </c>
      <c r="C43">
        <v>67.546972720155409</v>
      </c>
      <c r="D43">
        <v>104.00485126916367</v>
      </c>
      <c r="E43">
        <v>67.719275637231306</v>
      </c>
      <c r="F43">
        <v>70.752523645878</v>
      </c>
      <c r="G43">
        <v>81.390202697023526</v>
      </c>
      <c r="H43">
        <v>49.438759813336269</v>
      </c>
      <c r="I43">
        <v>50.456696042703008</v>
      </c>
      <c r="J43">
        <v>75.926724411022903</v>
      </c>
      <c r="K43">
        <v>0.61487188261720405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-0.53395230000040395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76.200272982905773</v>
      </c>
      <c r="C44">
        <v>68.10626529045534</v>
      </c>
      <c r="D44">
        <v>103.629551725323</v>
      </c>
      <c r="E44">
        <v>67.701733001737026</v>
      </c>
      <c r="F44">
        <v>70.680623240177169</v>
      </c>
      <c r="G44">
        <v>81.372891140309534</v>
      </c>
      <c r="H44">
        <v>49.677802172794934</v>
      </c>
      <c r="I44">
        <v>51.504084272290072</v>
      </c>
      <c r="J44">
        <v>76.159678920179303</v>
      </c>
      <c r="K44">
        <v>0.60870261377130896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0.26648293999980199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76.359143317202026</v>
      </c>
      <c r="C45">
        <v>68.631855809481195</v>
      </c>
      <c r="D45">
        <v>102.87732125881632</v>
      </c>
      <c r="E45">
        <v>67.638280882747893</v>
      </c>
      <c r="F45">
        <v>70.476850084826182</v>
      </c>
      <c r="G45">
        <v>81.287191198883775</v>
      </c>
      <c r="H45">
        <v>50.250960584285828</v>
      </c>
      <c r="I45">
        <v>52.490029578348803</v>
      </c>
      <c r="J45">
        <v>76.418237565263098</v>
      </c>
      <c r="K45">
        <v>0.60880985911549002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0.17862779000014201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76.56223144489384</v>
      </c>
      <c r="C46">
        <v>69.203743096077901</v>
      </c>
      <c r="D46">
        <v>102.21000368742632</v>
      </c>
      <c r="E46">
        <v>67.646192048155299</v>
      </c>
      <c r="F46">
        <v>70.117000340455391</v>
      </c>
      <c r="G46">
        <v>81.074507725893795</v>
      </c>
      <c r="H46">
        <v>50.981515782759139</v>
      </c>
      <c r="I46">
        <v>53.359156398505696</v>
      </c>
      <c r="J46">
        <v>76.596011970112798</v>
      </c>
      <c r="K46">
        <v>0.61030418054680202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-2.59919399995341E-2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77.024679842321433</v>
      </c>
      <c r="C47">
        <v>69.904808946545501</v>
      </c>
      <c r="D47">
        <v>101.65395874631234</v>
      </c>
      <c r="E47">
        <v>67.923169332963738</v>
      </c>
      <c r="F47">
        <v>70.39855779921281</v>
      </c>
      <c r="G47">
        <v>81.151471153585632</v>
      </c>
      <c r="H47">
        <v>51.389293344903443</v>
      </c>
      <c r="I47">
        <v>55.645647718234727</v>
      </c>
      <c r="J47">
        <v>77.015339459626105</v>
      </c>
      <c r="K47">
        <v>0.61831603266951796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0.92815783999970602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77.519231176102295</v>
      </c>
      <c r="C48">
        <v>70.711753850760331</v>
      </c>
      <c r="D48">
        <v>101.22455082174066</v>
      </c>
      <c r="E48">
        <v>68.690840572723587</v>
      </c>
      <c r="F48">
        <v>71.390648871096417</v>
      </c>
      <c r="G48">
        <v>80.604661890143959</v>
      </c>
      <c r="H48">
        <v>52.151755184375666</v>
      </c>
      <c r="I48">
        <v>56.449023556953001</v>
      </c>
      <c r="J48">
        <v>77.473803591154905</v>
      </c>
      <c r="K48">
        <v>0.61841602743295798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0.47823727999973997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77.860319039964665</v>
      </c>
      <c r="C49">
        <v>71.482542510732671</v>
      </c>
      <c r="D49">
        <v>100.61472786658834</v>
      </c>
      <c r="E49">
        <v>68.823685138752964</v>
      </c>
      <c r="F49">
        <v>71.58467904430627</v>
      </c>
      <c r="G49">
        <v>80.155897306642999</v>
      </c>
      <c r="H49">
        <v>52.54189003720083</v>
      </c>
      <c r="I49">
        <v>57.440858337246304</v>
      </c>
      <c r="J49">
        <v>77.926611490941795</v>
      </c>
      <c r="K49">
        <v>0.61632396776809295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-0.14649886000040899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78.392641647221737</v>
      </c>
      <c r="C50">
        <v>72.329300983128235</v>
      </c>
      <c r="D50">
        <v>100.0711785021047</v>
      </c>
      <c r="E50">
        <v>68.937238072439087</v>
      </c>
      <c r="F50">
        <v>71.487850245715165</v>
      </c>
      <c r="G50">
        <v>80.839757461325405</v>
      </c>
      <c r="H50">
        <v>52.691778597230972</v>
      </c>
      <c r="I50">
        <v>60.297134291713327</v>
      </c>
      <c r="J50">
        <v>78.429890668470094</v>
      </c>
      <c r="K50">
        <v>0.63415776121743705</v>
      </c>
      <c r="L50">
        <v>99.734880303030295</v>
      </c>
      <c r="M50" s="15">
        <f>+'[3]VAR expectations'!C74</f>
        <v>2.2761535969954032</v>
      </c>
      <c r="N50">
        <v>0.70017615103754105</v>
      </c>
      <c r="O50">
        <v>0.242344274322987</v>
      </c>
      <c r="P50">
        <v>9.7494219999806203E-2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78.665010931003039</v>
      </c>
      <c r="C51">
        <v>72.762316992088699</v>
      </c>
      <c r="D51">
        <v>99.58819602051426</v>
      </c>
      <c r="E51">
        <v>69.148767012441169</v>
      </c>
      <c r="F51">
        <v>71.487766539029948</v>
      </c>
      <c r="G51">
        <v>80.757559037470841</v>
      </c>
      <c r="H51">
        <v>53.781965206017865</v>
      </c>
      <c r="I51">
        <v>62.213078986611499</v>
      </c>
      <c r="J51">
        <v>78.6504538038064</v>
      </c>
      <c r="K51">
        <v>0.63647438784451305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-2.1327579999978599E-2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79.028056405086332</v>
      </c>
      <c r="C52">
        <v>73.385241777278395</v>
      </c>
      <c r="D52">
        <v>99.218511677249424</v>
      </c>
      <c r="E52">
        <v>69.45623571727657</v>
      </c>
      <c r="F52">
        <v>71.887123992123804</v>
      </c>
      <c r="G52">
        <v>80.784700864783304</v>
      </c>
      <c r="H52">
        <v>54.031494090221663</v>
      </c>
      <c r="I52">
        <v>63.507502811747692</v>
      </c>
      <c r="J52">
        <v>78.979692593871704</v>
      </c>
      <c r="K52">
        <v>0.64392875406480998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-2.3869130000224802E-2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79.616100225426734</v>
      </c>
      <c r="C53">
        <v>74.005587618497501</v>
      </c>
      <c r="D53">
        <v>98.648450712144566</v>
      </c>
      <c r="E53">
        <v>69.890091452723695</v>
      </c>
      <c r="F53">
        <v>72.381509187129964</v>
      </c>
      <c r="G53">
        <v>80.348361872287441</v>
      </c>
      <c r="H53">
        <v>54.731568788946269</v>
      </c>
      <c r="I53">
        <v>67.671668075003808</v>
      </c>
      <c r="J53">
        <v>79.688482300798796</v>
      </c>
      <c r="K53">
        <v>0.645021888756523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2.60660000000533E-2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80.274543396537737</v>
      </c>
      <c r="C54">
        <v>74.554497674507047</v>
      </c>
      <c r="D54">
        <v>98.578686661865788</v>
      </c>
      <c r="E54">
        <v>71.285664215651465</v>
      </c>
      <c r="F54">
        <v>73.986476839707862</v>
      </c>
      <c r="G54">
        <v>80.810976604437244</v>
      </c>
      <c r="H54">
        <v>55.632163948080404</v>
      </c>
      <c r="I54">
        <v>70.050693758516005</v>
      </c>
      <c r="J54">
        <v>80.314084449959694</v>
      </c>
      <c r="K54">
        <v>0.64469200388279202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4.9794569999638702E-2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80.800427132538701</v>
      </c>
      <c r="C55">
        <v>75.456551074723535</v>
      </c>
      <c r="D55">
        <v>98.558511824289099</v>
      </c>
      <c r="E55">
        <v>72.057911846453223</v>
      </c>
      <c r="F55">
        <v>74.869558597705236</v>
      </c>
      <c r="G55">
        <v>81.596468197741103</v>
      </c>
      <c r="H55">
        <v>56.18733252101979</v>
      </c>
      <c r="I55">
        <v>69.842554962545179</v>
      </c>
      <c r="J55">
        <v>80.767602549772604</v>
      </c>
      <c r="K55">
        <v>0.63674417807601602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-8.0932616320032805E-2</v>
      </c>
      <c r="P55">
        <v>0.185573520000233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81.294136618168906</v>
      </c>
      <c r="C56">
        <v>76.094739706017933</v>
      </c>
      <c r="D56">
        <v>98.471297788683955</v>
      </c>
      <c r="E56">
        <v>72.551116028444255</v>
      </c>
      <c r="F56">
        <v>75.238861111401874</v>
      </c>
      <c r="G56">
        <v>81.666506132895634</v>
      </c>
      <c r="H56">
        <v>57.265354626379995</v>
      </c>
      <c r="I56">
        <v>71.130011819912497</v>
      </c>
      <c r="J56">
        <v>81.262666034385504</v>
      </c>
      <c r="K56">
        <v>0.62581298051233103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0.40345245000034902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81.649031387275741</v>
      </c>
      <c r="C57">
        <v>76.6424399225277</v>
      </c>
      <c r="D57">
        <v>98.272229616565767</v>
      </c>
      <c r="E57">
        <v>73.298449239537277</v>
      </c>
      <c r="F57">
        <v>76.216291526298491</v>
      </c>
      <c r="G57">
        <v>81.349850467716919</v>
      </c>
      <c r="H57">
        <v>57.844587258257</v>
      </c>
      <c r="I57">
        <v>71.155158554147363</v>
      </c>
      <c r="J57">
        <v>81.726254253762605</v>
      </c>
      <c r="K57">
        <v>0.63252628567691904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0.53149722000028499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81.704607649385267</v>
      </c>
      <c r="C58">
        <v>77.223121094245997</v>
      </c>
      <c r="D58">
        <v>97.540757787011401</v>
      </c>
      <c r="E58">
        <v>73.551211931042602</v>
      </c>
      <c r="F58">
        <v>76.301462693182501</v>
      </c>
      <c r="G58">
        <v>81.72889314388776</v>
      </c>
      <c r="H58">
        <v>58.326849901991729</v>
      </c>
      <c r="I58">
        <v>70.482015861356885</v>
      </c>
      <c r="J58">
        <v>81.738759148672003</v>
      </c>
      <c r="K58">
        <v>0.63429720224555597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0.48016314000027399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82.511309278720532</v>
      </c>
      <c r="C59">
        <v>77.976239868331689</v>
      </c>
      <c r="D59">
        <v>97.458073237932695</v>
      </c>
      <c r="E59">
        <v>75.219909984192071</v>
      </c>
      <c r="F59">
        <v>78.596895967393536</v>
      </c>
      <c r="G59">
        <v>81.927561668454757</v>
      </c>
      <c r="H59">
        <v>58.859087048728632</v>
      </c>
      <c r="I59">
        <v>73.077899417499168</v>
      </c>
      <c r="J59">
        <v>82.455029736794501</v>
      </c>
      <c r="K59">
        <v>0.65152011018314004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0.38278913000034598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83.213165062136625</v>
      </c>
      <c r="C60">
        <v>78.58558343952734</v>
      </c>
      <c r="D60">
        <v>96.951612826591202</v>
      </c>
      <c r="E60">
        <v>75.989538575251132</v>
      </c>
      <c r="F60">
        <v>79.533800507099301</v>
      </c>
      <c r="G60">
        <v>81.95876144215633</v>
      </c>
      <c r="H60">
        <v>59.544386410671102</v>
      </c>
      <c r="I60">
        <v>77.885301847024962</v>
      </c>
      <c r="J60">
        <v>83.221729756997405</v>
      </c>
      <c r="K60">
        <v>0.67754230031801499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0.55036509999983996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84.399628691832035</v>
      </c>
      <c r="C61">
        <v>79.53823651494703</v>
      </c>
      <c r="D61">
        <v>96.70963901749333</v>
      </c>
      <c r="E61">
        <v>78.38197611537386</v>
      </c>
      <c r="F61">
        <v>82.317852027913005</v>
      </c>
      <c r="G61">
        <v>84.883190465060764</v>
      </c>
      <c r="H61">
        <v>60.3420908628513</v>
      </c>
      <c r="I61">
        <v>82.676147800337503</v>
      </c>
      <c r="J61">
        <v>84.478396118209602</v>
      </c>
      <c r="K61">
        <v>0.70524569880666799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-0.77297461999967598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85.62262952350271</v>
      </c>
      <c r="C62">
        <v>80.567896157711331</v>
      </c>
      <c r="D62">
        <v>96.458973787546597</v>
      </c>
      <c r="E62">
        <v>80.821169581011091</v>
      </c>
      <c r="F62">
        <v>85.573695723796462</v>
      </c>
      <c r="G62">
        <v>85.076930997477461</v>
      </c>
      <c r="H62">
        <v>60.969200079848569</v>
      </c>
      <c r="I62">
        <v>87.767598722709749</v>
      </c>
      <c r="J62">
        <v>85.633333794251001</v>
      </c>
      <c r="K62">
        <v>0.72643695207768799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-1.12977768999955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85.715849377134433</v>
      </c>
      <c r="C63">
        <v>81.447767547152935</v>
      </c>
      <c r="D63">
        <v>95.356926304428839</v>
      </c>
      <c r="E63">
        <v>81.793418533253558</v>
      </c>
      <c r="F63">
        <v>86.79293092686153</v>
      </c>
      <c r="G63">
        <v>85.181227852746801</v>
      </c>
      <c r="H63">
        <v>61.653547734356032</v>
      </c>
      <c r="I63">
        <v>85.991096828726157</v>
      </c>
      <c r="J63">
        <v>85.640874155225802</v>
      </c>
      <c r="K63">
        <v>0.72241258631374905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-2.2975232500002498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85.677461988748405</v>
      </c>
      <c r="C64">
        <v>81.837362889414862</v>
      </c>
      <c r="D64">
        <v>94.827625385481568</v>
      </c>
      <c r="E64">
        <v>83.009858693753401</v>
      </c>
      <c r="F64">
        <v>87.99238488276653</v>
      </c>
      <c r="G64">
        <v>87.19795041109451</v>
      </c>
      <c r="H64">
        <v>62.259307444635503</v>
      </c>
      <c r="I64">
        <v>82.010219353640721</v>
      </c>
      <c r="J64">
        <v>85.727727082822298</v>
      </c>
      <c r="K64">
        <v>0.72660601033444505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-3.8884712599996099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86.159767555075589</v>
      </c>
      <c r="C65">
        <v>82.270942288270746</v>
      </c>
      <c r="D65">
        <v>95.654937801477445</v>
      </c>
      <c r="E65">
        <v>83.220861398247123</v>
      </c>
      <c r="F65">
        <v>88.308924294745268</v>
      </c>
      <c r="G65">
        <v>87.210684334406224</v>
      </c>
      <c r="H65">
        <v>62.310963204621963</v>
      </c>
      <c r="I65">
        <v>82.036384463611171</v>
      </c>
      <c r="J65">
        <v>86.234750471392999</v>
      </c>
      <c r="K65">
        <v>0.71060767773743105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-4.00545135999994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86.924358867312137</v>
      </c>
      <c r="C66">
        <v>82.818965540346639</v>
      </c>
      <c r="D66">
        <v>96.748856684248793</v>
      </c>
      <c r="E66">
        <v>83.273957661789026</v>
      </c>
      <c r="F66">
        <v>87.773256593470592</v>
      </c>
      <c r="G66">
        <v>88.565677739289129</v>
      </c>
      <c r="H66">
        <v>63.382794939766264</v>
      </c>
      <c r="I66">
        <v>84.438225922028053</v>
      </c>
      <c r="J66">
        <v>86.903553971704099</v>
      </c>
      <c r="K66">
        <v>0.70626942705568496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-4.0528010000001196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87.534280116971544</v>
      </c>
      <c r="C67">
        <v>83.410496248704305</v>
      </c>
      <c r="D67">
        <v>97.120889170252283</v>
      </c>
      <c r="E67">
        <v>83.844235995732561</v>
      </c>
      <c r="F67">
        <v>88.325908038867965</v>
      </c>
      <c r="G67">
        <v>89.287832621285304</v>
      </c>
      <c r="H67">
        <v>64.125626230759607</v>
      </c>
      <c r="I67">
        <v>86.397385029106047</v>
      </c>
      <c r="J67">
        <v>87.453771303988304</v>
      </c>
      <c r="K67">
        <v>0.71307555305012305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-4.2009004299999901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88.431032268245232</v>
      </c>
      <c r="C68">
        <v>84.379845249871309</v>
      </c>
      <c r="D68">
        <v>97.46249226780219</v>
      </c>
      <c r="E68">
        <v>85.139203874441137</v>
      </c>
      <c r="F68">
        <v>89.45389135155385</v>
      </c>
      <c r="G68">
        <v>89.559481392493595</v>
      </c>
      <c r="H68">
        <v>66.656144636232639</v>
      </c>
      <c r="I68">
        <v>87.699421346237145</v>
      </c>
      <c r="J68">
        <v>88.514131249682805</v>
      </c>
      <c r="K68">
        <v>0.728539457407268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-3.91803285429474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89.149935018703289</v>
      </c>
      <c r="C69">
        <v>85.197668839307667</v>
      </c>
      <c r="D69">
        <v>97.794868441832577</v>
      </c>
      <c r="E69">
        <v>85.883704362272042</v>
      </c>
      <c r="F69">
        <v>90.264506451775162</v>
      </c>
      <c r="G69">
        <v>90.181242681699359</v>
      </c>
      <c r="H69">
        <v>67.322785289076705</v>
      </c>
      <c r="I69">
        <v>88.993369667785544</v>
      </c>
      <c r="J69">
        <v>89.209090144507499</v>
      </c>
      <c r="K69">
        <v>0.73945108477349097</v>
      </c>
      <c r="L69">
        <v>79.899689230769198</v>
      </c>
      <c r="M69" s="15">
        <f>+'[3]VAR expectations'!C93</f>
        <v>2.6505886564059562</v>
      </c>
      <c r="N69">
        <v>0.58031803605650401</v>
      </c>
      <c r="O69">
        <v>0.158164675972188</v>
      </c>
      <c r="P69">
        <v>-3.1729462029534301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89.638294662151836</v>
      </c>
      <c r="C70">
        <v>85.933661729060432</v>
      </c>
      <c r="D70">
        <v>97.975058658105169</v>
      </c>
      <c r="E70">
        <v>86.951847384224607</v>
      </c>
      <c r="F70">
        <v>91.446251440143371</v>
      </c>
      <c r="G70">
        <v>90.863416368522294</v>
      </c>
      <c r="H70">
        <v>68.001566753340768</v>
      </c>
      <c r="I70">
        <v>88.087495851889742</v>
      </c>
      <c r="J70">
        <v>89.597687957703698</v>
      </c>
      <c r="K70">
        <v>0.73612846250786801</v>
      </c>
      <c r="L70">
        <v>81.7654454545455</v>
      </c>
      <c r="M70" s="15">
        <f>+'[3]VAR expectations'!C94</f>
        <v>2.8352346264846378</v>
      </c>
      <c r="N70">
        <v>0.26076684740058198</v>
      </c>
      <c r="O70">
        <v>-0.12701395323713599</v>
      </c>
      <c r="P70">
        <v>-2.7313100162213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90.489806198164899</v>
      </c>
      <c r="C71">
        <v>86.591552178397293</v>
      </c>
      <c r="D71">
        <v>98.369291496343365</v>
      </c>
      <c r="E71">
        <v>88.591675452149616</v>
      </c>
      <c r="F71">
        <v>93.134609618522703</v>
      </c>
      <c r="G71">
        <v>92.782142315164435</v>
      </c>
      <c r="H71">
        <v>69.334173531446638</v>
      </c>
      <c r="I71">
        <v>90.420106971342932</v>
      </c>
      <c r="J71">
        <v>90.410172068359202</v>
      </c>
      <c r="K71">
        <v>0.74894275805859101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-2.6327041433767802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92.02824605396313</v>
      </c>
      <c r="C72">
        <v>87.912966914844233</v>
      </c>
      <c r="D72">
        <v>99.170306776375241</v>
      </c>
      <c r="E72">
        <v>90.012389626736933</v>
      </c>
      <c r="F72">
        <v>94.438460111077333</v>
      </c>
      <c r="G72">
        <v>93.157843909417466</v>
      </c>
      <c r="H72">
        <v>71.802037177675743</v>
      </c>
      <c r="I72">
        <v>95.633457378608043</v>
      </c>
      <c r="J72">
        <v>92.119743880239795</v>
      </c>
      <c r="K72">
        <v>0.76795644437294597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-2.6640610417010699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93.071536898593806</v>
      </c>
      <c r="C73">
        <v>89.053939181963997</v>
      </c>
      <c r="D73">
        <v>99.269248959846834</v>
      </c>
      <c r="E73">
        <v>91.677960018960505</v>
      </c>
      <c r="F73">
        <v>95.451422356001146</v>
      </c>
      <c r="G73">
        <v>96.631616425311634</v>
      </c>
      <c r="H73">
        <v>74.990931607172911</v>
      </c>
      <c r="I73">
        <v>98.193886793916533</v>
      </c>
      <c r="J73">
        <v>93.115143268170698</v>
      </c>
      <c r="K73">
        <v>0.78601194951893705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-3.6923297145002301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93.884444081178344</v>
      </c>
      <c r="C74">
        <v>89.712906163224133</v>
      </c>
      <c r="D74">
        <v>99.557418187242732</v>
      </c>
      <c r="E74">
        <v>93.237252882567262</v>
      </c>
      <c r="F74">
        <v>97.154980337889739</v>
      </c>
      <c r="G74">
        <v>97.11780601578289</v>
      </c>
      <c r="H74">
        <v>76.509668934547435</v>
      </c>
      <c r="I74">
        <v>100.16048333127701</v>
      </c>
      <c r="J74">
        <v>93.838221339388795</v>
      </c>
      <c r="K74">
        <v>0.79767405379552203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-3.81142395832528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94.6727009319481</v>
      </c>
      <c r="C75">
        <v>90.273253088851263</v>
      </c>
      <c r="D75">
        <v>99.989179296447105</v>
      </c>
      <c r="E75">
        <v>93.532442044978325</v>
      </c>
      <c r="F75">
        <v>97.130998778213794</v>
      </c>
      <c r="G75">
        <v>97.517107772683957</v>
      </c>
      <c r="H75">
        <v>77.876686036824239</v>
      </c>
      <c r="I75">
        <v>104.67347736515599</v>
      </c>
      <c r="J75">
        <v>94.600494535747401</v>
      </c>
      <c r="K75">
        <v>0.79097785093980599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-3.7266611446887898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95.220828745496974</v>
      </c>
      <c r="C76">
        <v>90.990467385561956</v>
      </c>
      <c r="D76">
        <v>100.26857540388433</v>
      </c>
      <c r="E76">
        <v>94.339793994535341</v>
      </c>
      <c r="F76">
        <v>98.059611027510073</v>
      </c>
      <c r="G76">
        <v>98.455273646309593</v>
      </c>
      <c r="H76">
        <v>78.297775817379133</v>
      </c>
      <c r="I76">
        <v>104.58852196037033</v>
      </c>
      <c r="J76">
        <v>95.296588584850198</v>
      </c>
      <c r="K76">
        <v>0.78450970750098603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-3.43604987786764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95.661801277831955</v>
      </c>
      <c r="C77">
        <v>91.874670704990749</v>
      </c>
      <c r="D77">
        <v>99.992916933416112</v>
      </c>
      <c r="E77">
        <v>95.203019022007936</v>
      </c>
      <c r="F77">
        <v>98.600125370224703</v>
      </c>
      <c r="G77">
        <v>98.34507234573924</v>
      </c>
      <c r="H77">
        <v>80.92878139979743</v>
      </c>
      <c r="I77">
        <v>104.384493800367</v>
      </c>
      <c r="J77">
        <v>95.693218095087701</v>
      </c>
      <c r="K77">
        <v>0.77647425286413296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-4.3636593431138501E-2</v>
      </c>
      <c r="P77">
        <v>-2.9944306599945998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96.159756769893704</v>
      </c>
      <c r="C78">
        <v>92.663276323686077</v>
      </c>
      <c r="D78">
        <v>100.069408256047</v>
      </c>
      <c r="E78">
        <v>96.119998855189422</v>
      </c>
      <c r="F78">
        <v>99.22605869756228</v>
      </c>
      <c r="G78">
        <v>98.889203286174165</v>
      </c>
      <c r="H78">
        <v>82.976582770271534</v>
      </c>
      <c r="I78">
        <v>103.683927475009</v>
      </c>
      <c r="J78">
        <v>96.1327627972681</v>
      </c>
      <c r="K78">
        <v>0.77372804471122703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-2.5407859870409402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97.162654468746666</v>
      </c>
      <c r="C79">
        <v>93.826510695102613</v>
      </c>
      <c r="D79">
        <v>100.415991400739</v>
      </c>
      <c r="E79">
        <v>97.5772215865411</v>
      </c>
      <c r="F79">
        <v>100.72039926818566</v>
      </c>
      <c r="G79">
        <v>99.479473969286872</v>
      </c>
      <c r="H79">
        <v>84.635244062621027</v>
      </c>
      <c r="I79">
        <v>105.58559449259768</v>
      </c>
      <c r="J79">
        <v>97.111011075226003</v>
      </c>
      <c r="K79">
        <v>0.77591266488393695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-2.5761558467830801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97.878204481397901</v>
      </c>
      <c r="C80">
        <v>94.497725653200987</v>
      </c>
      <c r="D80">
        <v>100.25492671851767</v>
      </c>
      <c r="E80">
        <v>98.933193911234653</v>
      </c>
      <c r="F80">
        <v>101.83121673228435</v>
      </c>
      <c r="G80">
        <v>101.77750061194799</v>
      </c>
      <c r="H80">
        <v>85.719779128804262</v>
      </c>
      <c r="I80">
        <v>108.31131356908401</v>
      </c>
      <c r="J80">
        <v>97.925465207659698</v>
      </c>
      <c r="K80">
        <v>0.79327096477283698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-2.84268403872677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98.251378925926929</v>
      </c>
      <c r="C81">
        <v>95.046484387386172</v>
      </c>
      <c r="D81">
        <v>100.27978172929467</v>
      </c>
      <c r="E81">
        <v>99.859678297969594</v>
      </c>
      <c r="F81">
        <v>102.75499029511501</v>
      </c>
      <c r="G81">
        <v>101.83655181689032</v>
      </c>
      <c r="H81">
        <v>87.210873269060428</v>
      </c>
      <c r="I81">
        <v>107.831983026077</v>
      </c>
      <c r="J81">
        <v>98.2727110183192</v>
      </c>
      <c r="K81">
        <v>0.78607646491260896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-2.8338661798490601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98.752853457019512</v>
      </c>
      <c r="C82">
        <v>95.572856430933726</v>
      </c>
      <c r="D82">
        <v>100.44628814852767</v>
      </c>
      <c r="E82">
        <v>100.641492200019</v>
      </c>
      <c r="F82">
        <v>103.29671639557834</v>
      </c>
      <c r="G82">
        <v>102.71401968140633</v>
      </c>
      <c r="H82">
        <v>88.583068150341617</v>
      </c>
      <c r="I82">
        <v>108.30883063639135</v>
      </c>
      <c r="J82">
        <v>98.742097312001903</v>
      </c>
      <c r="K82">
        <v>0.78686274407179801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-1.97346611858113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99.166457462554206</v>
      </c>
      <c r="C83">
        <v>96.228054808633871</v>
      </c>
      <c r="D83">
        <v>100.78377286485333</v>
      </c>
      <c r="E83">
        <v>101.17450977274332</v>
      </c>
      <c r="F83">
        <v>103.58092550464801</v>
      </c>
      <c r="G83">
        <v>102.56862835831733</v>
      </c>
      <c r="H83">
        <v>90.447364077420318</v>
      </c>
      <c r="I83">
        <v>107.92759386375833</v>
      </c>
      <c r="J83">
        <v>99.137340599534696</v>
      </c>
      <c r="K83">
        <v>0.77147591000258298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-2.1940236505857098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99.615964537207859</v>
      </c>
      <c r="C84">
        <v>96.761848857996725</v>
      </c>
      <c r="D84">
        <v>100.74134551379568</v>
      </c>
      <c r="E84">
        <v>101.51265794570232</v>
      </c>
      <c r="F84">
        <v>103.69939133414134</v>
      </c>
      <c r="G84">
        <v>102.60361642969001</v>
      </c>
      <c r="H84">
        <v>91.9712824682601</v>
      </c>
      <c r="I84">
        <v>109.70575363564667</v>
      </c>
      <c r="J84">
        <v>99.631492622251002</v>
      </c>
      <c r="K84">
        <v>0.76471064327003702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-1.8830944115350801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99.965838422191538</v>
      </c>
      <c r="C85">
        <v>97.447276666240441</v>
      </c>
      <c r="D85">
        <v>101.19548186557866</v>
      </c>
      <c r="E85">
        <v>101.102665276259</v>
      </c>
      <c r="F85">
        <v>102.71209104010101</v>
      </c>
      <c r="G85">
        <v>102.60719291271933</v>
      </c>
      <c r="H85">
        <v>93.613847670388097</v>
      </c>
      <c r="I85">
        <v>108.99807641288633</v>
      </c>
      <c r="J85">
        <v>99.9771137860522</v>
      </c>
      <c r="K85">
        <v>0.75652355931874804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-1.38025236592544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100.15678170726532</v>
      </c>
      <c r="C86">
        <v>97.959434798588632</v>
      </c>
      <c r="D86">
        <v>101.00928901271732</v>
      </c>
      <c r="E86">
        <v>101.19989857203534</v>
      </c>
      <c r="F86">
        <v>102.32972693616</v>
      </c>
      <c r="G86">
        <v>102.08056667644234</v>
      </c>
      <c r="H86">
        <v>95.727369496452937</v>
      </c>
      <c r="I86">
        <v>108.44566256448233</v>
      </c>
      <c r="J86">
        <v>100.163068165933</v>
      </c>
      <c r="K86">
        <v>0.74702570375291799</v>
      </c>
      <c r="L86">
        <v>88.037404545454507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-1.33717344783272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100.07191136988335</v>
      </c>
      <c r="C87">
        <v>98.54337811742046</v>
      </c>
      <c r="D87">
        <v>100.498681025145</v>
      </c>
      <c r="E87">
        <v>101.34943550393366</v>
      </c>
      <c r="F87">
        <v>101.90279630173301</v>
      </c>
      <c r="G87">
        <v>102.87873511803532</v>
      </c>
      <c r="H87">
        <v>97.585265826562008</v>
      </c>
      <c r="I87">
        <v>105.70823374178599</v>
      </c>
      <c r="J87">
        <v>100.062442025895</v>
      </c>
      <c r="K87">
        <v>0.74100676314344904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-1.2503114353106499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99.755615683129236</v>
      </c>
      <c r="C88">
        <v>99.111169286757033</v>
      </c>
      <c r="D88">
        <v>100.21653773120227</v>
      </c>
      <c r="E88">
        <v>100.36852224759832</v>
      </c>
      <c r="F88">
        <v>100.68626711265233</v>
      </c>
      <c r="G88">
        <v>100.86576261134466</v>
      </c>
      <c r="H88">
        <v>98.714826277047266</v>
      </c>
      <c r="I88">
        <v>100.83026942296935</v>
      </c>
      <c r="J88">
        <v>99.740811975889002</v>
      </c>
      <c r="K88">
        <v>0.72147671960187199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-1.3044302728727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99.962647017900565</v>
      </c>
      <c r="C89">
        <v>99.576113965413512</v>
      </c>
      <c r="D89">
        <v>100.00496689491138</v>
      </c>
      <c r="E89">
        <v>100.17215856692302</v>
      </c>
      <c r="F89">
        <v>100.35609592352132</v>
      </c>
      <c r="G89">
        <v>100.54315576837332</v>
      </c>
      <c r="H89">
        <v>99.287762177287902</v>
      </c>
      <c r="I89">
        <v>101.88114711130034</v>
      </c>
      <c r="J89">
        <v>99.974053643315301</v>
      </c>
      <c r="K89">
        <v>0.715433691316956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-1.4665684435573401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100.13003135229167</v>
      </c>
      <c r="C90">
        <v>100.26233491156667</v>
      </c>
      <c r="D90">
        <v>100.00262316374612</v>
      </c>
      <c r="E90">
        <v>99.895466260862335</v>
      </c>
      <c r="F90">
        <v>99.795522345985304</v>
      </c>
      <c r="G90">
        <v>99.805096361895963</v>
      </c>
      <c r="H90">
        <v>100.32525447663666</v>
      </c>
      <c r="I90">
        <v>99.959848551694208</v>
      </c>
      <c r="J90">
        <v>100.140773160721</v>
      </c>
      <c r="K90">
        <v>0.70953585910489703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-1.27441760495495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100.1317816692</v>
      </c>
      <c r="C91">
        <v>101.03820034840267</v>
      </c>
      <c r="D91">
        <v>99.774859774863501</v>
      </c>
      <c r="E91">
        <v>99.559079480998506</v>
      </c>
      <c r="F91">
        <v>99.150954653703295</v>
      </c>
      <c r="G91">
        <v>98.666279811121228</v>
      </c>
      <c r="H91">
        <v>101.75454065928267</v>
      </c>
      <c r="I91">
        <v>97.168034565990411</v>
      </c>
      <c r="J91">
        <v>100.144361220075</v>
      </c>
      <c r="K91">
        <v>0.69997826233493599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-0.81553028370272795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100.13342887747866</v>
      </c>
      <c r="C92">
        <v>101.63147260321766</v>
      </c>
      <c r="D92">
        <v>99.608967517156103</v>
      </c>
      <c r="E92">
        <v>98.872608471916507</v>
      </c>
      <c r="F92">
        <v>98.164761975490038</v>
      </c>
      <c r="G92">
        <v>97.541854146092007</v>
      </c>
      <c r="H92">
        <v>102.86848142444266</v>
      </c>
      <c r="I92">
        <v>95.366261052765125</v>
      </c>
      <c r="J92">
        <v>100.093643345929</v>
      </c>
      <c r="K92">
        <v>0.71383426802272298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-0.67035725776747501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100.319555622729</v>
      </c>
      <c r="C93">
        <v>102.17154308908967</v>
      </c>
      <c r="D93">
        <v>99.215933104862998</v>
      </c>
      <c r="E93">
        <v>98.484670694175634</v>
      </c>
      <c r="F93">
        <v>97.580448172284434</v>
      </c>
      <c r="G93">
        <v>96.319967491463544</v>
      </c>
      <c r="H93">
        <v>104.016164646934</v>
      </c>
      <c r="I93">
        <v>96.841028537703735</v>
      </c>
      <c r="J93">
        <v>100.330839059962</v>
      </c>
      <c r="K93">
        <v>0.72842619652318097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-0.95073799251133695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100.82484808941099</v>
      </c>
      <c r="C94">
        <v>102.97916903554534</v>
      </c>
      <c r="D94">
        <v>99.17232523735224</v>
      </c>
      <c r="E94">
        <v>98.706545515302324</v>
      </c>
      <c r="F94">
        <v>97.440024149052988</v>
      </c>
      <c r="G94">
        <v>96.302027918293234</v>
      </c>
      <c r="H94">
        <v>105.93384690882833</v>
      </c>
      <c r="I94">
        <v>97.788705444346363</v>
      </c>
      <c r="J94">
        <v>100.84268464754599</v>
      </c>
      <c r="K94">
        <v>0.75866006641232298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-0.74051985533749398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101.35183432426133</v>
      </c>
      <c r="C95">
        <v>103.43250285829301</v>
      </c>
      <c r="D95">
        <v>99.731809106335888</v>
      </c>
      <c r="E95">
        <v>98.873216786380752</v>
      </c>
      <c r="F95">
        <v>97.339757411822575</v>
      </c>
      <c r="G95">
        <v>97.007874988873368</v>
      </c>
      <c r="H95">
        <v>106.76419617739499</v>
      </c>
      <c r="I95">
        <v>100.0150184484706</v>
      </c>
      <c r="J95">
        <v>101.377019063332</v>
      </c>
      <c r="K95">
        <v>0.77919341507458195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-0.676689377482381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102.290518727993</v>
      </c>
      <c r="C96">
        <v>104.16653304535701</v>
      </c>
      <c r="D96">
        <v>100.32440273887318</v>
      </c>
      <c r="E96">
        <v>100.01675362741766</v>
      </c>
      <c r="F96">
        <v>98.469711539362308</v>
      </c>
      <c r="G96">
        <v>97.88859182688833</v>
      </c>
      <c r="H96">
        <v>108.38763432746333</v>
      </c>
      <c r="I96">
        <v>103.55833015580299</v>
      </c>
      <c r="J96">
        <v>102.233183235505</v>
      </c>
      <c r="K96">
        <v>0.789525546407159</v>
      </c>
      <c r="L96">
        <v>77.053801538461499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-0.56408585572950698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103.07827827572267</v>
      </c>
      <c r="C97">
        <v>105.06129101105932</v>
      </c>
      <c r="D97">
        <v>101.16633940419666</v>
      </c>
      <c r="E97">
        <v>101.23246973695102</v>
      </c>
      <c r="F97">
        <v>99.491862058806063</v>
      </c>
      <c r="G97">
        <v>99.075383671996235</v>
      </c>
      <c r="H97">
        <v>110.41337307096565</v>
      </c>
      <c r="I97">
        <v>102.38023161990867</v>
      </c>
      <c r="J97">
        <v>103.090140653756</v>
      </c>
      <c r="K97">
        <v>0.78588949111338002</v>
      </c>
      <c r="L97">
        <v>77.968176923076896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-0.63670267301125405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103.64324252233634</v>
      </c>
      <c r="C98">
        <v>105.711630059233</v>
      </c>
      <c r="D98">
        <v>101.61591375074134</v>
      </c>
      <c r="E98">
        <v>101.81631876440734</v>
      </c>
      <c r="F98">
        <v>99.909931908048634</v>
      </c>
      <c r="G98">
        <v>99.604172872883012</v>
      </c>
      <c r="H98">
        <v>111.81824187434599</v>
      </c>
      <c r="I98">
        <v>102.469705096124</v>
      </c>
      <c r="J98">
        <v>103.670467205088</v>
      </c>
      <c r="K98">
        <v>0.79269202055480104</v>
      </c>
      <c r="L98">
        <v>76.548027692307699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-0.80477611329582199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104.42521640203167</v>
      </c>
      <c r="C99">
        <v>106.23665903801134</v>
      </c>
      <c r="D99">
        <v>102.24487250343968</v>
      </c>
      <c r="E99">
        <v>103.08142450959666</v>
      </c>
      <c r="F99">
        <v>101.25755006653166</v>
      </c>
      <c r="G99">
        <v>99.7536215256644</v>
      </c>
      <c r="H99">
        <v>113.512849815607</v>
      </c>
      <c r="I99">
        <v>105.16827480578966</v>
      </c>
      <c r="J99">
        <v>104.454994047208</v>
      </c>
      <c r="K99">
        <v>0.799093183197087</v>
      </c>
      <c r="L99">
        <v>77.708216923076904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-0.829640822117796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105.077846005436</v>
      </c>
      <c r="C100">
        <v>106.84496633308368</v>
      </c>
      <c r="D100">
        <v>102.60469194024067</v>
      </c>
      <c r="E100">
        <v>103.73834441602732</v>
      </c>
      <c r="F100">
        <v>101.67658151548966</v>
      </c>
      <c r="G100">
        <v>99.916971583595696</v>
      </c>
      <c r="H100">
        <v>116.017610723419</v>
      </c>
      <c r="I100">
        <v>107.58477819033332</v>
      </c>
      <c r="J100">
        <v>104.997337020445</v>
      </c>
      <c r="K100">
        <v>0.807255032696516</v>
      </c>
      <c r="L100">
        <v>79.033741538461499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-0.90415499522504195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105.56480843066633</v>
      </c>
      <c r="C101">
        <v>107.41292288040933</v>
      </c>
      <c r="D101">
        <v>102.91254167323332</v>
      </c>
      <c r="E101">
        <v>104.06346341336234</v>
      </c>
      <c r="F101">
        <v>101.77003659525701</v>
      </c>
      <c r="G101">
        <v>99.718502613838282</v>
      </c>
      <c r="H101">
        <v>118.05904603073067</v>
      </c>
      <c r="I101">
        <v>108.64071300813498</v>
      </c>
      <c r="J101">
        <v>105.598978766721</v>
      </c>
      <c r="K101">
        <v>0.810248468777227</v>
      </c>
      <c r="L101">
        <v>79.101027692307696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-0.74815136343608601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106.24158005760835</v>
      </c>
      <c r="C102">
        <v>108.25629554166333</v>
      </c>
      <c r="D102">
        <v>102.84908578025301</v>
      </c>
      <c r="E102">
        <v>104.47134353365168</v>
      </c>
      <c r="F102">
        <v>101.96884426092701</v>
      </c>
      <c r="G102">
        <v>99.982195959258704</v>
      </c>
      <c r="H102">
        <v>119.75393463903133</v>
      </c>
      <c r="I102">
        <v>111.79973818691967</v>
      </c>
      <c r="J102">
        <v>106.266326250871</v>
      </c>
      <c r="K102">
        <v>0.819838980351559</v>
      </c>
      <c r="L102">
        <v>77.813970769230806</v>
      </c>
      <c r="M102" s="15">
        <f>+'[3]VAR expectations'!C126</f>
        <v>2.6759360893479318</v>
      </c>
      <c r="N102">
        <v>0.59026787322204399</v>
      </c>
      <c r="O102">
        <v>0.21968415645398701</v>
      </c>
      <c r="P102">
        <v>-0.56415083161494595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106.79860913145467</v>
      </c>
      <c r="C103">
        <v>108.862826865581</v>
      </c>
      <c r="D103">
        <v>103.19272930243899</v>
      </c>
      <c r="E103">
        <v>104.96947026101701</v>
      </c>
      <c r="F103">
        <v>101.96384434091333</v>
      </c>
      <c r="G103">
        <v>100.26373602783235</v>
      </c>
      <c r="H103">
        <v>122.71704373086733</v>
      </c>
      <c r="I103">
        <v>113.99587034360701</v>
      </c>
      <c r="J103">
        <v>106.824825767671</v>
      </c>
      <c r="K103">
        <v>0.81626033633022899</v>
      </c>
      <c r="L103">
        <v>77.843365151515201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-0.54654012964452603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107.06958848637667</v>
      </c>
      <c r="C104">
        <v>109.50570307844266</v>
      </c>
      <c r="D104">
        <v>103.54859881080199</v>
      </c>
      <c r="E104">
        <v>105.87964131828566</v>
      </c>
      <c r="F104">
        <v>102.66311938971167</v>
      </c>
      <c r="G104">
        <v>100.89602597637766</v>
      </c>
      <c r="H104">
        <v>125.21583772173534</v>
      </c>
      <c r="I104">
        <v>109.33967836828465</v>
      </c>
      <c r="J104">
        <v>106.963896739679</v>
      </c>
      <c r="K104">
        <v>0.81075741498863596</v>
      </c>
      <c r="L104">
        <v>78.730029687499993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-0.12867681351254501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107.70000430770101</v>
      </c>
      <c r="C105">
        <v>110.24900212559366</v>
      </c>
      <c r="D105">
        <v>103.31735228652333</v>
      </c>
      <c r="E105">
        <v>105.96040834728001</v>
      </c>
      <c r="F105">
        <v>102.90071615682166</v>
      </c>
      <c r="G105">
        <v>100.38808667630633</v>
      </c>
      <c r="H105">
        <v>125.29198852726033</v>
      </c>
      <c r="I105">
        <v>115.22169402884431</v>
      </c>
      <c r="J105">
        <v>107.776680485764</v>
      </c>
      <c r="K105">
        <v>0.81988327993753196</v>
      </c>
      <c r="L105">
        <v>78.457547692307699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-0.56622414682537503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108.19164907608099</v>
      </c>
      <c r="C106">
        <v>110.88231212280466</v>
      </c>
      <c r="D106">
        <v>103.48775972034366</v>
      </c>
      <c r="E106">
        <v>106.69292539414168</v>
      </c>
      <c r="F106">
        <v>103.62366182600567</v>
      </c>
      <c r="G106">
        <v>100.93175561751599</v>
      </c>
      <c r="H106">
        <v>126.25038139572767</v>
      </c>
      <c r="I106">
        <v>114.98628032860167</v>
      </c>
      <c r="J106">
        <v>108.203391127947</v>
      </c>
      <c r="K106">
        <v>0.83367765179866604</v>
      </c>
      <c r="L106">
        <v>75.795746969697007</v>
      </c>
      <c r="M106" s="15">
        <f>+'[3]VAR expectations'!C130</f>
        <v>2.9781745842670815</v>
      </c>
      <c r="N106">
        <v>0.17462163035891601</v>
      </c>
      <c r="O106">
        <v>-8.21163442679727E-3</v>
      </c>
      <c r="P106">
        <v>-0.44810462336694201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108.30576619721334</v>
      </c>
      <c r="C107">
        <v>111.42878642055899</v>
      </c>
      <c r="D107">
        <v>103.65128042190399</v>
      </c>
      <c r="E107">
        <v>106.92870554042032</v>
      </c>
      <c r="F107">
        <v>103.70544253303534</v>
      </c>
      <c r="G107">
        <v>101.56147979785733</v>
      </c>
      <c r="H107">
        <v>126.30660649549867</v>
      </c>
      <c r="I107">
        <v>112.086977344422</v>
      </c>
      <c r="J107">
        <v>108.32257722460101</v>
      </c>
      <c r="K107">
        <v>0.815799757201631</v>
      </c>
      <c r="L107">
        <v>79.403969696969696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-0.54907363549229404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108.90398628508068</v>
      </c>
      <c r="C108">
        <v>112.21110285993332</v>
      </c>
      <c r="D108">
        <v>103.99016569047666</v>
      </c>
      <c r="E108">
        <v>107.271735297662</v>
      </c>
      <c r="F108">
        <v>104.05207247434167</v>
      </c>
      <c r="G108">
        <v>101.87113182389633</v>
      </c>
      <c r="H108">
        <v>126.67836415119034</v>
      </c>
      <c r="I108">
        <v>112.87685234432433</v>
      </c>
      <c r="J108">
        <v>108.767677913699</v>
      </c>
      <c r="K108">
        <v>0.81036439784284897</v>
      </c>
      <c r="L108">
        <v>79.231538461538506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-0.62569185220107304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108.301790635418</v>
      </c>
      <c r="C109">
        <v>112.32371886229299</v>
      </c>
      <c r="D109">
        <v>103.80544362076132</v>
      </c>
      <c r="E109">
        <v>107.74433349710434</v>
      </c>
      <c r="F109">
        <v>104.34189432391234</v>
      </c>
      <c r="G109">
        <v>102.437056680162</v>
      </c>
      <c r="H109">
        <v>128.62051817366267</v>
      </c>
      <c r="I109">
        <v>102.45524590548867</v>
      </c>
      <c r="J109">
        <v>108.441367407364</v>
      </c>
      <c r="K109">
        <v>0.79942922481137701</v>
      </c>
      <c r="L109">
        <v>77.416984615384607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-2.7964202478446398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108.84924508148134</v>
      </c>
      <c r="C110">
        <v>112.44635265998932</v>
      </c>
      <c r="D110">
        <v>104.625604005772</v>
      </c>
      <c r="E110">
        <v>107.636656846637</v>
      </c>
      <c r="F110">
        <v>103.96072037845333</v>
      </c>
      <c r="G110">
        <v>101.79779574676733</v>
      </c>
      <c r="H110">
        <v>130.62340786025734</v>
      </c>
      <c r="I110">
        <v>105.1364439634</v>
      </c>
      <c r="J110">
        <v>108.83100365249</v>
      </c>
      <c r="K110">
        <v>0.79831566710352497</v>
      </c>
      <c r="L110">
        <v>77.453536363636402</v>
      </c>
      <c r="M110" s="15">
        <f>+'[3]VAR expectations'!C134</f>
        <v>3.1319434989789481</v>
      </c>
      <c r="N110">
        <v>-0.57563884899936701</v>
      </c>
      <c r="O110">
        <v>0.118900887754049</v>
      </c>
      <c r="P110">
        <v>-1.96778451829028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108.88911340730699</v>
      </c>
      <c r="C111">
        <v>113.01417776038967</v>
      </c>
      <c r="D111">
        <v>104.888940081032</v>
      </c>
      <c r="E111">
        <v>107.317344564968</v>
      </c>
      <c r="F111">
        <v>103.201601086563</v>
      </c>
      <c r="G111">
        <v>101.93186914991566</v>
      </c>
      <c r="H111">
        <v>131.90562363761168</v>
      </c>
      <c r="I111">
        <v>102.02448459506799</v>
      </c>
      <c r="J111">
        <v>108.887168632395</v>
      </c>
      <c r="K111">
        <v>0.80778746622391695</v>
      </c>
      <c r="L111">
        <v>77.966816666666702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-1.6894379899480401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109.61796063328568</v>
      </c>
      <c r="C112">
        <v>114.03239286884799</v>
      </c>
      <c r="D112">
        <v>104.75255671883099</v>
      </c>
      <c r="E112">
        <v>107.47374279945866</v>
      </c>
      <c r="F112">
        <v>103.16739971737034</v>
      </c>
      <c r="G112">
        <v>102.20307259283834</v>
      </c>
      <c r="H112">
        <v>133.15350916674402</v>
      </c>
      <c r="I112">
        <v>106.32962065952199</v>
      </c>
      <c r="J112">
        <v>109.498934257554</v>
      </c>
      <c r="K112">
        <v>0.80252061125680996</v>
      </c>
      <c r="L112">
        <v>80.482731250000001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-0.91179431812897105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110.44851012983065</v>
      </c>
      <c r="C113">
        <v>114.37227965862765</v>
      </c>
      <c r="D113">
        <v>105.85295634546667</v>
      </c>
      <c r="E113">
        <v>107.76845082932333</v>
      </c>
      <c r="F113">
        <v>103.530987905538</v>
      </c>
      <c r="G113">
        <v>103.31040393850533</v>
      </c>
      <c r="H113">
        <v>132.46969270543966</v>
      </c>
      <c r="I113">
        <v>111.40114235364933</v>
      </c>
      <c r="J113">
        <v>110.616282792888</v>
      </c>
      <c r="K113">
        <v>0.814089043773909</v>
      </c>
      <c r="L113">
        <v>81.786427692307697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0.12673076908549399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111.87946918104767</v>
      </c>
      <c r="C114">
        <v>115.14370359684666</v>
      </c>
      <c r="D114">
        <v>107.74991719574901</v>
      </c>
      <c r="E114">
        <v>108.420493987488</v>
      </c>
      <c r="F114">
        <v>104.09212775296567</v>
      </c>
      <c r="G114">
        <v>103.40543308146066</v>
      </c>
      <c r="H114">
        <v>134.14668689408666</v>
      </c>
      <c r="I114">
        <v>115.56425906920067</v>
      </c>
      <c r="J114">
        <v>111.824984889191</v>
      </c>
      <c r="K114">
        <v>0.83581527254149302</v>
      </c>
      <c r="L114">
        <v>81.769348484848507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0.25723020119906398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114.255897790318</v>
      </c>
      <c r="C115">
        <v>116.75092644775701</v>
      </c>
      <c r="D115">
        <v>109.677950012824</v>
      </c>
      <c r="E115">
        <v>110.41250135953334</v>
      </c>
      <c r="F115">
        <v>105.93284413756832</v>
      </c>
      <c r="G115">
        <v>104.10459345687133</v>
      </c>
      <c r="H115">
        <v>138.26107051009203</v>
      </c>
      <c r="I115">
        <v>126.76412065696967</v>
      </c>
      <c r="J115">
        <v>114.234041636553</v>
      </c>
      <c r="K115">
        <v>0.88972454293969705</v>
      </c>
      <c r="L115">
        <v>81.601331818181805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0.77392107329598503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116.48025783356866</v>
      </c>
      <c r="C116">
        <v>118.21240123264965</v>
      </c>
      <c r="D116">
        <v>112.13225920864066</v>
      </c>
      <c r="E116">
        <v>112.61675070449267</v>
      </c>
      <c r="F116">
        <v>108.47090431999966</v>
      </c>
      <c r="G116">
        <v>104.06083813492234</v>
      </c>
      <c r="H116">
        <v>141.17273823718401</v>
      </c>
      <c r="I116">
        <v>131.91832742468469</v>
      </c>
      <c r="J116">
        <v>116.39488992392501</v>
      </c>
      <c r="K116">
        <v>0.91704289667698202</v>
      </c>
      <c r="L116">
        <v>82.320465624997198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1.8408776337000201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120.48473047641568</v>
      </c>
      <c r="C117">
        <v>119.95591055732599</v>
      </c>
      <c r="D117">
        <v>113.42101389144</v>
      </c>
      <c r="E117">
        <v>115.55347894317134</v>
      </c>
      <c r="F117">
        <v>112.140050490505</v>
      </c>
      <c r="G117">
        <v>104.77578370813734</v>
      </c>
      <c r="H117">
        <v>143.01237430620765</v>
      </c>
      <c r="I117">
        <v>171.27011845792268</v>
      </c>
      <c r="J117">
        <v>120.681451285687</v>
      </c>
      <c r="K117">
        <v>0.97798349717312705</v>
      </c>
      <c r="L117">
        <v>80.190636866096895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1.88338934084884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123.10905205906433</v>
      </c>
      <c r="C118">
        <v>121.92933643795101</v>
      </c>
      <c r="D118">
        <v>114.97442438242933</v>
      </c>
      <c r="E118">
        <v>120.36649814867432</v>
      </c>
      <c r="F118">
        <v>118.02173077243968</v>
      </c>
      <c r="G118">
        <v>106.39571266238833</v>
      </c>
      <c r="H118">
        <v>145.166498054436</v>
      </c>
      <c r="I118">
        <v>177.96147538586169</v>
      </c>
      <c r="J118">
        <v>123.002359230427</v>
      </c>
      <c r="K118">
        <v>1.0191250785446899</v>
      </c>
      <c r="L118">
        <v>78.205745454544996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1.65702853123937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126.57563433628566</v>
      </c>
      <c r="C119">
        <v>124.31235855278301</v>
      </c>
      <c r="D119">
        <v>116.61156610683668</v>
      </c>
      <c r="E119">
        <v>124.66217657958232</v>
      </c>
      <c r="F119">
        <v>123.39651559605166</v>
      </c>
      <c r="G119">
        <v>107.96243508327099</v>
      </c>
      <c r="H119">
        <v>145.92637153225701</v>
      </c>
      <c r="I119">
        <v>197.49830099399867</v>
      </c>
      <c r="J119">
        <v>126.53789760431999</v>
      </c>
      <c r="K119">
        <v>1.0076086063713401</v>
      </c>
      <c r="L119">
        <v>78.079235384615401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1.4617154516787501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128.35630946318466</v>
      </c>
      <c r="C120">
        <v>125.89222650140665</v>
      </c>
      <c r="D120">
        <v>118.52880174843</v>
      </c>
      <c r="E120">
        <v>128.59930697645999</v>
      </c>
      <c r="F120">
        <v>128.00356775360703</v>
      </c>
      <c r="G120">
        <v>110.12893416868</v>
      </c>
      <c r="H120">
        <v>148.08937518784131</v>
      </c>
      <c r="I120">
        <v>192.58520654790934</v>
      </c>
      <c r="J120">
        <v>128.33346396455701</v>
      </c>
      <c r="K120">
        <v>1.0189055470944</v>
      </c>
      <c r="L120">
        <v>78.144530769230798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1.15487683092357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130.56362057478634</v>
      </c>
      <c r="C121">
        <v>128.46760303140766</v>
      </c>
      <c r="D121">
        <v>120.825555959366</v>
      </c>
      <c r="E121">
        <v>133.45553277456699</v>
      </c>
      <c r="F121">
        <v>132.52073809594134</v>
      </c>
      <c r="G121">
        <v>112.05832169408366</v>
      </c>
      <c r="H121">
        <v>159.00674356563766</v>
      </c>
      <c r="I121">
        <v>184.08677944463133</v>
      </c>
      <c r="J121">
        <v>130.75767472763101</v>
      </c>
      <c r="K121">
        <v>1.0008168053352999</v>
      </c>
      <c r="L121">
        <v>80.435667692307703</v>
      </c>
      <c r="M121" s="15">
        <f>+'[3]VAR expectations'!C145</f>
        <v>4.9659010810981856</v>
      </c>
      <c r="N121">
        <v>0.70170723997551099</v>
      </c>
      <c r="O121">
        <v>-0.231251350162267</v>
      </c>
      <c r="P121">
        <v>0.86764254780910499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131.38451063877565</v>
      </c>
      <c r="C122">
        <v>130.48342516780369</v>
      </c>
      <c r="D122">
        <v>121.02873227976632</v>
      </c>
      <c r="E122">
        <v>135.45978437212599</v>
      </c>
      <c r="F122">
        <v>133.926944388838</v>
      </c>
      <c r="G122">
        <v>115.83277757881599</v>
      </c>
      <c r="H122">
        <v>162.52787016498232</v>
      </c>
      <c r="I122">
        <v>172.095916032595</v>
      </c>
      <c r="J122">
        <v>131.230183938208</v>
      </c>
      <c r="K122">
        <v>0.98603497028103204</v>
      </c>
      <c r="L122">
        <v>82.183743076923093</v>
      </c>
      <c r="M122" s="15">
        <f>+'[3]VAR expectations'!C146</f>
        <v>4.3007323969777262</v>
      </c>
      <c r="N122">
        <v>-0.16340187781012599</v>
      </c>
      <c r="O122">
        <v>-0.673433352934243</v>
      </c>
      <c r="P122">
        <v>0.407138284058911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131.90650960080299</v>
      </c>
      <c r="C123">
        <v>132.30027736660034</v>
      </c>
      <c r="D123">
        <v>120.82667613224</v>
      </c>
      <c r="E123">
        <v>136.71727725249934</v>
      </c>
      <c r="F123">
        <v>134.646403108653</v>
      </c>
      <c r="G123">
        <v>118.03251042316965</v>
      </c>
      <c r="H123">
        <v>165.54920073410466</v>
      </c>
      <c r="I123">
        <v>164.50735233328632</v>
      </c>
      <c r="J123">
        <v>131.86009621969001</v>
      </c>
      <c r="K123">
        <v>0.99413068767971202</v>
      </c>
      <c r="L123">
        <v>81.170489230769206</v>
      </c>
      <c r="M123" s="15">
        <f>+'[3]VAR expectations'!C147</f>
        <v>3.8582721147576735</v>
      </c>
      <c r="N123">
        <v>-1.3678165112816401</v>
      </c>
      <c r="O123">
        <v>-0.21694556148073699</v>
      </c>
      <c r="P123">
        <v>-0.114114880345508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B124">
        <v>132.90172468981402</v>
      </c>
      <c r="C124">
        <v>133.81036734574766</v>
      </c>
      <c r="D124">
        <v>120.93550567232933</v>
      </c>
      <c r="E124">
        <v>137.62838532519666</v>
      </c>
      <c r="F124">
        <v>134.811163103669</v>
      </c>
      <c r="G124">
        <v>118.88944498167167</v>
      </c>
      <c r="H124">
        <v>171.73488491016499</v>
      </c>
      <c r="I124">
        <v>165.25477661375666</v>
      </c>
      <c r="J124">
        <v>132.94217233784099</v>
      </c>
      <c r="K124">
        <v>0.98504517419274895</v>
      </c>
      <c r="L124">
        <v>82.562649230769196</v>
      </c>
      <c r="M124" s="15">
        <f>+'[3]VAR expectations'!C148</f>
        <v>3.6255376960251078</v>
      </c>
      <c r="N124">
        <v>-1.0717785266822</v>
      </c>
      <c r="O124">
        <v>4.3541846025459997E-2</v>
      </c>
      <c r="P124">
        <v>-0.23701539838706101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B125">
        <v>133.25216622903133</v>
      </c>
      <c r="C125">
        <v>135.79336429602333</v>
      </c>
      <c r="D125">
        <v>120.94017332047834</v>
      </c>
      <c r="E125">
        <v>138.08305365242265</v>
      </c>
      <c r="F125">
        <v>135.19155799419102</v>
      </c>
      <c r="G125">
        <v>118.53128372103765</v>
      </c>
      <c r="H125">
        <v>174.554309764127</v>
      </c>
      <c r="I125">
        <v>154.67884717150767</v>
      </c>
      <c r="J125">
        <v>133.44109244885499</v>
      </c>
      <c r="K125">
        <v>0.99638931439056</v>
      </c>
      <c r="L125">
        <v>82.934533846153798</v>
      </c>
      <c r="M125" s="15">
        <f>+'[3]VAR expectations'!C149</f>
        <v>2.979353541970323</v>
      </c>
      <c r="N125">
        <v>-1.2261098957021399</v>
      </c>
      <c r="O125">
        <v>-0.40443614577732501</v>
      </c>
      <c r="P125">
        <v>-0.31796223911967098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B126">
        <v>134.072551588219</v>
      </c>
      <c r="C126">
        <v>137.24920343615034</v>
      </c>
      <c r="D126">
        <v>121.264183306936</v>
      </c>
      <c r="E126">
        <v>139.08598006990667</v>
      </c>
      <c r="F126">
        <v>135.99982210798967</v>
      </c>
      <c r="G126">
        <v>118.94311462521067</v>
      </c>
      <c r="H126">
        <v>177.86845921456302</v>
      </c>
      <c r="I126">
        <v>149.23243265972701</v>
      </c>
      <c r="J126">
        <v>133.88720614444199</v>
      </c>
      <c r="K126">
        <v>0.973566341141053</v>
      </c>
      <c r="L126">
        <v>84.298359090909102</v>
      </c>
      <c r="M126" s="15">
        <f>+'[3]VAR expectations'!C150</f>
        <v>2.9717312535901965</v>
      </c>
      <c r="N126">
        <v>-0.96369939332577004</v>
      </c>
      <c r="O126">
        <v>-0.39830475465660198</v>
      </c>
      <c r="P126">
        <v>-0.349106119079095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B127">
        <v>135.20758224976467</v>
      </c>
      <c r="C127">
        <v>138.67531727804331</v>
      </c>
      <c r="D127">
        <v>121.97189107256968</v>
      </c>
      <c r="E127">
        <v>140.73313678919433</v>
      </c>
      <c r="F127">
        <v>137.301487328805</v>
      </c>
      <c r="G127">
        <v>119.75990687606266</v>
      </c>
      <c r="H127">
        <v>182.74409960548334</v>
      </c>
      <c r="I127">
        <v>150.831558320206</v>
      </c>
      <c r="J127">
        <v>135.13943156925899</v>
      </c>
      <c r="K127">
        <v>0.97726903650528596</v>
      </c>
      <c r="L127">
        <v>84.617050000000006</v>
      </c>
      <c r="M127" s="15">
        <f>+'[3]VAR expectations'!C151</f>
        <v>3.468785277541127</v>
      </c>
      <c r="N127">
        <v>-0.58156090930256898</v>
      </c>
      <c r="O127">
        <v>0.16500605812762401</v>
      </c>
      <c r="P127">
        <v>-0.43079458490003097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B128">
        <v>136.60357797077501</v>
      </c>
      <c r="C128">
        <v>140.436942768899</v>
      </c>
      <c r="D128">
        <v>122.44192181519701</v>
      </c>
      <c r="E128">
        <v>142.775890564918</v>
      </c>
      <c r="F128">
        <v>139.15867883404667</v>
      </c>
      <c r="G128">
        <v>121.28104914337767</v>
      </c>
      <c r="H128">
        <v>187.035867639798</v>
      </c>
      <c r="I128">
        <v>152.80648730782534</v>
      </c>
      <c r="J128">
        <v>136.706154305236</v>
      </c>
      <c r="K128">
        <v>0.99874385829074097</v>
      </c>
      <c r="L128">
        <v>84.063576562500003</v>
      </c>
      <c r="M128" s="15">
        <f>+'[3]VAR expectations'!C152</f>
        <v>3.8021957884789486</v>
      </c>
      <c r="N128">
        <v>-0.518303217993346</v>
      </c>
      <c r="O128">
        <v>0.107917584062745</v>
      </c>
      <c r="P128">
        <v>-0.480791489330469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B129">
        <v>137.88678144426035</v>
      </c>
      <c r="C129">
        <v>142.44750707753099</v>
      </c>
      <c r="D129">
        <v>122.70647366300632</v>
      </c>
      <c r="E129">
        <v>144.38764551211401</v>
      </c>
      <c r="F129">
        <v>140.75492283134</v>
      </c>
      <c r="G129">
        <v>123.27491692180899</v>
      </c>
      <c r="H129">
        <v>188.38552439998398</v>
      </c>
      <c r="I129">
        <v>153.64518243507931</v>
      </c>
      <c r="J129">
        <v>138.061451879369</v>
      </c>
      <c r="K129">
        <v>0.99161202523815395</v>
      </c>
      <c r="L129">
        <v>85.433744615384597</v>
      </c>
      <c r="M129" s="15">
        <f>+'[3]VAR expectations'!C153</f>
        <v>4.011042611251681</v>
      </c>
      <c r="N129">
        <v>-8.0156162901135294E-2</v>
      </c>
      <c r="O129">
        <v>4.1047258462795402E-2</v>
      </c>
      <c r="P129">
        <v>-0.54822007326409605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B130">
        <v>139.16719363829532</v>
      </c>
      <c r="C130">
        <v>143.801459608176</v>
      </c>
      <c r="D130">
        <v>123.18531226247866</v>
      </c>
      <c r="E130">
        <v>146.18875725506334</v>
      </c>
      <c r="F130">
        <v>142.61283284149434</v>
      </c>
      <c r="G130">
        <v>123.63022680900633</v>
      </c>
      <c r="H130">
        <v>191.9549362576507</v>
      </c>
      <c r="I130">
        <v>153.17899415970001</v>
      </c>
      <c r="J130">
        <v>138.963882572042</v>
      </c>
      <c r="K130">
        <v>0.98427110447687505</v>
      </c>
      <c r="L130">
        <v>84.985242424242401</v>
      </c>
      <c r="M130" s="15">
        <f>+'[3]VAR expectations'!C154</f>
        <v>3.9691108090385026</v>
      </c>
      <c r="N130">
        <v>0.17385582924148901</v>
      </c>
      <c r="O130">
        <v>-0.14024893238342001</v>
      </c>
      <c r="P130">
        <v>-0.65395930178094197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B131">
        <v>139.82617326063001</v>
      </c>
      <c r="C131">
        <v>144.90072037711136</v>
      </c>
      <c r="D131">
        <v>123.43645536437367</v>
      </c>
      <c r="E131">
        <v>147.32101667893002</v>
      </c>
      <c r="F131">
        <v>143.57312783127566</v>
      </c>
      <c r="G131">
        <v>124.46960728748267</v>
      </c>
      <c r="H131">
        <v>193.927414742087</v>
      </c>
      <c r="I131">
        <v>153.55102028983899</v>
      </c>
      <c r="J131">
        <v>139.793283240195</v>
      </c>
      <c r="K131">
        <v>0.98557496940479805</v>
      </c>
      <c r="L131">
        <v>84.151327272727301</v>
      </c>
      <c r="M131" s="15">
        <f>+'[3]VAR expectations'!C155</f>
        <v>3.8470567349792795</v>
      </c>
      <c r="N131">
        <v>0.1119962</v>
      </c>
      <c r="O131">
        <v>9.7460000000000005E-2</v>
      </c>
      <c r="P131">
        <v>-0.88903506685230704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B132">
        <v>140.61204078773835</v>
      </c>
      <c r="C132">
        <v>146.25060907494199</v>
      </c>
      <c r="D132">
        <v>123.72296494768534</v>
      </c>
      <c r="E132">
        <v>147.90397509267166</v>
      </c>
      <c r="F132">
        <v>144.41399441412798</v>
      </c>
      <c r="G132">
        <v>123.05004225968766</v>
      </c>
      <c r="H132">
        <v>199.03834283369466</v>
      </c>
      <c r="I132">
        <v>151.08470204857201</v>
      </c>
      <c r="J132">
        <v>140.742611834809</v>
      </c>
      <c r="K132">
        <v>0.98115825437211202</v>
      </c>
      <c r="L132">
        <v>84.880127037426107</v>
      </c>
      <c r="M132" s="15">
        <f>+'[3]VAR expectations'!C156</f>
        <v>4.1639091291217634</v>
      </c>
      <c r="N132">
        <v>-5.8174799999999999E-2</v>
      </c>
      <c r="O132">
        <v>-5.0445000000000101E-2</v>
      </c>
      <c r="P132">
        <v>-0.930117607845242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B133">
        <v>140.82247046666566</v>
      </c>
      <c r="C133">
        <v>147.17191504532602</v>
      </c>
      <c r="D133">
        <v>123.94044389649734</v>
      </c>
      <c r="E133">
        <v>148.63383850770467</v>
      </c>
      <c r="F133">
        <v>144.83182458589701</v>
      </c>
      <c r="G133">
        <v>122.78143735272533</v>
      </c>
      <c r="H133">
        <v>200.60278994498503</v>
      </c>
      <c r="I133">
        <v>144.656594310624</v>
      </c>
      <c r="J133">
        <v>140.99696355284601</v>
      </c>
      <c r="K133">
        <v>0.97643030506649398</v>
      </c>
      <c r="L133">
        <v>84.714538752775198</v>
      </c>
      <c r="M133" s="15">
        <f>+'[3]VAR expectations'!C157</f>
        <v>5.4104651194166893</v>
      </c>
      <c r="N133">
        <v>-0.38231369999999998</v>
      </c>
      <c r="O133">
        <v>-0.28963100000000003</v>
      </c>
      <c r="P133">
        <v>-1.0003172991114899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I134">
        <v>146.29061670806334</v>
      </c>
      <c r="J134">
        <v>141.71391796140799</v>
      </c>
      <c r="K134">
        <v>0.97301713254911903</v>
      </c>
      <c r="L134">
        <v>84.609612703186599</v>
      </c>
      <c r="M134" s="15">
        <f>+'[3]VAR expectations'!C158</f>
        <v>4.9139696600199789</v>
      </c>
      <c r="N134">
        <v>-0.25995099999999999</v>
      </c>
      <c r="O134">
        <v>-1.8131999999999999E-2</v>
      </c>
      <c r="P134">
        <v>-1.0426999994456101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I135">
        <v>144.85677784636133</v>
      </c>
      <c r="J135">
        <v>142.525447660623</v>
      </c>
      <c r="K135">
        <v>0.970156973555649</v>
      </c>
      <c r="L135">
        <v>84.509532982508702</v>
      </c>
      <c r="M135" s="15">
        <f>+'[3]VAR expectations'!C159</f>
        <v>4.0011512098701685</v>
      </c>
      <c r="N135">
        <v>-0.34265899999999999</v>
      </c>
      <c r="O135">
        <v>1.29139999999999E-2</v>
      </c>
      <c r="P135">
        <v>-1.0311999953631199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I136">
        <v>145.07146186953503</v>
      </c>
      <c r="J136">
        <v>143.15196468423699</v>
      </c>
      <c r="K136">
        <v>0.96788262601687003</v>
      </c>
      <c r="L136">
        <v>84.411549085421598</v>
      </c>
      <c r="M136" s="15">
        <f>+'[3]VAR expectations'!C160</f>
        <v>3.3715300668176842</v>
      </c>
      <c r="N136">
        <v>-0.236508</v>
      </c>
      <c r="O136">
        <v>4.8689999999999997E-2</v>
      </c>
      <c r="P136">
        <v>-0.94769999660680304</v>
      </c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I137">
        <v>147.32030628656102</v>
      </c>
      <c r="J137">
        <v>143.81210726825799</v>
      </c>
      <c r="K137">
        <v>0.96838329862197503</v>
      </c>
      <c r="L137">
        <v>84.313254206463796</v>
      </c>
      <c r="M137" s="15">
        <f>+'[3]VAR expectations'!C161</f>
        <v>2.9319715449134089</v>
      </c>
      <c r="N137">
        <v>9.8760000000000001E-2</v>
      </c>
      <c r="O137">
        <v>5.1257999999999901E-2</v>
      </c>
      <c r="P137">
        <v>-0.84269819828174197</v>
      </c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I138">
        <v>148.68543494801432</v>
      </c>
      <c r="J138">
        <v>144.44444536735901</v>
      </c>
      <c r="K138">
        <v>0.96754422579269606</v>
      </c>
      <c r="L138">
        <v>84.214140323848198</v>
      </c>
      <c r="M138" s="15">
        <f>+'[3]VAR expectations'!C162</f>
        <v>2.624058833894372</v>
      </c>
      <c r="N138">
        <v>0.111237</v>
      </c>
      <c r="O138">
        <v>-4.9970000000000899E-3</v>
      </c>
      <c r="P138">
        <v>-0.70392061249012094</v>
      </c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I139">
        <v>147.02452322049666</v>
      </c>
      <c r="J139">
        <v>145.12854964450801</v>
      </c>
      <c r="K139">
        <v>0.96573179743189697</v>
      </c>
      <c r="L139">
        <v>84.114975878037598</v>
      </c>
      <c r="M139" s="15">
        <f>+'[3]VAR expectations'!C163</f>
        <v>2.4687156565697737</v>
      </c>
      <c r="N139">
        <v>9.3019000000000004E-2</v>
      </c>
      <c r="O139">
        <v>-4.8610000000000701E-3</v>
      </c>
      <c r="P139">
        <v>-0.60497172807765798</v>
      </c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I140">
        <v>146.10530126194232</v>
      </c>
      <c r="J140">
        <v>145.790533707485</v>
      </c>
      <c r="K140">
        <v>0.96413548241635605</v>
      </c>
      <c r="L140">
        <v>84.016573380577896</v>
      </c>
      <c r="M140" s="15">
        <f>+'[3]VAR expectations'!C164</f>
        <v>2.4272584547421974</v>
      </c>
      <c r="N140">
        <v>3.9982999999999998E-2</v>
      </c>
      <c r="O140">
        <v>-8.29000000000062E-4</v>
      </c>
      <c r="P140">
        <v>-0.50575422249664304</v>
      </c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I141">
        <v>147.72336052653432</v>
      </c>
      <c r="J141">
        <v>146.67556278298099</v>
      </c>
      <c r="K141">
        <v>0.962934992639086</v>
      </c>
      <c r="L141">
        <v>83.919155905963805</v>
      </c>
      <c r="M141" s="15">
        <f>+'[3]VAR expectations'!C165</f>
        <v>2.4505337246023733</v>
      </c>
      <c r="N141">
        <v>1.0666E-2</v>
      </c>
      <c r="O141">
        <v>2.1399000000000001E-2</v>
      </c>
      <c r="P141">
        <v>-0.40035345251762999</v>
      </c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I142">
        <v>149.17005716439499</v>
      </c>
      <c r="J142">
        <v>147.37248470998401</v>
      </c>
      <c r="K142">
        <v>0.96177157767361698</v>
      </c>
      <c r="L142">
        <v>83.822798778478898</v>
      </c>
      <c r="M142" s="15">
        <f>+'[3]VAR expectations'!C166</f>
        <v>2.4399426350808717</v>
      </c>
      <c r="N142">
        <v>2.8835E-2</v>
      </c>
      <c r="O142">
        <v>1.3081000000000001E-2</v>
      </c>
      <c r="P142">
        <v>-0.31375622831157302</v>
      </c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I143">
        <v>148.20689607557901</v>
      </c>
      <c r="J143">
        <v>148.08023853328299</v>
      </c>
      <c r="K143">
        <v>0.96073403704871396</v>
      </c>
      <c r="L143">
        <v>83.727519722800906</v>
      </c>
      <c r="M143" s="15">
        <f>+'[3]VAR expectations'!C167</f>
        <v>2.4724757454078841</v>
      </c>
      <c r="N143">
        <v>4.7026999999999999E-2</v>
      </c>
      <c r="O143">
        <v>1.33330000000001E-2</v>
      </c>
      <c r="P143">
        <v>-0.23176123393251599</v>
      </c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J144">
        <v>148.76879706440599</v>
      </c>
      <c r="K144">
        <v>0.95973934705584296</v>
      </c>
      <c r="L144">
        <v>83.633264131807096</v>
      </c>
      <c r="M144" s="15">
        <f>+'[3]VAR expectations'!C168</f>
        <v>2.5381252562448622</v>
      </c>
      <c r="N144">
        <v>5.67E-2</v>
      </c>
      <c r="O144">
        <v>8.5569999999999292E-3</v>
      </c>
      <c r="P144">
        <v>-0.201340053661242</v>
      </c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/>
      <c r="M145" s="15">
        <f>+'[3]VAR expectations'!C169</f>
        <v>2.6576871518365146</v>
      </c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96FF-863D-4C74-906D-A24CDE2D151A}">
  <dimension ref="A1:W172"/>
  <sheetViews>
    <sheetView tabSelected="1" zoomScaleNormal="100" workbookViewId="0">
      <selection activeCell="Q20" sqref="Q20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3" x14ac:dyDescent="0.25">
      <c r="A1" t="s">
        <v>0</v>
      </c>
      <c r="I1" t="s">
        <v>1</v>
      </c>
    </row>
    <row r="2" spans="1:23" x14ac:dyDescent="0.25">
      <c r="A2" t="s">
        <v>2</v>
      </c>
      <c r="I2" t="s">
        <v>3</v>
      </c>
    </row>
    <row r="3" spans="1:23" x14ac:dyDescent="0.25">
      <c r="A3" s="1" t="s">
        <v>4</v>
      </c>
      <c r="B3" s="2" t="s">
        <v>5</v>
      </c>
      <c r="C3" s="2"/>
      <c r="D3" s="3"/>
      <c r="I3" s="1" t="s">
        <v>7</v>
      </c>
      <c r="J3" s="2" t="s">
        <v>5</v>
      </c>
      <c r="K3" s="2"/>
      <c r="L3" t="s">
        <v>6</v>
      </c>
    </row>
    <row r="4" spans="1:23" x14ac:dyDescent="0.25">
      <c r="A4" t="s">
        <v>333</v>
      </c>
      <c r="B4" s="2" t="s">
        <v>8</v>
      </c>
      <c r="C4" s="2"/>
      <c r="D4" s="3" t="s">
        <v>334</v>
      </c>
      <c r="I4" t="s">
        <v>175</v>
      </c>
      <c r="J4" s="2" t="s">
        <v>8</v>
      </c>
      <c r="K4" s="2"/>
      <c r="L4" s="4" t="s">
        <v>74</v>
      </c>
    </row>
    <row r="5" spans="1:23" x14ac:dyDescent="0.25">
      <c r="A5" t="s">
        <v>7</v>
      </c>
      <c r="B5" s="2" t="s">
        <v>9</v>
      </c>
      <c r="C5" s="2"/>
      <c r="I5" t="s">
        <v>345</v>
      </c>
      <c r="J5" s="2" t="s">
        <v>9</v>
      </c>
      <c r="K5" s="2"/>
    </row>
    <row r="6" spans="1:23" x14ac:dyDescent="0.25">
      <c r="A6" t="s">
        <v>210</v>
      </c>
      <c r="I6" t="s">
        <v>344</v>
      </c>
      <c r="K6" s="2"/>
    </row>
    <row r="7" spans="1:23" x14ac:dyDescent="0.25">
      <c r="B7" s="5" t="s">
        <v>10</v>
      </c>
      <c r="C7" s="6"/>
      <c r="D7" s="6"/>
      <c r="E7" s="6"/>
      <c r="F7" s="6"/>
      <c r="G7" s="6" t="s">
        <v>11</v>
      </c>
      <c r="H7" s="6"/>
      <c r="I7" s="7" t="s">
        <v>12</v>
      </c>
      <c r="J7" s="8"/>
      <c r="K7" s="8"/>
      <c r="L7" s="8"/>
      <c r="M7" s="8"/>
      <c r="N7" s="7"/>
      <c r="O7" s="7"/>
      <c r="P7" s="7"/>
      <c r="Q7" s="9" t="s">
        <v>13</v>
      </c>
      <c r="R7" s="10"/>
      <c r="S7" s="10"/>
      <c r="T7" s="10"/>
      <c r="U7" s="10"/>
      <c r="V7" s="10"/>
      <c r="W7" s="10"/>
    </row>
    <row r="8" spans="1:23" x14ac:dyDescent="0.25"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348</v>
      </c>
      <c r="Q8" s="9" t="s">
        <v>16</v>
      </c>
      <c r="R8" s="9" t="s">
        <v>21</v>
      </c>
      <c r="S8" s="9" t="s">
        <v>15</v>
      </c>
      <c r="T8" s="9" t="s">
        <v>18</v>
      </c>
      <c r="U8" s="9" t="s">
        <v>19</v>
      </c>
      <c r="V8" s="9" t="s">
        <v>20</v>
      </c>
      <c r="W8" s="9" t="s">
        <v>28</v>
      </c>
    </row>
    <row r="9" spans="1:23" x14ac:dyDescent="0.25">
      <c r="A9" t="s">
        <v>29</v>
      </c>
      <c r="B9" s="6" t="s">
        <v>30</v>
      </c>
      <c r="C9" s="6" t="s">
        <v>31</v>
      </c>
      <c r="D9" s="6" t="s">
        <v>32</v>
      </c>
      <c r="E9" s="6"/>
      <c r="F9" s="6" t="s">
        <v>33</v>
      </c>
      <c r="G9" s="6" t="s">
        <v>34</v>
      </c>
      <c r="H9" s="6" t="s">
        <v>35</v>
      </c>
      <c r="I9" s="8" t="s">
        <v>36</v>
      </c>
      <c r="J9" s="8" t="s">
        <v>37</v>
      </c>
      <c r="K9" s="8" t="s">
        <v>38</v>
      </c>
      <c r="L9" s="8" t="s">
        <v>39</v>
      </c>
      <c r="M9" s="8"/>
      <c r="N9" s="8" t="s">
        <v>40</v>
      </c>
      <c r="O9" s="8" t="s">
        <v>41</v>
      </c>
      <c r="P9" s="8" t="s">
        <v>349</v>
      </c>
      <c r="Q9" s="10"/>
      <c r="R9" s="10"/>
      <c r="S9" s="10"/>
      <c r="T9" s="10"/>
      <c r="U9" s="10"/>
      <c r="V9" s="10"/>
      <c r="W9" s="10"/>
    </row>
    <row r="10" spans="1:23" x14ac:dyDescent="0.25">
      <c r="A10" t="s">
        <v>42</v>
      </c>
      <c r="B10" s="11" t="str">
        <f>"conv2qa(X12("&amp;$D$5&amp;$D$3&amp;B9&amp;$D$4&amp;",MULT," &amp; TEXT($A$3,"yyyy""m""m") &amp; "," &amp; TEXT($A$4,"yyyy""m""m") &amp; "))"</f>
        <v>conv2qa(X12(stifidx_apr2026.m,MULT,1996m1,2026m9))</v>
      </c>
      <c r="C10" s="11" t="str">
        <f t="shared" ref="C10:D10" si="0">"conv2qa(X12("&amp;$D$5&amp;$D$3&amp;C9&amp;$D$4&amp;",MULT," &amp; TEXT($A$3,"yyyy""m""m") &amp; "," &amp; TEXT($A$4,"yyyy""m""m") &amp; "))"</f>
        <v>conv2qa(X12(stif_srv_apr2026.m,MULT,1996m1,2026m9))</v>
      </c>
      <c r="D10" s="11" t="str">
        <f t="shared" si="0"/>
        <v>conv2qa(X12(stif_gds_xeatfnab_apr2026.m,MULT,1996m1,2026m9))</v>
      </c>
      <c r="E10" s="11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booze.m,fags.m,#,#,#,#,#,#,#,#,#,#,#,#,#,#,#,#,#),MULT,1996m1,2026m9))</v>
      </c>
      <c r="F10" s="11" t="str">
        <f>"conv2qa(X12("&amp;$D$5&amp;$D$3&amp;F9&amp;$D$4&amp;",MULT," &amp; TEXT($A$3,"yyyy""m""m") &amp; "," &amp; TEXT($A$4,"yyyy""m""m") &amp; "))"</f>
        <v>conv2qa(X12(stif_fnab_apr2026.m,MULT,1996m1,2026m9))</v>
      </c>
      <c r="G10" s="11" t="str">
        <f>"conv2qa(X12("&amp;G9&amp;",MULT," &amp; TEXT($A$3,"yyyy""m""m") &amp; "," &amp; TEXT($A$4,"yyyy""m""m") &amp; "))"</f>
        <v>conv2qa(X12(booze.m,MULT,1996m1,2026m9))</v>
      </c>
      <c r="H10" s="11" t="str">
        <f>"conv2qa(X12("&amp;H9&amp;",MULT," &amp; TEXT($A$3,"yyyy""m""m") &amp; "," &amp; TEXT($A$4,"yyyy""m""m") &amp; "))"</f>
        <v>conv2qa(X12(fags.m,MULT,1996m1,2026m9))</v>
      </c>
      <c r="I10" s="11" t="str">
        <f>"conv2qa(X12("&amp;$D$5&amp;$D$3&amp;I9&amp;$D$4&amp;",MULT," &amp; TEXT($A$3,"yyyy""m""m") &amp; "," &amp; TEXT($I$5,"yyyy""m""m") &amp; "))"</f>
        <v>conv2qa(X12(stif_pu_apr2026.m,MULT,1996m1,2029m6))</v>
      </c>
      <c r="J10" s="11"/>
      <c r="K10" s="11"/>
      <c r="L10" s="11"/>
      <c r="M10" s="11"/>
      <c r="N10" s="11"/>
      <c r="O10" s="11"/>
      <c r="P10" s="11"/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12" t="s">
        <v>48</v>
      </c>
      <c r="W10" s="12"/>
    </row>
    <row r="11" spans="1:23" x14ac:dyDescent="0.25">
      <c r="A11" s="13" t="s">
        <v>49</v>
      </c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  <c r="M11" s="13" t="s">
        <v>61</v>
      </c>
      <c r="N11" s="13" t="s">
        <v>62</v>
      </c>
      <c r="O11" s="13" t="s">
        <v>63</v>
      </c>
      <c r="P11" s="13"/>
      <c r="Q11" s="13" t="s">
        <v>64</v>
      </c>
      <c r="R11" s="13" t="s">
        <v>65</v>
      </c>
      <c r="S11" s="13" t="s">
        <v>66</v>
      </c>
      <c r="T11" s="13" t="s">
        <v>67</v>
      </c>
      <c r="U11" s="13" t="s">
        <v>68</v>
      </c>
      <c r="V11" s="13" t="s">
        <v>69</v>
      </c>
      <c r="W11" s="13" t="s">
        <v>70</v>
      </c>
    </row>
    <row r="12" spans="1:23" x14ac:dyDescent="0.25">
      <c r="A12" s="14">
        <v>35155</v>
      </c>
      <c r="B12">
        <f>[2]!FAMEData(B10, $A$5, $A$6, 0,"Quarterly", "Down", "No Heading", "Normal")</f>
        <v>68.336249781639438</v>
      </c>
      <c r="C12">
        <f>[2]!FAMEData(C10, $A$5, $A$6, 0,"Quarterly", "Down", "No Heading", "Normal")</f>
        <v>50.967979582518161</v>
      </c>
      <c r="D12">
        <f>[2]!FAMEData(D10, $A$5, $A$6, 0,"Quarterly", "Down", "No Heading", "Normal")</f>
        <v>120.21245566186201</v>
      </c>
      <c r="E12">
        <f>[2]!FAMEData(E10, $A$5, $A$6, 0,"Quarterly", "Down", "No Heading", "Normal")</f>
        <v>58.553707089085371</v>
      </c>
      <c r="F12">
        <f>[2]!FAMEData(F10, $A$5, $A$6, 0,"Quarterly", "Down", "No Heading", "Normal")</f>
        <v>65.579758001123139</v>
      </c>
      <c r="G12">
        <f>[2]!FAMEData(G10, $A$5, $A$6, 0,"Quarterly", "Down", "No Heading", "Normal")</f>
        <v>77.833862631324294</v>
      </c>
      <c r="H12">
        <f>[2]!FAMEData(H10, $A$5, $A$6, 0,"Quarterly", "Down", "No Heading", "Normal")</f>
        <v>30.054561207357068</v>
      </c>
      <c r="I12">
        <f>[2]!FAMEData(I10, $I$3, $I$6, 0,"Quarterly", "Down", "No Heading", "Normal")</f>
        <v>43.611058577426</v>
      </c>
      <c r="J12">
        <f>[2]!FAMEData($L$5&amp;$L$3&amp;J9&amp;$L$4, $I$3, $I$4, 0,"Quarterly", "Down", "No Heading", "Normal")</f>
        <v>68.274785869470605</v>
      </c>
      <c r="K12">
        <f>[2]!FAMEData($L$5&amp;$L$3&amp;K9&amp;$L$4, $I$3, $I$4, 0,"Quarterly", "Down", "No Heading", "Normal")</f>
        <v>0.69676277490104199</v>
      </c>
      <c r="L12">
        <f>[2]!FAMEData($L$5&amp;$L$3&amp;L9&amp;$L$4, $I$3, $I$4, 0,"Quarterly", "Down", "No Heading", "Normal")</f>
        <v>80.896181538461505</v>
      </c>
      <c r="M12" s="15">
        <f>+'[3]VAR expectations'!C36</f>
        <v>2.8151174291133074</v>
      </c>
      <c r="N12">
        <f>[2]!FAMEData($L$5&amp;$L$3&amp;N9&amp;$L$4, $I$3, $I$4, 0,"Quarterly", "Down", "No Heading", "Normal")</f>
        <v>0.3</v>
      </c>
      <c r="O12">
        <f>[2]!FAMEData($L$5&amp;$L$3&amp;O9&amp;$L$4, $I$3, $I$4, 0,"Quarterly", "Down", "No Heading", "Normal")</f>
        <v>0.118309818208218</v>
      </c>
      <c r="P12">
        <f>[2]!FAMEData($L$5&amp;$L$3&amp;P9&amp;$L$4, $I$3, $I$4, 0,"Quarterly", "Down", "No Heading", "Normal")</f>
        <v>-0.67179062000018097</v>
      </c>
      <c r="Q12">
        <f>[2]!FAMEData(Q10, $I$3, $I$4, 0,"Quarterly", "Down", "No Heading", "Normal")</f>
        <v>330</v>
      </c>
      <c r="R12">
        <f>[2]!FAMEData(R10, $I$3, $I$4, 0,"Quarterly", "Down", "No Heading", "Normal")</f>
        <v>85</v>
      </c>
      <c r="S12">
        <f>[2]!FAMEData(S10, $I$3, $I$4, 0,"Quarterly", "Down", "No Heading", "Normal")</f>
        <v>359</v>
      </c>
      <c r="T12">
        <f>[2]!FAMEData(T10, $I$3, $I$4, 0,"Quarterly", "Down", "No Heading", "Normal")</f>
        <v>156</v>
      </c>
      <c r="U12">
        <f>[2]!FAMEData(U10, $I$3, $I$4, 0,"Quarterly", "Down", "No Heading", "Normal")</f>
        <v>35</v>
      </c>
      <c r="V12" t="str">
        <f>[2]!FAMEData(V10, $I$3, $I$4, 0,"Quarterly", "Down", "No Heading", "Normal")</f>
        <v>Refresh</v>
      </c>
      <c r="W12" t="e">
        <f>+T12+U12+V12</f>
        <v>#VALUE!</v>
      </c>
    </row>
    <row r="13" spans="1:23" x14ac:dyDescent="0.25">
      <c r="A13" s="14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68.646172139093594</v>
      </c>
      <c r="K13">
        <v>0.697170201453299</v>
      </c>
      <c r="L13">
        <v>81.882196923076904</v>
      </c>
      <c r="M13" s="15">
        <f>+'[3]VAR expectations'!C37</f>
        <v>2.6154884948264598</v>
      </c>
      <c r="N13">
        <v>0.3</v>
      </c>
      <c r="O13">
        <v>2.51123070484027E-4</v>
      </c>
      <c r="P13">
        <v>-0.90951431999948096</v>
      </c>
      <c r="Q13">
        <v>330</v>
      </c>
      <c r="R13">
        <v>85</v>
      </c>
      <c r="S13">
        <v>359</v>
      </c>
      <c r="T13">
        <v>156</v>
      </c>
      <c r="U13">
        <v>35</v>
      </c>
      <c r="V13">
        <v>35</v>
      </c>
      <c r="W13">
        <f>+T13+U13+V13</f>
        <v>226</v>
      </c>
    </row>
    <row r="14" spans="1:23" x14ac:dyDescent="0.25">
      <c r="A14" s="14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68.991322144235795</v>
      </c>
      <c r="K14">
        <v>0.68186344897864604</v>
      </c>
      <c r="L14">
        <v>82.869486363636398</v>
      </c>
      <c r="M14" s="15">
        <f>+'[3]VAR expectations'!C38</f>
        <v>2.6428562485995646</v>
      </c>
      <c r="N14">
        <v>0.3</v>
      </c>
      <c r="O14">
        <v>7.0742212235927596E-2</v>
      </c>
      <c r="P14">
        <v>-0.98499010000016896</v>
      </c>
      <c r="Q14">
        <v>330</v>
      </c>
      <c r="R14">
        <v>85</v>
      </c>
      <c r="S14">
        <v>359</v>
      </c>
      <c r="T14">
        <v>156</v>
      </c>
      <c r="U14">
        <v>35</v>
      </c>
      <c r="V14">
        <v>35</v>
      </c>
      <c r="W14">
        <f t="shared" ref="W14:W77" si="1">+T14+U14+V14</f>
        <v>226</v>
      </c>
    </row>
    <row r="15" spans="1:23" x14ac:dyDescent="0.25">
      <c r="A15" s="14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69.3818999527915</v>
      </c>
      <c r="K15">
        <v>0.67273735054240202</v>
      </c>
      <c r="L15">
        <v>88.333556060606099</v>
      </c>
      <c r="M15" s="15">
        <f>+'[3]VAR expectations'!C39</f>
        <v>2.8292929206876933</v>
      </c>
      <c r="N15">
        <v>0.3</v>
      </c>
      <c r="O15">
        <v>0.23646385967731501</v>
      </c>
      <c r="P15">
        <v>-0.94538048999989799</v>
      </c>
      <c r="Q15">
        <v>330</v>
      </c>
      <c r="R15">
        <v>85</v>
      </c>
      <c r="S15">
        <v>359</v>
      </c>
      <c r="T15">
        <v>156</v>
      </c>
      <c r="U15">
        <v>35</v>
      </c>
      <c r="V15">
        <v>35</v>
      </c>
      <c r="W15">
        <f t="shared" si="1"/>
        <v>226</v>
      </c>
    </row>
    <row r="16" spans="1:23" x14ac:dyDescent="0.25">
      <c r="A16" s="14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69.587124046145405</v>
      </c>
      <c r="K16">
        <v>0.64938685118057304</v>
      </c>
      <c r="L16">
        <v>92.820320312500002</v>
      </c>
      <c r="M16" s="15">
        <f>+'[3]VAR expectations'!C40</f>
        <v>2.782809710824401</v>
      </c>
      <c r="N16">
        <v>0.32542978632096897</v>
      </c>
      <c r="O16">
        <v>2.3357266560196901E-2</v>
      </c>
      <c r="P16">
        <v>-8.1624399997278201E-3</v>
      </c>
      <c r="Q16">
        <v>330</v>
      </c>
      <c r="R16">
        <v>87</v>
      </c>
      <c r="S16">
        <v>360</v>
      </c>
      <c r="T16">
        <v>152</v>
      </c>
      <c r="U16">
        <v>35</v>
      </c>
      <c r="V16">
        <v>36</v>
      </c>
      <c r="W16">
        <f t="shared" si="1"/>
        <v>223</v>
      </c>
    </row>
    <row r="17" spans="1:23" x14ac:dyDescent="0.25">
      <c r="A17" s="14">
        <v>35611</v>
      </c>
      <c r="B17">
        <v>69.818827320614531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69.77956219056</v>
      </c>
      <c r="K17">
        <v>0.63898761329940501</v>
      </c>
      <c r="L17">
        <v>95.131486153846197</v>
      </c>
      <c r="M17" s="15">
        <f>+'[3]VAR expectations'!C41</f>
        <v>2.9050115480316223</v>
      </c>
      <c r="N17">
        <v>0.25613509932256301</v>
      </c>
      <c r="O17">
        <v>-6.6622115671634702E-2</v>
      </c>
      <c r="P17">
        <v>7.83533299999771E-2</v>
      </c>
      <c r="Q17">
        <v>330</v>
      </c>
      <c r="R17">
        <v>87</v>
      </c>
      <c r="S17">
        <v>360</v>
      </c>
      <c r="T17">
        <v>152</v>
      </c>
      <c r="U17">
        <v>35</v>
      </c>
      <c r="V17">
        <v>36</v>
      </c>
      <c r="W17">
        <f t="shared" si="1"/>
        <v>223</v>
      </c>
    </row>
    <row r="18" spans="1:23" x14ac:dyDescent="0.25">
      <c r="A18" s="14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70.337384241348005</v>
      </c>
      <c r="K18">
        <v>0.63319365618204004</v>
      </c>
      <c r="L18">
        <v>97.471460606060603</v>
      </c>
      <c r="M18" s="15">
        <f>+'[3]VAR expectations'!C42</f>
        <v>3.1797827097537499</v>
      </c>
      <c r="N18">
        <v>0.39400900071781603</v>
      </c>
      <c r="O18">
        <v>0.20520694553852101</v>
      </c>
      <c r="P18">
        <v>5.2405800004195497E-3</v>
      </c>
      <c r="Q18">
        <v>330</v>
      </c>
      <c r="R18">
        <v>87</v>
      </c>
      <c r="S18">
        <v>360</v>
      </c>
      <c r="T18">
        <v>152</v>
      </c>
      <c r="U18">
        <v>35</v>
      </c>
      <c r="V18">
        <v>36</v>
      </c>
      <c r="W18">
        <f t="shared" si="1"/>
        <v>223</v>
      </c>
    </row>
    <row r="19" spans="1:23" x14ac:dyDescent="0.25">
      <c r="A19" s="14">
        <v>35795</v>
      </c>
      <c r="B19">
        <v>70.534190606333013</v>
      </c>
      <c r="C19">
        <v>54.3557598582004</v>
      </c>
      <c r="D19">
        <v>120.137475565896</v>
      </c>
      <c r="E19">
        <v>60.1132805423672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70.608567754153796</v>
      </c>
      <c r="K19">
        <v>0.63128999906948902</v>
      </c>
      <c r="L19">
        <v>98.626171212121207</v>
      </c>
      <c r="M19" s="15">
        <f>+'[3]VAR expectations'!C43</f>
        <v>3.4444390840252752</v>
      </c>
      <c r="N19">
        <v>8.2296484534251493E-2</v>
      </c>
      <c r="O19">
        <v>-7.6698243618011502E-2</v>
      </c>
      <c r="P19">
        <v>-0.113323839999526</v>
      </c>
      <c r="Q19">
        <v>330</v>
      </c>
      <c r="R19">
        <v>87</v>
      </c>
      <c r="S19">
        <v>360</v>
      </c>
      <c r="T19">
        <v>152</v>
      </c>
      <c r="U19">
        <v>35</v>
      </c>
      <c r="V19">
        <v>36</v>
      </c>
      <c r="W19">
        <f t="shared" si="1"/>
        <v>223</v>
      </c>
    </row>
    <row r="20" spans="1:23" x14ac:dyDescent="0.25">
      <c r="A20" s="14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70.691929419489099</v>
      </c>
      <c r="K20">
        <v>0.62538235592018598</v>
      </c>
      <c r="L20">
        <v>100.6106328125</v>
      </c>
      <c r="M20" s="15">
        <f>+'[3]VAR expectations'!C44</f>
        <v>3.2371139634797124</v>
      </c>
      <c r="N20">
        <v>-5.7532854062382399E-2</v>
      </c>
      <c r="O20">
        <v>-0.11486139148473699</v>
      </c>
      <c r="P20">
        <v>0.35224228000025998</v>
      </c>
      <c r="Q20">
        <v>344</v>
      </c>
      <c r="R20">
        <v>86</v>
      </c>
      <c r="S20">
        <v>358</v>
      </c>
      <c r="T20">
        <v>144</v>
      </c>
      <c r="U20">
        <v>32</v>
      </c>
      <c r="V20">
        <v>36</v>
      </c>
      <c r="W20">
        <f t="shared" si="1"/>
        <v>212</v>
      </c>
    </row>
    <row r="21" spans="1:23" x14ac:dyDescent="0.25">
      <c r="A21" s="14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71.092690716499405</v>
      </c>
      <c r="K21">
        <v>0.61574060369241101</v>
      </c>
      <c r="L21">
        <v>100.512433846154</v>
      </c>
      <c r="M21" s="15">
        <f>+'[3]VAR expectations'!C45</f>
        <v>3.3504016664521434</v>
      </c>
      <c r="N21">
        <v>0.21318487209665199</v>
      </c>
      <c r="O21">
        <v>0.20608988404274001</v>
      </c>
      <c r="P21">
        <v>0.18539484000045001</v>
      </c>
      <c r="Q21">
        <v>344</v>
      </c>
      <c r="R21">
        <v>86</v>
      </c>
      <c r="S21">
        <v>358</v>
      </c>
      <c r="T21">
        <v>144</v>
      </c>
      <c r="U21">
        <v>32</v>
      </c>
      <c r="V21">
        <v>36</v>
      </c>
      <c r="W21">
        <f t="shared" si="1"/>
        <v>212</v>
      </c>
    </row>
    <row r="22" spans="1:23" x14ac:dyDescent="0.25">
      <c r="A22" s="14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71.320297912354405</v>
      </c>
      <c r="K22">
        <v>0.61194660690414404</v>
      </c>
      <c r="L22">
        <v>100.14717121212099</v>
      </c>
      <c r="M22" s="15">
        <f>+'[3]VAR expectations'!C46</f>
        <v>3.4355092923982902</v>
      </c>
      <c r="N22">
        <v>-2.0958848262692498E-2</v>
      </c>
      <c r="O22">
        <v>-2.9661141335964199E-2</v>
      </c>
      <c r="P22">
        <v>0.157820159999876</v>
      </c>
      <c r="Q22">
        <v>344</v>
      </c>
      <c r="R22">
        <v>86</v>
      </c>
      <c r="S22">
        <v>358</v>
      </c>
      <c r="T22">
        <v>144</v>
      </c>
      <c r="U22">
        <v>32</v>
      </c>
      <c r="V22">
        <v>36</v>
      </c>
      <c r="W22">
        <f t="shared" si="1"/>
        <v>212</v>
      </c>
    </row>
    <row r="23" spans="1:23" x14ac:dyDescent="0.25">
      <c r="A23" s="14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71.576719889480401</v>
      </c>
      <c r="K23">
        <v>0.615800780480114</v>
      </c>
      <c r="L23">
        <v>97.166321212121204</v>
      </c>
      <c r="M23" s="15">
        <f>+'[3]VAR expectations'!C47</f>
        <v>3.0318466606958814</v>
      </c>
      <c r="N23">
        <v>-3.8943111691064898E-3</v>
      </c>
      <c r="O23">
        <v>-5.8732811361551299E-2</v>
      </c>
      <c r="P23">
        <v>-0.51318826999976597</v>
      </c>
      <c r="Q23">
        <v>344</v>
      </c>
      <c r="R23">
        <v>86</v>
      </c>
      <c r="S23">
        <v>358</v>
      </c>
      <c r="T23">
        <v>144</v>
      </c>
      <c r="U23">
        <v>32</v>
      </c>
      <c r="V23">
        <v>36</v>
      </c>
      <c r="W23">
        <f t="shared" si="1"/>
        <v>212</v>
      </c>
    </row>
    <row r="24" spans="1:23" x14ac:dyDescent="0.25">
      <c r="A24" s="14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81.576404148116495</v>
      </c>
      <c r="H24">
        <v>38.383741142268832</v>
      </c>
      <c r="I24">
        <v>45.605839036949533</v>
      </c>
      <c r="J24">
        <v>71.807723859994795</v>
      </c>
      <c r="K24">
        <v>0.61208261764455096</v>
      </c>
      <c r="L24">
        <v>97.283789062500006</v>
      </c>
      <c r="M24" s="15">
        <f>+'[3]VAR expectations'!C48</f>
        <v>2.9135124750770758</v>
      </c>
      <c r="N24">
        <v>9.5197607719880006E-2</v>
      </c>
      <c r="O24">
        <v>-1.5952862799167598E-2</v>
      </c>
      <c r="P24">
        <v>-0.37213479000032401</v>
      </c>
      <c r="Q24">
        <v>341</v>
      </c>
      <c r="R24">
        <v>83</v>
      </c>
      <c r="S24">
        <v>372</v>
      </c>
      <c r="T24">
        <v>141</v>
      </c>
      <c r="U24">
        <v>30</v>
      </c>
      <c r="V24">
        <v>33</v>
      </c>
      <c r="W24">
        <f t="shared" si="1"/>
        <v>204</v>
      </c>
    </row>
    <row r="25" spans="1:23" x14ac:dyDescent="0.25">
      <c r="A25" s="14">
        <v>36341</v>
      </c>
      <c r="B25">
        <v>72.089045435709679</v>
      </c>
      <c r="C25">
        <v>57.315645524914736</v>
      </c>
      <c r="D25">
        <v>117.102020370133</v>
      </c>
      <c r="E25">
        <v>62.327610240975268</v>
      </c>
      <c r="F25">
        <v>66.571844762680328</v>
      </c>
      <c r="G25">
        <v>81.622908379807328</v>
      </c>
      <c r="H25">
        <v>39.566559269054366</v>
      </c>
      <c r="I25">
        <v>46.924886016740267</v>
      </c>
      <c r="J25">
        <v>72.102603654941007</v>
      </c>
      <c r="K25">
        <v>0.60729455707630897</v>
      </c>
      <c r="L25">
        <v>99.140043076923106</v>
      </c>
      <c r="M25" s="15">
        <f>+'[3]VAR expectations'!C49</f>
        <v>2.7839723709682413</v>
      </c>
      <c r="N25">
        <v>0.27359049641299199</v>
      </c>
      <c r="O25">
        <v>0.380440324544907</v>
      </c>
      <c r="P25">
        <v>4.5377830000379198E-2</v>
      </c>
      <c r="Q25">
        <v>341</v>
      </c>
      <c r="R25">
        <v>83</v>
      </c>
      <c r="S25">
        <v>372</v>
      </c>
      <c r="T25">
        <v>141</v>
      </c>
      <c r="U25">
        <v>30</v>
      </c>
      <c r="V25">
        <v>33</v>
      </c>
      <c r="W25">
        <f t="shared" si="1"/>
        <v>204</v>
      </c>
    </row>
    <row r="26" spans="1:23" x14ac:dyDescent="0.25">
      <c r="A26" s="14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81.700276436858232</v>
      </c>
      <c r="H26">
        <v>40.694457856544773</v>
      </c>
      <c r="I26">
        <v>47.676146770894739</v>
      </c>
      <c r="J26">
        <v>72.187039044239896</v>
      </c>
      <c r="K26">
        <v>0.61019911719025599</v>
      </c>
      <c r="L26">
        <v>98.754672727272705</v>
      </c>
      <c r="M26" s="15">
        <f>+'[3]VAR expectations'!C50</f>
        <v>2.5771344994295728</v>
      </c>
      <c r="N26">
        <v>0.45287391151197798</v>
      </c>
      <c r="O26">
        <v>0.14683547616004899</v>
      </c>
      <c r="P26">
        <v>0.16253140999992199</v>
      </c>
      <c r="Q26">
        <v>341</v>
      </c>
      <c r="R26">
        <v>83</v>
      </c>
      <c r="S26">
        <v>372</v>
      </c>
      <c r="T26">
        <v>141</v>
      </c>
      <c r="U26">
        <v>30</v>
      </c>
      <c r="V26">
        <v>33</v>
      </c>
      <c r="W26">
        <f t="shared" si="1"/>
        <v>204</v>
      </c>
    </row>
    <row r="27" spans="1:23" x14ac:dyDescent="0.25">
      <c r="A27" s="14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81.899917498002125</v>
      </c>
      <c r="H27">
        <v>41.070297940002668</v>
      </c>
      <c r="I27">
        <v>48.744128850988496</v>
      </c>
      <c r="J27">
        <v>72.375605300756106</v>
      </c>
      <c r="K27">
        <v>0.61022681521550604</v>
      </c>
      <c r="L27">
        <v>100.634428787879</v>
      </c>
      <c r="M27" s="15">
        <f>+'[3]VAR expectations'!C51</f>
        <v>2.6427151941363944</v>
      </c>
      <c r="N27">
        <v>0.64683941023249503</v>
      </c>
      <c r="O27">
        <v>0.13658648729324299</v>
      </c>
      <c r="P27">
        <v>0.81449639999964296</v>
      </c>
      <c r="Q27">
        <v>341</v>
      </c>
      <c r="R27">
        <v>83</v>
      </c>
      <c r="S27">
        <v>372</v>
      </c>
      <c r="T27">
        <v>141</v>
      </c>
      <c r="U27">
        <v>30</v>
      </c>
      <c r="V27">
        <v>33</v>
      </c>
      <c r="W27">
        <f t="shared" si="1"/>
        <v>204</v>
      </c>
    </row>
    <row r="28" spans="1:23" x14ac:dyDescent="0.25">
      <c r="A28" s="14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81.953847149906736</v>
      </c>
      <c r="H28">
        <v>41.192698366617101</v>
      </c>
      <c r="I28">
        <v>50.014345022097928</v>
      </c>
      <c r="J28">
        <v>72.393686583097505</v>
      </c>
      <c r="K28">
        <v>0.61741448216996297</v>
      </c>
      <c r="L28">
        <v>102.291083076923</v>
      </c>
      <c r="M28" s="15">
        <f>+'[3]VAR expectations'!C52</f>
        <v>2.5107508450090452</v>
      </c>
      <c r="N28">
        <v>0.79634125067367401</v>
      </c>
      <c r="O28">
        <v>0.11457213759422299</v>
      </c>
      <c r="P28">
        <v>-0.80713768000018604</v>
      </c>
      <c r="Q28">
        <v>342</v>
      </c>
      <c r="R28">
        <v>71</v>
      </c>
      <c r="S28">
        <v>409</v>
      </c>
      <c r="T28">
        <v>121</v>
      </c>
      <c r="U28">
        <v>26</v>
      </c>
      <c r="V28">
        <v>31</v>
      </c>
      <c r="W28">
        <f t="shared" si="1"/>
        <v>178</v>
      </c>
    </row>
    <row r="29" spans="1:23" x14ac:dyDescent="0.25">
      <c r="A29" s="14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81.549251880083574</v>
      </c>
      <c r="H29">
        <v>43.499742188366973</v>
      </c>
      <c r="I29">
        <v>50.294131092571668</v>
      </c>
      <c r="J29">
        <v>72.563313424527905</v>
      </c>
      <c r="K29">
        <v>0.61947343357984297</v>
      </c>
      <c r="L29">
        <v>101.013821538462</v>
      </c>
      <c r="M29" s="15">
        <f>+'[3]VAR expectations'!C53</f>
        <v>2.480790509902373</v>
      </c>
      <c r="N29">
        <v>0.578228356186961</v>
      </c>
      <c r="O29">
        <v>0.16771019995212599</v>
      </c>
      <c r="P29">
        <v>0.53258052999994498</v>
      </c>
      <c r="Q29">
        <v>342</v>
      </c>
      <c r="R29">
        <v>71</v>
      </c>
      <c r="S29">
        <v>409</v>
      </c>
      <c r="T29">
        <v>121</v>
      </c>
      <c r="U29">
        <v>26</v>
      </c>
      <c r="V29">
        <v>31</v>
      </c>
      <c r="W29">
        <f t="shared" si="1"/>
        <v>178</v>
      </c>
    </row>
    <row r="30" spans="1:23" x14ac:dyDescent="0.25">
      <c r="A30" s="14">
        <v>36799</v>
      </c>
      <c r="B30">
        <v>72.707840576543902</v>
      </c>
      <c r="C30">
        <v>59.618307460292499</v>
      </c>
      <c r="D30">
        <v>111.70485772051767</v>
      </c>
      <c r="E30">
        <v>63.4807864145831</v>
      </c>
      <c r="F30">
        <v>66.470733130124344</v>
      </c>
      <c r="G30">
        <v>81.400383542533277</v>
      </c>
      <c r="H30">
        <v>44.129516914186297</v>
      </c>
      <c r="I30">
        <v>50.848549060358373</v>
      </c>
      <c r="J30">
        <v>72.759782473887299</v>
      </c>
      <c r="K30">
        <v>0.63243205574934103</v>
      </c>
      <c r="L30">
        <v>99.456144615384602</v>
      </c>
      <c r="M30" s="15">
        <f>+'[3]VAR expectations'!C54</f>
        <v>2.4571125053402318</v>
      </c>
      <c r="N30">
        <v>0.50801792517880295</v>
      </c>
      <c r="O30">
        <v>7.53215327858925E-2</v>
      </c>
      <c r="P30">
        <v>0.27187322999959301</v>
      </c>
      <c r="Q30">
        <v>342</v>
      </c>
      <c r="R30">
        <v>71</v>
      </c>
      <c r="S30">
        <v>409</v>
      </c>
      <c r="T30">
        <v>121</v>
      </c>
      <c r="U30">
        <v>26</v>
      </c>
      <c r="V30">
        <v>31</v>
      </c>
      <c r="W30">
        <f t="shared" si="1"/>
        <v>178</v>
      </c>
    </row>
    <row r="31" spans="1:23" x14ac:dyDescent="0.25">
      <c r="A31" s="14">
        <v>36891</v>
      </c>
      <c r="B31">
        <v>73.05829699146868</v>
      </c>
      <c r="C31">
        <v>60.261873317660637</v>
      </c>
      <c r="D31">
        <v>111.14640687755167</v>
      </c>
      <c r="E31">
        <v>63.852768971110436</v>
      </c>
      <c r="F31">
        <v>66.715067260746267</v>
      </c>
      <c r="G31">
        <v>81.765643927001491</v>
      </c>
      <c r="H31">
        <v>44.72936174824337</v>
      </c>
      <c r="I31">
        <v>51.114811152054301</v>
      </c>
      <c r="J31">
        <v>73.063981516128905</v>
      </c>
      <c r="K31">
        <v>0.63168490396144295</v>
      </c>
      <c r="L31">
        <v>100.229946153846</v>
      </c>
      <c r="M31" s="15">
        <f>+'[3]VAR expectations'!C55</f>
        <v>2.4793436532788289</v>
      </c>
      <c r="N31">
        <v>0.35052454382543902</v>
      </c>
      <c r="O31">
        <v>-1.80886518210173E-2</v>
      </c>
      <c r="P31">
        <v>0.70676578999984596</v>
      </c>
      <c r="Q31">
        <v>342</v>
      </c>
      <c r="R31">
        <v>71</v>
      </c>
      <c r="S31">
        <v>409</v>
      </c>
      <c r="T31">
        <v>121</v>
      </c>
      <c r="U31">
        <v>26</v>
      </c>
      <c r="V31">
        <v>31</v>
      </c>
      <c r="W31">
        <f t="shared" si="1"/>
        <v>178</v>
      </c>
    </row>
    <row r="32" spans="1:23" x14ac:dyDescent="0.25">
      <c r="A32" s="14">
        <v>36981</v>
      </c>
      <c r="B32">
        <v>73.057199972199726</v>
      </c>
      <c r="C32">
        <v>60.743618510486634</v>
      </c>
      <c r="D32">
        <v>110.17048885713501</v>
      </c>
      <c r="E32">
        <v>64.304947564597896</v>
      </c>
      <c r="F32">
        <v>67.219576569640893</v>
      </c>
      <c r="G32">
        <v>81.956356251031721</v>
      </c>
      <c r="H32">
        <v>45.213764851116601</v>
      </c>
      <c r="I32">
        <v>49.776772698758201</v>
      </c>
      <c r="J32">
        <v>73.022578117809601</v>
      </c>
      <c r="K32">
        <v>0.63197458532471795</v>
      </c>
      <c r="L32">
        <v>98.163178461538493</v>
      </c>
      <c r="M32" s="15">
        <f>+'[3]VAR expectations'!C56</f>
        <v>2.2606623386544604</v>
      </c>
      <c r="N32">
        <v>-9.6508386047468499E-3</v>
      </c>
      <c r="O32">
        <v>-0.21965420246124301</v>
      </c>
      <c r="P32">
        <v>0.41767657000032898</v>
      </c>
      <c r="Q32">
        <v>336</v>
      </c>
      <c r="R32">
        <v>66</v>
      </c>
      <c r="S32">
        <v>436</v>
      </c>
      <c r="T32">
        <v>114</v>
      </c>
      <c r="U32">
        <v>20</v>
      </c>
      <c r="V32">
        <v>28</v>
      </c>
      <c r="W32">
        <f t="shared" si="1"/>
        <v>162</v>
      </c>
    </row>
    <row r="33" spans="1:23" x14ac:dyDescent="0.25">
      <c r="A33" s="14">
        <v>37072</v>
      </c>
      <c r="B33">
        <v>73.64078284744393</v>
      </c>
      <c r="C33">
        <v>61.544420219885133</v>
      </c>
      <c r="D33">
        <v>109.89504456781434</v>
      </c>
      <c r="E33">
        <v>65.671562289779999</v>
      </c>
      <c r="F33">
        <v>69.291698510684938</v>
      </c>
      <c r="G33">
        <v>81.894722916118269</v>
      </c>
      <c r="H33">
        <v>45.475672672190861</v>
      </c>
      <c r="I33">
        <v>49.554685240331963</v>
      </c>
      <c r="J33">
        <v>73.672453554203102</v>
      </c>
      <c r="K33">
        <v>0.62800409836081905</v>
      </c>
      <c r="L33">
        <v>99.237372307692297</v>
      </c>
      <c r="M33" s="15">
        <f>+'[3]VAR expectations'!C57</f>
        <v>2.2219944984907083</v>
      </c>
      <c r="N33">
        <v>-8.6513159775206599E-2</v>
      </c>
      <c r="O33">
        <v>8.7121553719043704E-2</v>
      </c>
      <c r="P33">
        <v>0.27177293000019898</v>
      </c>
      <c r="Q33">
        <v>336</v>
      </c>
      <c r="R33">
        <v>66</v>
      </c>
      <c r="S33">
        <v>436</v>
      </c>
      <c r="T33">
        <v>114</v>
      </c>
      <c r="U33">
        <v>20</v>
      </c>
      <c r="V33">
        <v>28</v>
      </c>
      <c r="W33">
        <f t="shared" si="1"/>
        <v>162</v>
      </c>
    </row>
    <row r="34" spans="1:23" x14ac:dyDescent="0.25">
      <c r="A34" s="14">
        <v>37164</v>
      </c>
      <c r="B34">
        <v>73.825368346705162</v>
      </c>
      <c r="C34">
        <v>62.223963784279334</v>
      </c>
      <c r="D34">
        <v>109.34835279541367</v>
      </c>
      <c r="E34">
        <v>65.6414487139279</v>
      </c>
      <c r="F34">
        <v>68.979536133829654</v>
      </c>
      <c r="G34">
        <v>82.063297448349203</v>
      </c>
      <c r="H34">
        <v>45.842531038286069</v>
      </c>
      <c r="I34">
        <v>49.541042554852766</v>
      </c>
      <c r="J34">
        <v>73.864343092066804</v>
      </c>
      <c r="K34">
        <v>0.62070323942146299</v>
      </c>
      <c r="L34">
        <v>99.239315384615395</v>
      </c>
      <c r="M34" s="15">
        <f>+'[3]VAR expectations'!C58</f>
        <v>2.3621300730309192</v>
      </c>
      <c r="N34">
        <v>-0.18219844297104101</v>
      </c>
      <c r="O34">
        <v>-1.9923435524106001E-2</v>
      </c>
      <c r="P34">
        <v>2.9689800000429499E-2</v>
      </c>
      <c r="Q34">
        <v>336</v>
      </c>
      <c r="R34">
        <v>66</v>
      </c>
      <c r="S34">
        <v>436</v>
      </c>
      <c r="T34">
        <v>114</v>
      </c>
      <c r="U34">
        <v>20</v>
      </c>
      <c r="V34">
        <v>28</v>
      </c>
      <c r="W34">
        <f t="shared" si="1"/>
        <v>162</v>
      </c>
    </row>
    <row r="35" spans="1:23" x14ac:dyDescent="0.25">
      <c r="A35" s="14">
        <v>37256</v>
      </c>
      <c r="B35">
        <v>73.809976698452473</v>
      </c>
      <c r="C35">
        <v>62.586922212637567</v>
      </c>
      <c r="D35">
        <v>108.73663622536766</v>
      </c>
      <c r="E35">
        <v>65.828698669319309</v>
      </c>
      <c r="F35">
        <v>68.970945389894311</v>
      </c>
      <c r="G35">
        <v>82.05782078310979</v>
      </c>
      <c r="H35">
        <v>46.482425595715263</v>
      </c>
      <c r="I35">
        <v>48.008808713627467</v>
      </c>
      <c r="J35">
        <v>73.816222366808006</v>
      </c>
      <c r="K35">
        <v>0.61399358747248201</v>
      </c>
      <c r="L35">
        <v>99.639537878787905</v>
      </c>
      <c r="M35" s="15">
        <f>+'[3]VAR expectations'!C59</f>
        <v>2.1718892232885554</v>
      </c>
      <c r="N35">
        <v>-0.41053249519444801</v>
      </c>
      <c r="O35">
        <v>-0.24701800942421001</v>
      </c>
      <c r="P35">
        <v>-0.63991584999992301</v>
      </c>
      <c r="Q35">
        <v>336</v>
      </c>
      <c r="R35">
        <v>66</v>
      </c>
      <c r="S35">
        <v>436</v>
      </c>
      <c r="T35">
        <v>114</v>
      </c>
      <c r="U35">
        <v>20</v>
      </c>
      <c r="V35">
        <v>28</v>
      </c>
      <c r="W35">
        <f t="shared" si="1"/>
        <v>162</v>
      </c>
    </row>
    <row r="36" spans="1:23" x14ac:dyDescent="0.25">
      <c r="A36" s="14">
        <v>37346</v>
      </c>
      <c r="B36">
        <v>74.1727095476176</v>
      </c>
      <c r="C36">
        <v>63.253448974794701</v>
      </c>
      <c r="D36">
        <v>108.253887812421</v>
      </c>
      <c r="E36">
        <v>66.271856797838836</v>
      </c>
      <c r="F36">
        <v>69.566869099542828</v>
      </c>
      <c r="G36">
        <v>82.184032836313804</v>
      </c>
      <c r="H36">
        <v>46.712875198814935</v>
      </c>
      <c r="I36">
        <v>48.300000597159077</v>
      </c>
      <c r="J36">
        <v>74.140200035856097</v>
      </c>
      <c r="K36">
        <v>0.61193038298108404</v>
      </c>
      <c r="L36">
        <v>100.22180625</v>
      </c>
      <c r="M36" s="15">
        <f>+'[3]VAR expectations'!C60</f>
        <v>2.2636382290406152</v>
      </c>
      <c r="N36">
        <v>-0.19866515250366801</v>
      </c>
      <c r="O36">
        <v>-7.7734054066240796E-3</v>
      </c>
      <c r="P36">
        <v>-0.63541897999959396</v>
      </c>
      <c r="Q36">
        <v>321</v>
      </c>
      <c r="R36">
        <v>56</v>
      </c>
      <c r="S36">
        <v>457</v>
      </c>
      <c r="T36">
        <v>115</v>
      </c>
      <c r="U36">
        <v>20</v>
      </c>
      <c r="V36">
        <v>31</v>
      </c>
      <c r="W36">
        <f t="shared" si="1"/>
        <v>166</v>
      </c>
    </row>
    <row r="37" spans="1:23" x14ac:dyDescent="0.25">
      <c r="A37" s="14">
        <v>37437</v>
      </c>
      <c r="B37">
        <v>74.341060971658422</v>
      </c>
      <c r="C37">
        <v>64.098357828453672</v>
      </c>
      <c r="D37">
        <v>107.15975382369832</v>
      </c>
      <c r="E37">
        <v>65.841453783592073</v>
      </c>
      <c r="F37">
        <v>69.072767804200524</v>
      </c>
      <c r="G37">
        <v>82.070455382209573</v>
      </c>
      <c r="H37">
        <v>46.699129956859132</v>
      </c>
      <c r="I37">
        <v>48.834968279363437</v>
      </c>
      <c r="J37">
        <v>74.380936880197396</v>
      </c>
      <c r="K37">
        <v>0.62732294639877295</v>
      </c>
      <c r="L37">
        <v>99.283556923076901</v>
      </c>
      <c r="M37" s="15">
        <f>+'[3]VAR expectations'!C61</f>
        <v>2.420078349479549</v>
      </c>
      <c r="N37">
        <v>-0.121645386242651</v>
      </c>
      <c r="O37">
        <v>0.16057209670543701</v>
      </c>
      <c r="P37">
        <v>-0.844244290000153</v>
      </c>
      <c r="Q37">
        <v>321</v>
      </c>
      <c r="R37">
        <v>56</v>
      </c>
      <c r="S37">
        <v>457</v>
      </c>
      <c r="T37">
        <v>115</v>
      </c>
      <c r="U37">
        <v>20</v>
      </c>
      <c r="V37">
        <v>31</v>
      </c>
      <c r="W37">
        <f t="shared" si="1"/>
        <v>166</v>
      </c>
    </row>
    <row r="38" spans="1:23" x14ac:dyDescent="0.25">
      <c r="A38" s="14">
        <v>37529</v>
      </c>
      <c r="B38">
        <v>74.586828837547941</v>
      </c>
      <c r="C38">
        <v>64.806065670026271</v>
      </c>
      <c r="D38">
        <v>106.44583489625866</v>
      </c>
      <c r="E38">
        <v>66.101100807902966</v>
      </c>
      <c r="F38">
        <v>69.016510777195961</v>
      </c>
      <c r="G38">
        <v>82.393205073302568</v>
      </c>
      <c r="H38">
        <v>47.312363041474008</v>
      </c>
      <c r="I38">
        <v>48.810172757408104</v>
      </c>
      <c r="J38">
        <v>74.621415022690897</v>
      </c>
      <c r="K38">
        <v>0.62666792181779396</v>
      </c>
      <c r="L38">
        <v>100.497328787879</v>
      </c>
      <c r="M38" s="15">
        <f>+'[3]VAR expectations'!C62</f>
        <v>2.3348466240519783</v>
      </c>
      <c r="N38">
        <v>-0.12779910297989</v>
      </c>
      <c r="O38">
        <v>-2.52052545547485E-2</v>
      </c>
      <c r="P38">
        <v>-0.47312000999981302</v>
      </c>
      <c r="Q38">
        <v>321</v>
      </c>
      <c r="R38">
        <v>56</v>
      </c>
      <c r="S38">
        <v>457</v>
      </c>
      <c r="T38">
        <v>115</v>
      </c>
      <c r="U38">
        <v>20</v>
      </c>
      <c r="V38">
        <v>31</v>
      </c>
      <c r="W38">
        <f t="shared" si="1"/>
        <v>166</v>
      </c>
    </row>
    <row r="39" spans="1:23" x14ac:dyDescent="0.25">
      <c r="A39" s="14">
        <v>37621</v>
      </c>
      <c r="B39">
        <v>74.941529851715131</v>
      </c>
      <c r="C39">
        <v>65.527580796621862</v>
      </c>
      <c r="D39">
        <v>105.92448921583866</v>
      </c>
      <c r="E39">
        <v>66.196126733291365</v>
      </c>
      <c r="F39">
        <v>69.020712791603259</v>
      </c>
      <c r="G39">
        <v>81.795408931371597</v>
      </c>
      <c r="H39">
        <v>47.821927966219668</v>
      </c>
      <c r="I39">
        <v>49.301431799629</v>
      </c>
      <c r="J39">
        <v>74.939618250451403</v>
      </c>
      <c r="K39">
        <v>0.62607176712946</v>
      </c>
      <c r="L39">
        <v>101.02483030303</v>
      </c>
      <c r="M39" s="15">
        <f>+'[3]VAR expectations'!C63</f>
        <v>2.329046618617225</v>
      </c>
      <c r="N39">
        <v>0.13999724552415899</v>
      </c>
      <c r="O39">
        <v>2.2260053083300601E-2</v>
      </c>
      <c r="P39">
        <v>-0.23494014999958099</v>
      </c>
      <c r="Q39">
        <v>321</v>
      </c>
      <c r="R39">
        <v>56</v>
      </c>
      <c r="S39">
        <v>457</v>
      </c>
      <c r="T39">
        <v>115</v>
      </c>
      <c r="U39">
        <v>20</v>
      </c>
      <c r="V39">
        <v>31</v>
      </c>
      <c r="W39">
        <f t="shared" si="1"/>
        <v>166</v>
      </c>
    </row>
    <row r="40" spans="1:23" x14ac:dyDescent="0.25">
      <c r="A40" s="14">
        <v>37711</v>
      </c>
      <c r="B40">
        <v>75.254179637007624</v>
      </c>
      <c r="C40">
        <v>66.024472037777144</v>
      </c>
      <c r="D40">
        <v>105.57840811720865</v>
      </c>
      <c r="E40">
        <v>66.295937196003933</v>
      </c>
      <c r="F40">
        <v>69.109899366954537</v>
      </c>
      <c r="G40">
        <v>81.579240062145104</v>
      </c>
      <c r="H40">
        <v>48.150793169117264</v>
      </c>
      <c r="I40">
        <v>50.696241265513493</v>
      </c>
      <c r="J40">
        <v>75.220635695064601</v>
      </c>
      <c r="K40">
        <v>0.63651760997190399</v>
      </c>
      <c r="L40">
        <v>98.401371874999995</v>
      </c>
      <c r="M40" s="15">
        <f>+'[3]VAR expectations'!C64</f>
        <v>2.5421835321638784</v>
      </c>
      <c r="N40">
        <v>0.27544788472214499</v>
      </c>
      <c r="O40">
        <v>0.118628311933358</v>
      </c>
      <c r="P40">
        <v>-0.412484320000154</v>
      </c>
      <c r="Q40">
        <v>324</v>
      </c>
      <c r="R40">
        <v>55</v>
      </c>
      <c r="S40">
        <v>466</v>
      </c>
      <c r="T40">
        <v>108</v>
      </c>
      <c r="U40">
        <v>19</v>
      </c>
      <c r="V40">
        <v>28</v>
      </c>
      <c r="W40">
        <f t="shared" si="1"/>
        <v>155</v>
      </c>
    </row>
    <row r="41" spans="1:23" x14ac:dyDescent="0.25">
      <c r="A41" s="14">
        <v>37802</v>
      </c>
      <c r="B41">
        <v>75.297738816456729</v>
      </c>
      <c r="C41">
        <v>66.477450028713392</v>
      </c>
      <c r="D41">
        <v>104.82493353970933</v>
      </c>
      <c r="E41">
        <v>66.743553912162142</v>
      </c>
      <c r="F41">
        <v>69.746466956819958</v>
      </c>
      <c r="G41">
        <v>81.929888132911003</v>
      </c>
      <c r="H41">
        <v>48.454084824286205</v>
      </c>
      <c r="I41">
        <v>49.519114792624094</v>
      </c>
      <c r="J41">
        <v>75.346741392751298</v>
      </c>
      <c r="K41">
        <v>0.63320748380537994</v>
      </c>
      <c r="L41">
        <v>95.764499999999998</v>
      </c>
      <c r="M41" s="15">
        <f>+'[3]VAR expectations'!C65</f>
        <v>2.3887461732171329</v>
      </c>
      <c r="N41">
        <v>8.0091340388783697E-2</v>
      </c>
      <c r="O41">
        <v>-3.3435978033822499E-2</v>
      </c>
      <c r="P41">
        <v>-0.53373754000033002</v>
      </c>
      <c r="Q41">
        <v>324</v>
      </c>
      <c r="R41">
        <v>55</v>
      </c>
      <c r="S41">
        <v>466</v>
      </c>
      <c r="T41">
        <v>108</v>
      </c>
      <c r="U41">
        <v>19</v>
      </c>
      <c r="V41">
        <v>28</v>
      </c>
      <c r="W41">
        <f t="shared" si="1"/>
        <v>155</v>
      </c>
    </row>
    <row r="42" spans="1:23" x14ac:dyDescent="0.25">
      <c r="A42" s="14">
        <v>37894</v>
      </c>
      <c r="B42">
        <v>75.612766960048489</v>
      </c>
      <c r="C42">
        <v>66.969781979792842</v>
      </c>
      <c r="D42">
        <v>104.57345498303634</v>
      </c>
      <c r="E42">
        <v>67.312969333955508</v>
      </c>
      <c r="F42">
        <v>70.264155677446297</v>
      </c>
      <c r="G42">
        <v>81.292515617219635</v>
      </c>
      <c r="H42">
        <v>49.190874969089201</v>
      </c>
      <c r="I42">
        <v>49.812423085229135</v>
      </c>
      <c r="J42">
        <v>75.646460972491596</v>
      </c>
      <c r="K42">
        <v>0.63000871963946403</v>
      </c>
      <c r="L42">
        <v>95.544218181818195</v>
      </c>
      <c r="M42" s="15">
        <f>+'[3]VAR expectations'!C66</f>
        <v>2.197575219813666</v>
      </c>
      <c r="N42">
        <v>0.109281701994484</v>
      </c>
      <c r="O42">
        <v>4.3959080115475602E-3</v>
      </c>
      <c r="P42">
        <v>-0.27588602999982398</v>
      </c>
      <c r="Q42">
        <v>324</v>
      </c>
      <c r="R42">
        <v>55</v>
      </c>
      <c r="S42">
        <v>466</v>
      </c>
      <c r="T42">
        <v>108</v>
      </c>
      <c r="U42">
        <v>19</v>
      </c>
      <c r="V42">
        <v>28</v>
      </c>
      <c r="W42">
        <f t="shared" si="1"/>
        <v>155</v>
      </c>
    </row>
    <row r="43" spans="1:23" x14ac:dyDescent="0.25">
      <c r="A43" s="14">
        <v>37986</v>
      </c>
      <c r="B43">
        <v>75.930389741807033</v>
      </c>
      <c r="C43">
        <v>67.54697272018133</v>
      </c>
      <c r="D43">
        <v>104.00485126915567</v>
      </c>
      <c r="E43">
        <v>67.71927563724114</v>
      </c>
      <c r="F43">
        <v>70.75252364587827</v>
      </c>
      <c r="G43">
        <v>81.390202697036742</v>
      </c>
      <c r="H43">
        <v>49.438759813331636</v>
      </c>
      <c r="I43">
        <v>50.456696042456599</v>
      </c>
      <c r="J43">
        <v>75.926725850656695</v>
      </c>
      <c r="K43">
        <v>0.62604665825440697</v>
      </c>
      <c r="L43">
        <v>97.264069696969699</v>
      </c>
      <c r="M43" s="15">
        <f>+'[3]VAR expectations'!C67</f>
        <v>2.507260502799705</v>
      </c>
      <c r="N43">
        <v>0.12812529825024099</v>
      </c>
      <c r="O43">
        <v>4.1066675765942702E-2</v>
      </c>
      <c r="P43">
        <v>-0.53395230000040395</v>
      </c>
      <c r="Q43">
        <v>324</v>
      </c>
      <c r="R43">
        <v>55</v>
      </c>
      <c r="S43">
        <v>466</v>
      </c>
      <c r="T43">
        <v>108</v>
      </c>
      <c r="U43">
        <v>19</v>
      </c>
      <c r="V43">
        <v>28</v>
      </c>
      <c r="W43">
        <f t="shared" si="1"/>
        <v>155</v>
      </c>
    </row>
    <row r="44" spans="1:23" x14ac:dyDescent="0.25">
      <c r="A44" s="14">
        <v>38077</v>
      </c>
      <c r="B44">
        <v>76.200272982906839</v>
      </c>
      <c r="C44">
        <v>68.106265290457202</v>
      </c>
      <c r="D44">
        <v>103.62955172533132</v>
      </c>
      <c r="E44">
        <v>67.701733001752473</v>
      </c>
      <c r="F44">
        <v>70.680623240185241</v>
      </c>
      <c r="G44">
        <v>81.372891140321968</v>
      </c>
      <c r="H44">
        <v>49.677802172788063</v>
      </c>
      <c r="I44">
        <v>51.504084271992667</v>
      </c>
      <c r="J44">
        <v>76.159680364508901</v>
      </c>
      <c r="K44">
        <v>0.61688244432997197</v>
      </c>
      <c r="L44">
        <v>101.570772307692</v>
      </c>
      <c r="M44" s="15">
        <f>+'[3]VAR expectations'!C68</f>
        <v>2.5370974361013499</v>
      </c>
      <c r="N44">
        <v>8.3923273491197103E-2</v>
      </c>
      <c r="O44">
        <v>7.0507431525519401E-2</v>
      </c>
      <c r="P44">
        <v>0.26648293999980199</v>
      </c>
      <c r="Q44">
        <v>329</v>
      </c>
      <c r="R44">
        <v>52</v>
      </c>
      <c r="S44">
        <v>467</v>
      </c>
      <c r="T44">
        <v>106</v>
      </c>
      <c r="U44">
        <v>19</v>
      </c>
      <c r="V44">
        <v>27</v>
      </c>
      <c r="W44">
        <f t="shared" si="1"/>
        <v>152</v>
      </c>
    </row>
    <row r="45" spans="1:23" x14ac:dyDescent="0.25">
      <c r="A45" s="14">
        <v>38168</v>
      </c>
      <c r="B45">
        <v>76.359143317205437</v>
      </c>
      <c r="C45">
        <v>68.631855809369696</v>
      </c>
      <c r="D45">
        <v>102.87732125882967</v>
      </c>
      <c r="E45">
        <v>67.638280882728566</v>
      </c>
      <c r="F45">
        <v>70.476850084812895</v>
      </c>
      <c r="G45">
        <v>81.287191198854998</v>
      </c>
      <c r="H45">
        <v>50.250960584295875</v>
      </c>
      <c r="I45">
        <v>52.490029578441636</v>
      </c>
      <c r="J45">
        <v>76.418239016262504</v>
      </c>
      <c r="K45">
        <v>0.61216051574775598</v>
      </c>
      <c r="L45">
        <v>102.354193846154</v>
      </c>
      <c r="M45" s="15">
        <f>+'[3]VAR expectations'!C69</f>
        <v>2.6184554615948845</v>
      </c>
      <c r="N45">
        <v>0.31536003264232498</v>
      </c>
      <c r="O45">
        <v>0.198013254587315</v>
      </c>
      <c r="P45">
        <v>0.17862779000014201</v>
      </c>
      <c r="Q45">
        <v>329</v>
      </c>
      <c r="R45">
        <v>52</v>
      </c>
      <c r="S45">
        <v>467</v>
      </c>
      <c r="T45">
        <v>106</v>
      </c>
      <c r="U45">
        <v>19</v>
      </c>
      <c r="V45">
        <v>27</v>
      </c>
      <c r="W45">
        <f t="shared" si="1"/>
        <v>152</v>
      </c>
    </row>
    <row r="46" spans="1:23" x14ac:dyDescent="0.25">
      <c r="A46" s="14">
        <v>38260</v>
      </c>
      <c r="B46">
        <v>76.56223144489114</v>
      </c>
      <c r="C46">
        <v>69.20374309622899</v>
      </c>
      <c r="D46">
        <v>102.21000368740499</v>
      </c>
      <c r="E46">
        <v>67.646192048127133</v>
      </c>
      <c r="F46">
        <v>70.117000340502088</v>
      </c>
      <c r="G46">
        <v>81.074507725877808</v>
      </c>
      <c r="H46">
        <v>50.9815157827706</v>
      </c>
      <c r="I46">
        <v>53.359156399590972</v>
      </c>
      <c r="J46">
        <v>76.596013420986793</v>
      </c>
      <c r="K46">
        <v>0.61479560780718101</v>
      </c>
      <c r="L46">
        <v>102.09841969697</v>
      </c>
      <c r="M46" s="15">
        <f>+'[3]VAR expectations'!C70</f>
        <v>2.5768443943169923</v>
      </c>
      <c r="N46">
        <v>0.36869653428947002</v>
      </c>
      <c r="O46">
        <v>5.6970751238223802E-2</v>
      </c>
      <c r="P46">
        <v>-2.59919399995341E-2</v>
      </c>
      <c r="Q46">
        <v>329</v>
      </c>
      <c r="R46">
        <v>52</v>
      </c>
      <c r="S46">
        <v>467</v>
      </c>
      <c r="T46">
        <v>106</v>
      </c>
      <c r="U46">
        <v>19</v>
      </c>
      <c r="V46">
        <v>27</v>
      </c>
      <c r="W46">
        <f t="shared" si="1"/>
        <v>152</v>
      </c>
    </row>
    <row r="47" spans="1:23" x14ac:dyDescent="0.25">
      <c r="A47" s="14">
        <v>38352</v>
      </c>
      <c r="B47">
        <v>77.024679842315635</v>
      </c>
      <c r="C47">
        <v>69.904808946973375</v>
      </c>
      <c r="D47">
        <v>101.65395874629799</v>
      </c>
      <c r="E47">
        <v>67.92316933299854</v>
      </c>
      <c r="F47">
        <v>70.398557799157672</v>
      </c>
      <c r="G47">
        <v>81.151471153649737</v>
      </c>
      <c r="H47">
        <v>51.389293344862203</v>
      </c>
      <c r="I47">
        <v>55.645647717145664</v>
      </c>
      <c r="J47">
        <v>77.015340908716695</v>
      </c>
      <c r="K47">
        <v>0.62484171870294902</v>
      </c>
      <c r="L47">
        <v>100.312145454545</v>
      </c>
      <c r="M47" s="15">
        <f>+'[3]VAR expectations'!C71</f>
        <v>2.4054948631666009</v>
      </c>
      <c r="N47">
        <v>0.52821538705181603</v>
      </c>
      <c r="O47">
        <v>0.200185341433055</v>
      </c>
      <c r="P47">
        <v>0.92815783999970602</v>
      </c>
      <c r="Q47">
        <v>329</v>
      </c>
      <c r="R47">
        <v>52</v>
      </c>
      <c r="S47">
        <v>467</v>
      </c>
      <c r="T47">
        <v>106</v>
      </c>
      <c r="U47">
        <v>19</v>
      </c>
      <c r="V47">
        <v>27</v>
      </c>
      <c r="W47">
        <f t="shared" si="1"/>
        <v>152</v>
      </c>
    </row>
    <row r="48" spans="1:23" x14ac:dyDescent="0.25">
      <c r="A48" s="14">
        <v>38442</v>
      </c>
      <c r="B48">
        <v>77.519231176112996</v>
      </c>
      <c r="C48">
        <v>70.711753849830856</v>
      </c>
      <c r="D48">
        <v>101.224550821788</v>
      </c>
      <c r="E48">
        <v>68.690840572789497</v>
      </c>
      <c r="F48">
        <v>71.390648871024695</v>
      </c>
      <c r="G48">
        <v>80.604661890190428</v>
      </c>
      <c r="H48">
        <v>52.1517551843883</v>
      </c>
      <c r="I48">
        <v>56.44902355628934</v>
      </c>
      <c r="J48">
        <v>77.473805083463901</v>
      </c>
      <c r="K48">
        <v>0.62789457821978201</v>
      </c>
      <c r="L48">
        <v>100.67795468750001</v>
      </c>
      <c r="M48" s="15">
        <f>+'[3]VAR expectations'!C72</f>
        <v>2.3903185646503933</v>
      </c>
      <c r="N48">
        <v>0.50065150605009701</v>
      </c>
      <c r="O48">
        <v>4.8524115231025303E-2</v>
      </c>
      <c r="P48">
        <v>0.47823727999973997</v>
      </c>
      <c r="Q48">
        <v>329</v>
      </c>
      <c r="R48">
        <v>55</v>
      </c>
      <c r="S48">
        <v>464</v>
      </c>
      <c r="T48">
        <v>106</v>
      </c>
      <c r="U48">
        <v>20</v>
      </c>
      <c r="V48">
        <v>26</v>
      </c>
      <c r="W48">
        <f t="shared" si="1"/>
        <v>152</v>
      </c>
    </row>
    <row r="49" spans="1:23" x14ac:dyDescent="0.25">
      <c r="A49" s="14">
        <v>38533</v>
      </c>
      <c r="B49">
        <v>77.860319039957474</v>
      </c>
      <c r="C49">
        <v>71.482542510091832</v>
      </c>
      <c r="D49">
        <v>100.61472786659665</v>
      </c>
      <c r="E49">
        <v>68.823685138769292</v>
      </c>
      <c r="F49">
        <v>71.584679044362701</v>
      </c>
      <c r="G49">
        <v>80.155897306351207</v>
      </c>
      <c r="H49">
        <v>52.541890037332031</v>
      </c>
      <c r="I49">
        <v>57.440858337589333</v>
      </c>
      <c r="J49">
        <v>77.926612974031798</v>
      </c>
      <c r="K49">
        <v>0.62404102684160401</v>
      </c>
      <c r="L49">
        <v>101.57767076923101</v>
      </c>
      <c r="M49" s="15">
        <f>+'[3]VAR expectations'!C73</f>
        <v>2.2621936183541234</v>
      </c>
      <c r="N49">
        <v>0.50804321100112604</v>
      </c>
      <c r="O49">
        <v>0.204065629477542</v>
      </c>
      <c r="P49">
        <v>-0.14649886000040899</v>
      </c>
      <c r="Q49">
        <v>329</v>
      </c>
      <c r="R49">
        <v>55</v>
      </c>
      <c r="S49">
        <v>464</v>
      </c>
      <c r="T49">
        <v>106</v>
      </c>
      <c r="U49">
        <v>20</v>
      </c>
      <c r="V49">
        <v>26</v>
      </c>
      <c r="W49">
        <f t="shared" si="1"/>
        <v>152</v>
      </c>
    </row>
    <row r="50" spans="1:23" x14ac:dyDescent="0.25">
      <c r="A50" s="14">
        <v>38625</v>
      </c>
      <c r="B50">
        <v>78.392641647228075</v>
      </c>
      <c r="C50">
        <v>72.32930098514457</v>
      </c>
      <c r="D50">
        <v>100.07117850203453</v>
      </c>
      <c r="E50">
        <v>68.93723807216837</v>
      </c>
      <c r="F50">
        <v>71.487850246017729</v>
      </c>
      <c r="G50">
        <v>80.839757461458035</v>
      </c>
      <c r="H50">
        <v>52.691778597027337</v>
      </c>
      <c r="I50">
        <v>60.297134294154539</v>
      </c>
      <c r="J50">
        <v>78.429892117686506</v>
      </c>
      <c r="K50">
        <v>0.64005400942808899</v>
      </c>
      <c r="L50">
        <v>99.734880303030295</v>
      </c>
      <c r="M50" s="15">
        <f>+'[3]VAR expectations'!C74</f>
        <v>2.2761535969954032</v>
      </c>
      <c r="N50">
        <v>0.70017615103754105</v>
      </c>
      <c r="O50">
        <v>0.242344274322987</v>
      </c>
      <c r="P50">
        <v>9.7494219999806203E-2</v>
      </c>
      <c r="Q50">
        <v>329</v>
      </c>
      <c r="R50">
        <v>55</v>
      </c>
      <c r="S50">
        <v>464</v>
      </c>
      <c r="T50">
        <v>106</v>
      </c>
      <c r="U50">
        <v>20</v>
      </c>
      <c r="V50">
        <v>26</v>
      </c>
      <c r="W50">
        <f t="shared" si="1"/>
        <v>152</v>
      </c>
    </row>
    <row r="51" spans="1:23" x14ac:dyDescent="0.25">
      <c r="A51" s="14">
        <v>38717</v>
      </c>
      <c r="B51">
        <v>78.665010931007302</v>
      </c>
      <c r="C51">
        <v>72.762316994045875</v>
      </c>
      <c r="D51">
        <v>99.588196020487615</v>
      </c>
      <c r="E51">
        <v>69.148767012428607</v>
      </c>
      <c r="F51">
        <v>71.487766538924816</v>
      </c>
      <c r="G51">
        <v>80.757559038099032</v>
      </c>
      <c r="H51">
        <v>53.781965205942164</v>
      </c>
      <c r="I51">
        <v>62.213078982801257</v>
      </c>
      <c r="J51">
        <v>78.650455282462801</v>
      </c>
      <c r="K51">
        <v>0.64257239123518295</v>
      </c>
      <c r="L51">
        <v>99.510515384615402</v>
      </c>
      <c r="M51" s="15">
        <f>+'[3]VAR expectations'!C75</f>
        <v>2.3383760137173226</v>
      </c>
      <c r="N51">
        <v>0.64873933629690095</v>
      </c>
      <c r="O51">
        <v>0.150036034492979</v>
      </c>
      <c r="P51">
        <v>-2.1327579999978599E-2</v>
      </c>
      <c r="Q51">
        <v>329</v>
      </c>
      <c r="R51">
        <v>55</v>
      </c>
      <c r="S51">
        <v>464</v>
      </c>
      <c r="T51">
        <v>106</v>
      </c>
      <c r="U51">
        <v>20</v>
      </c>
      <c r="V51">
        <v>26</v>
      </c>
      <c r="W51">
        <f t="shared" si="1"/>
        <v>152</v>
      </c>
    </row>
    <row r="52" spans="1:23" x14ac:dyDescent="0.25">
      <c r="A52" s="14">
        <v>38807</v>
      </c>
      <c r="B52">
        <v>79.028056405061832</v>
      </c>
      <c r="C52">
        <v>73.385241771474753</v>
      </c>
      <c r="D52">
        <v>99.218511677381798</v>
      </c>
      <c r="E52">
        <v>69.456235718052326</v>
      </c>
      <c r="F52">
        <v>71.887123990733372</v>
      </c>
      <c r="G52">
        <v>80.784700864428601</v>
      </c>
      <c r="H52">
        <v>54.031494090567527</v>
      </c>
      <c r="I52">
        <v>63.507502812039966</v>
      </c>
      <c r="J52">
        <v>78.979694161115503</v>
      </c>
      <c r="K52">
        <v>0.652090387217511</v>
      </c>
      <c r="L52">
        <v>98.760283076923102</v>
      </c>
      <c r="M52" s="15">
        <f>+'[3]VAR expectations'!C76</f>
        <v>2.4666666666666477</v>
      </c>
      <c r="N52">
        <v>0.71062376825367302</v>
      </c>
      <c r="O52">
        <v>9.3912785774244806E-2</v>
      </c>
      <c r="P52">
        <v>-2.3869130000224802E-2</v>
      </c>
      <c r="Q52">
        <v>341</v>
      </c>
      <c r="R52">
        <v>67</v>
      </c>
      <c r="S52">
        <v>446</v>
      </c>
      <c r="T52">
        <v>102</v>
      </c>
      <c r="U52">
        <v>18</v>
      </c>
      <c r="V52">
        <v>26</v>
      </c>
      <c r="W52">
        <f t="shared" si="1"/>
        <v>146</v>
      </c>
    </row>
    <row r="53" spans="1:23" x14ac:dyDescent="0.25">
      <c r="A53" s="14">
        <v>38898</v>
      </c>
      <c r="B53">
        <v>79.616100225414002</v>
      </c>
      <c r="C53">
        <v>74.005587614965137</v>
      </c>
      <c r="D53">
        <v>98.648450712221987</v>
      </c>
      <c r="E53">
        <v>69.890091452569237</v>
      </c>
      <c r="F53">
        <v>72.381509189036436</v>
      </c>
      <c r="G53">
        <v>80.348361870751532</v>
      </c>
      <c r="H53">
        <v>54.731568788974869</v>
      </c>
      <c r="I53">
        <v>67.671668071055976</v>
      </c>
      <c r="J53">
        <v>79.688483811502905</v>
      </c>
      <c r="K53">
        <v>0.65617518075692405</v>
      </c>
      <c r="L53">
        <v>100.279141538462</v>
      </c>
      <c r="M53" s="15">
        <f>+'[3]VAR expectations'!C77</f>
        <v>2.4000000000000123</v>
      </c>
      <c r="N53">
        <v>1.0848462424740499</v>
      </c>
      <c r="O53">
        <v>0.58313714236387104</v>
      </c>
      <c r="P53">
        <v>2.60660000000533E-2</v>
      </c>
      <c r="Q53">
        <v>341</v>
      </c>
      <c r="R53">
        <v>67</v>
      </c>
      <c r="S53">
        <v>446</v>
      </c>
      <c r="T53">
        <v>102</v>
      </c>
      <c r="U53">
        <v>18</v>
      </c>
      <c r="V53">
        <v>26</v>
      </c>
      <c r="W53">
        <f t="shared" si="1"/>
        <v>146</v>
      </c>
    </row>
    <row r="54" spans="1:23" x14ac:dyDescent="0.25">
      <c r="A54" s="14">
        <v>38990</v>
      </c>
      <c r="B54">
        <v>80.274543396595945</v>
      </c>
      <c r="C54">
        <v>74.554497689043544</v>
      </c>
      <c r="D54">
        <v>98.578686661693794</v>
      </c>
      <c r="E54">
        <v>71.285664214569394</v>
      </c>
      <c r="F54">
        <v>73.986476840540476</v>
      </c>
      <c r="G54">
        <v>80.810976605745665</v>
      </c>
      <c r="H54">
        <v>55.632163947618835</v>
      </c>
      <c r="I54">
        <v>70.050693769518105</v>
      </c>
      <c r="J54">
        <v>80.3140859444444</v>
      </c>
      <c r="K54">
        <v>0.65104403115045795</v>
      </c>
      <c r="L54">
        <v>102.332647692308</v>
      </c>
      <c r="M54" s="15">
        <f>+'[3]VAR expectations'!C78</f>
        <v>2.2999999999999843</v>
      </c>
      <c r="N54">
        <v>1.0480109248003999</v>
      </c>
      <c r="O54">
        <v>0.20579069700496899</v>
      </c>
      <c r="P54">
        <v>4.9794569999638702E-2</v>
      </c>
      <c r="Q54">
        <v>341</v>
      </c>
      <c r="R54">
        <v>67</v>
      </c>
      <c r="S54">
        <v>446</v>
      </c>
      <c r="T54">
        <v>102</v>
      </c>
      <c r="U54">
        <v>18</v>
      </c>
      <c r="V54">
        <v>26</v>
      </c>
      <c r="W54">
        <f t="shared" si="1"/>
        <v>146</v>
      </c>
    </row>
    <row r="55" spans="1:23" x14ac:dyDescent="0.25">
      <c r="A55" s="14">
        <v>39082</v>
      </c>
      <c r="B55">
        <v>80.800427132575294</v>
      </c>
      <c r="C55">
        <v>75.456551074466361</v>
      </c>
      <c r="D55">
        <v>98.558511823882782</v>
      </c>
      <c r="E55">
        <v>72.057911845941263</v>
      </c>
      <c r="F55">
        <v>74.869558595653103</v>
      </c>
      <c r="G55">
        <v>81.596468201243965</v>
      </c>
      <c r="H55">
        <v>56.187332521023102</v>
      </c>
      <c r="I55">
        <v>69.842554982328167</v>
      </c>
      <c r="J55">
        <v>80.7676039528492</v>
      </c>
      <c r="K55">
        <v>0.64418906925003505</v>
      </c>
      <c r="L55">
        <v>103.713430769231</v>
      </c>
      <c r="M55" s="15">
        <f>+'[3]VAR expectations'!C79</f>
        <v>2.4333333333333633</v>
      </c>
      <c r="N55">
        <v>0.81313574028850799</v>
      </c>
      <c r="O55">
        <v>-8.0932616320032805E-2</v>
      </c>
      <c r="P55">
        <v>0.185573520000233</v>
      </c>
      <c r="Q55">
        <v>341</v>
      </c>
      <c r="R55">
        <v>67</v>
      </c>
      <c r="S55">
        <v>446</v>
      </c>
      <c r="T55">
        <v>102</v>
      </c>
      <c r="U55">
        <v>18</v>
      </c>
      <c r="V55">
        <v>26</v>
      </c>
      <c r="W55">
        <f t="shared" si="1"/>
        <v>146</v>
      </c>
    </row>
    <row r="56" spans="1:23" x14ac:dyDescent="0.25">
      <c r="A56" s="14">
        <v>39172</v>
      </c>
      <c r="B56">
        <v>81.294136618014008</v>
      </c>
      <c r="C56">
        <v>76.094739687307197</v>
      </c>
      <c r="D56">
        <v>98.471297789163984</v>
      </c>
      <c r="E56">
        <v>72.551116031476994</v>
      </c>
      <c r="F56">
        <v>75.238861107135165</v>
      </c>
      <c r="G56">
        <v>81.666506128697549</v>
      </c>
      <c r="H56">
        <v>57.265354626908199</v>
      </c>
      <c r="I56">
        <v>71.130011788049003</v>
      </c>
      <c r="J56">
        <v>81.262667673769101</v>
      </c>
      <c r="K56">
        <v>0.63269312835008995</v>
      </c>
      <c r="L56">
        <v>104.730033846154</v>
      </c>
      <c r="M56" s="15">
        <f>+'[3]VAR expectations'!C80</f>
        <v>2.5333333333333421</v>
      </c>
      <c r="N56">
        <v>0.81545309377751096</v>
      </c>
      <c r="O56">
        <v>0.110154954327973</v>
      </c>
      <c r="P56">
        <v>0.40345245000034902</v>
      </c>
      <c r="Q56">
        <v>326</v>
      </c>
      <c r="R56">
        <v>75</v>
      </c>
      <c r="S56">
        <v>453</v>
      </c>
      <c r="T56">
        <v>103</v>
      </c>
      <c r="U56">
        <v>18</v>
      </c>
      <c r="V56">
        <v>25</v>
      </c>
      <c r="W56">
        <f t="shared" si="1"/>
        <v>146</v>
      </c>
    </row>
    <row r="57" spans="1:23" x14ac:dyDescent="0.25">
      <c r="A57" s="14">
        <v>39263</v>
      </c>
      <c r="B57">
        <v>81.649031387267755</v>
      </c>
      <c r="C57">
        <v>76.64243991885553</v>
      </c>
      <c r="D57">
        <v>98.272229617542379</v>
      </c>
      <c r="E57">
        <v>73.298449241294762</v>
      </c>
      <c r="F57">
        <v>76.216291535020773</v>
      </c>
      <c r="G57">
        <v>81.34985046114106</v>
      </c>
      <c r="H57">
        <v>57.844587258155173</v>
      </c>
      <c r="I57">
        <v>71.155158417346925</v>
      </c>
      <c r="J57">
        <v>81.726256142183999</v>
      </c>
      <c r="K57">
        <v>0.64008688386534296</v>
      </c>
      <c r="L57">
        <v>104.239373846154</v>
      </c>
      <c r="M57" s="15">
        <f>+'[3]VAR expectations'!C81</f>
        <v>2.4666666666666814</v>
      </c>
      <c r="N57">
        <v>0.37404988473768203</v>
      </c>
      <c r="O57">
        <v>0.14035169197522099</v>
      </c>
      <c r="P57">
        <v>0.53149722000028499</v>
      </c>
      <c r="Q57">
        <v>326</v>
      </c>
      <c r="R57">
        <v>75</v>
      </c>
      <c r="S57">
        <v>453</v>
      </c>
      <c r="T57">
        <v>103</v>
      </c>
      <c r="U57">
        <v>18</v>
      </c>
      <c r="V57">
        <v>25</v>
      </c>
      <c r="W57">
        <f t="shared" si="1"/>
        <v>146</v>
      </c>
    </row>
    <row r="58" spans="1:23" x14ac:dyDescent="0.25">
      <c r="A58" s="14">
        <v>39355</v>
      </c>
      <c r="B58">
        <v>81.704607649555726</v>
      </c>
      <c r="C58">
        <v>77.223121158685572</v>
      </c>
      <c r="D58">
        <v>97.54075778551244</v>
      </c>
      <c r="E58">
        <v>73.551211921771724</v>
      </c>
      <c r="F58">
        <v>76.301462693526432</v>
      </c>
      <c r="G58">
        <v>81.72889315401649</v>
      </c>
      <c r="H58">
        <v>58.326849901383973</v>
      </c>
      <c r="I58">
        <v>70.482016025555666</v>
      </c>
      <c r="J58">
        <v>81.7387605418172</v>
      </c>
      <c r="K58">
        <v>0.64067203317101096</v>
      </c>
      <c r="L58">
        <v>104.41271846153801</v>
      </c>
      <c r="M58" s="15">
        <f>+'[3]VAR expectations'!C82</f>
        <v>2.4999999999999987</v>
      </c>
      <c r="N58">
        <v>4.4323022748277999E-2</v>
      </c>
      <c r="O58">
        <v>-0.11833065960497099</v>
      </c>
      <c r="P58">
        <v>0.48016314000027399</v>
      </c>
      <c r="Q58">
        <v>326</v>
      </c>
      <c r="R58">
        <v>75</v>
      </c>
      <c r="S58">
        <v>453</v>
      </c>
      <c r="T58">
        <v>103</v>
      </c>
      <c r="U58">
        <v>18</v>
      </c>
      <c r="V58">
        <v>25</v>
      </c>
      <c r="W58">
        <f t="shared" si="1"/>
        <v>146</v>
      </c>
    </row>
    <row r="59" spans="1:23" x14ac:dyDescent="0.25">
      <c r="A59" s="14">
        <v>39447</v>
      </c>
      <c r="B59">
        <v>82.511309279004664</v>
      </c>
      <c r="C59">
        <v>77.976239820427494</v>
      </c>
      <c r="D59">
        <v>97.45807323734374</v>
      </c>
      <c r="E59">
        <v>75.219909981788263</v>
      </c>
      <c r="F59">
        <v>78.59689596002363</v>
      </c>
      <c r="G59">
        <v>81.927561680091671</v>
      </c>
      <c r="H59">
        <v>58.859087047981234</v>
      </c>
      <c r="I59">
        <v>73.07789984495254</v>
      </c>
      <c r="J59">
        <v>82.455030827616596</v>
      </c>
      <c r="K59">
        <v>0.65730996679913101</v>
      </c>
      <c r="L59">
        <v>101.594292424242</v>
      </c>
      <c r="M59" s="15">
        <f>+'[3]VAR expectations'!C83</f>
        <v>2.6999999999999864</v>
      </c>
      <c r="N59">
        <v>0.33094281461280101</v>
      </c>
      <c r="O59">
        <v>0.207260368558223</v>
      </c>
      <c r="P59">
        <v>0.38278913000034598</v>
      </c>
      <c r="Q59">
        <v>326</v>
      </c>
      <c r="R59">
        <v>75</v>
      </c>
      <c r="S59">
        <v>453</v>
      </c>
      <c r="T59">
        <v>103</v>
      </c>
      <c r="U59">
        <v>18</v>
      </c>
      <c r="V59">
        <v>25</v>
      </c>
      <c r="W59">
        <f t="shared" si="1"/>
        <v>146</v>
      </c>
    </row>
    <row r="60" spans="1:23" x14ac:dyDescent="0.25">
      <c r="A60" s="14">
        <v>39538</v>
      </c>
      <c r="B60">
        <v>83.213165061540039</v>
      </c>
      <c r="C60">
        <v>78.585583381428435</v>
      </c>
      <c r="D60">
        <v>96.951612826804194</v>
      </c>
      <c r="E60">
        <v>75.9895385983898</v>
      </c>
      <c r="F60">
        <v>79.533800498581442</v>
      </c>
      <c r="G60">
        <v>81.95876141447927</v>
      </c>
      <c r="H60">
        <v>59.544386412054365</v>
      </c>
      <c r="I60">
        <v>77.885301008211272</v>
      </c>
      <c r="J60">
        <v>83.221731491025807</v>
      </c>
      <c r="K60">
        <v>0.68564477605056495</v>
      </c>
      <c r="L60">
        <v>95.934953846153803</v>
      </c>
      <c r="M60" s="15">
        <f>+'[3]VAR expectations'!C84</f>
        <v>3.3233333333333448</v>
      </c>
      <c r="N60">
        <v>0.70956108465802203</v>
      </c>
      <c r="O60">
        <v>0.46567345359179702</v>
      </c>
      <c r="P60">
        <v>0.55036509999983996</v>
      </c>
      <c r="Q60">
        <v>323</v>
      </c>
      <c r="R60">
        <v>73</v>
      </c>
      <c r="S60">
        <v>453</v>
      </c>
      <c r="T60">
        <v>109</v>
      </c>
      <c r="U60">
        <v>18</v>
      </c>
      <c r="V60">
        <v>24</v>
      </c>
      <c r="W60">
        <f t="shared" si="1"/>
        <v>151</v>
      </c>
    </row>
    <row r="61" spans="1:23" x14ac:dyDescent="0.25">
      <c r="A61" s="14">
        <v>39629</v>
      </c>
      <c r="B61">
        <v>84.399628691604164</v>
      </c>
      <c r="C61">
        <v>79.538236594530304</v>
      </c>
      <c r="D61">
        <v>96.709639018266031</v>
      </c>
      <c r="E61">
        <v>78.381976108257803</v>
      </c>
      <c r="F61">
        <v>82.317852049155576</v>
      </c>
      <c r="G61">
        <v>84.883190456756665</v>
      </c>
      <c r="H61">
        <v>60.342090860681104</v>
      </c>
      <c r="I61">
        <v>82.676147487198065</v>
      </c>
      <c r="J61">
        <v>84.4783985597211</v>
      </c>
      <c r="K61">
        <v>0.71013328179353397</v>
      </c>
      <c r="L61">
        <v>93.071035384615399</v>
      </c>
      <c r="M61" s="15">
        <f>+'[3]VAR expectations'!C85</f>
        <v>4.1266666666667335</v>
      </c>
      <c r="N61">
        <v>1.1528273888926699</v>
      </c>
      <c r="O61">
        <v>0.57749494659596201</v>
      </c>
      <c r="P61">
        <v>-0.77297461999967598</v>
      </c>
      <c r="Q61">
        <v>323</v>
      </c>
      <c r="R61">
        <v>73</v>
      </c>
      <c r="S61">
        <v>453</v>
      </c>
      <c r="T61">
        <v>109</v>
      </c>
      <c r="U61">
        <v>18</v>
      </c>
      <c r="V61">
        <v>24</v>
      </c>
      <c r="W61">
        <f t="shared" si="1"/>
        <v>151</v>
      </c>
    </row>
    <row r="62" spans="1:23" x14ac:dyDescent="0.25">
      <c r="A62" s="14">
        <v>39721</v>
      </c>
      <c r="B62">
        <v>85.622629522037414</v>
      </c>
      <c r="C62">
        <v>80.567896226262064</v>
      </c>
      <c r="D62">
        <v>96.458973792224512</v>
      </c>
      <c r="E62">
        <v>80.82116955064113</v>
      </c>
      <c r="F62">
        <v>85.573695746140842</v>
      </c>
      <c r="G62">
        <v>85.076931032916534</v>
      </c>
      <c r="H62">
        <v>60.969200081000501</v>
      </c>
      <c r="I62">
        <v>87.767599677395822</v>
      </c>
      <c r="J62">
        <v>85.633335277083802</v>
      </c>
      <c r="K62">
        <v>0.73340169529048804</v>
      </c>
      <c r="L62">
        <v>91.695078787878799</v>
      </c>
      <c r="M62" s="15">
        <f>+'[3]VAR expectations'!C86</f>
        <v>4.3404589371979831</v>
      </c>
      <c r="N62">
        <v>1.7249383242570699</v>
      </c>
      <c r="O62">
        <v>0.41477957846817098</v>
      </c>
      <c r="P62">
        <v>-1.12977768999955</v>
      </c>
      <c r="Q62">
        <v>323</v>
      </c>
      <c r="R62">
        <v>73</v>
      </c>
      <c r="S62">
        <v>453</v>
      </c>
      <c r="T62">
        <v>109</v>
      </c>
      <c r="U62">
        <v>18</v>
      </c>
      <c r="V62">
        <v>24</v>
      </c>
      <c r="W62">
        <f t="shared" si="1"/>
        <v>151</v>
      </c>
    </row>
    <row r="63" spans="1:23" x14ac:dyDescent="0.25">
      <c r="A63" s="14">
        <v>39813</v>
      </c>
      <c r="B63">
        <v>85.715849383323402</v>
      </c>
      <c r="C63">
        <v>81.447767371900468</v>
      </c>
      <c r="D63">
        <v>95.356926303572138</v>
      </c>
      <c r="E63">
        <v>81.793418536337029</v>
      </c>
      <c r="F63">
        <v>86.792930882575135</v>
      </c>
      <c r="G63">
        <v>85.181227883230164</v>
      </c>
      <c r="H63">
        <v>61.653547740174794</v>
      </c>
      <c r="I63">
        <v>85.991098649054607</v>
      </c>
      <c r="J63">
        <v>85.640873534576798</v>
      </c>
      <c r="K63">
        <v>0.72747031121115702</v>
      </c>
      <c r="L63">
        <v>83.942380303030305</v>
      </c>
      <c r="M63" s="15">
        <f>+'[3]VAR expectations'!C87</f>
        <v>1.5441543026706288</v>
      </c>
      <c r="N63">
        <v>1.2851169715736199</v>
      </c>
      <c r="O63">
        <v>-0.25671941715742802</v>
      </c>
      <c r="P63">
        <v>-2.2975232500002498</v>
      </c>
      <c r="Q63">
        <v>323</v>
      </c>
      <c r="R63">
        <v>73</v>
      </c>
      <c r="S63">
        <v>453</v>
      </c>
      <c r="T63">
        <v>109</v>
      </c>
      <c r="U63">
        <v>18</v>
      </c>
      <c r="V63">
        <v>24</v>
      </c>
      <c r="W63">
        <f t="shared" si="1"/>
        <v>151</v>
      </c>
    </row>
    <row r="64" spans="1:23" x14ac:dyDescent="0.25">
      <c r="A64" s="14">
        <v>39903</v>
      </c>
      <c r="B64">
        <v>85.677462002399025</v>
      </c>
      <c r="C64">
        <v>81.8373628299952</v>
      </c>
      <c r="D64">
        <v>94.82762536178457</v>
      </c>
      <c r="E64">
        <v>83.009858752498701</v>
      </c>
      <c r="F64">
        <v>87.99238483031273</v>
      </c>
      <c r="G64">
        <v>87.197950309735418</v>
      </c>
      <c r="H64">
        <v>62.259307440390501</v>
      </c>
      <c r="I64">
        <v>82.010216180608893</v>
      </c>
      <c r="J64">
        <v>85.727729818347797</v>
      </c>
      <c r="K64">
        <v>0.73092000531804802</v>
      </c>
      <c r="L64">
        <v>77.790968750000005</v>
      </c>
      <c r="M64" s="15">
        <f>+'[3]VAR expectations'!C88</f>
        <v>1.4821164021163924</v>
      </c>
      <c r="N64">
        <v>0.49581996628150798</v>
      </c>
      <c r="O64">
        <v>-0.32614814317173602</v>
      </c>
      <c r="P64">
        <v>-3.8884712599996099</v>
      </c>
      <c r="Q64">
        <v>312</v>
      </c>
      <c r="R64">
        <v>80</v>
      </c>
      <c r="S64">
        <v>446</v>
      </c>
      <c r="T64">
        <v>118</v>
      </c>
      <c r="U64">
        <v>21</v>
      </c>
      <c r="V64">
        <v>23</v>
      </c>
      <c r="W64">
        <f t="shared" si="1"/>
        <v>162</v>
      </c>
    </row>
    <row r="65" spans="1:23" x14ac:dyDescent="0.25">
      <c r="A65" s="14">
        <v>39994</v>
      </c>
      <c r="B65">
        <v>86.159767492683542</v>
      </c>
      <c r="C65">
        <v>82.270942665957477</v>
      </c>
      <c r="D65">
        <v>95.654937819546035</v>
      </c>
      <c r="E65">
        <v>83.220861364471133</v>
      </c>
      <c r="F65">
        <v>88.308924431647242</v>
      </c>
      <c r="G65">
        <v>87.2106843235659</v>
      </c>
      <c r="H65">
        <v>62.31096319764697</v>
      </c>
      <c r="I65">
        <v>82.036383770267079</v>
      </c>
      <c r="J65">
        <v>86.234754047421404</v>
      </c>
      <c r="K65">
        <v>0.71601344282857504</v>
      </c>
      <c r="L65">
        <v>81.3092738461538</v>
      </c>
      <c r="M65" s="15">
        <f>+'[3]VAR expectations'!C89</f>
        <v>1.8160783232406086</v>
      </c>
      <c r="N65">
        <v>-3.3463491076020598E-3</v>
      </c>
      <c r="O65">
        <v>6.5202411569874996E-2</v>
      </c>
      <c r="P65">
        <v>-4.00545135999994</v>
      </c>
      <c r="Q65">
        <v>312</v>
      </c>
      <c r="R65">
        <v>80</v>
      </c>
      <c r="S65">
        <v>446</v>
      </c>
      <c r="T65">
        <v>118</v>
      </c>
      <c r="U65">
        <v>21</v>
      </c>
      <c r="V65">
        <v>23</v>
      </c>
      <c r="W65">
        <f t="shared" si="1"/>
        <v>162</v>
      </c>
    </row>
    <row r="66" spans="1:23" x14ac:dyDescent="0.25">
      <c r="A66" s="14">
        <v>40086</v>
      </c>
      <c r="B66">
        <v>86.924358891708593</v>
      </c>
      <c r="C66">
        <v>82.818965312281861</v>
      </c>
      <c r="D66">
        <v>96.748856708978778</v>
      </c>
      <c r="E66">
        <v>83.273957659158341</v>
      </c>
      <c r="F66">
        <v>87.773256636320468</v>
      </c>
      <c r="G66">
        <v>88.56567785299778</v>
      </c>
      <c r="H66">
        <v>63.382794944633794</v>
      </c>
      <c r="I66">
        <v>84.438229198942196</v>
      </c>
      <c r="J66">
        <v>86.903555326754898</v>
      </c>
      <c r="K66">
        <v>0.71104869772248203</v>
      </c>
      <c r="L66">
        <v>82.911893939393906</v>
      </c>
      <c r="M66" s="15">
        <f>+'[3]VAR expectations'!C90</f>
        <v>1.8710162025955688</v>
      </c>
      <c r="N66">
        <v>-0.246943476236648</v>
      </c>
      <c r="O66">
        <v>0.18136360737922499</v>
      </c>
      <c r="P66">
        <v>-4.0528010000001196</v>
      </c>
      <c r="Q66">
        <v>312</v>
      </c>
      <c r="R66">
        <v>80</v>
      </c>
      <c r="S66">
        <v>446</v>
      </c>
      <c r="T66">
        <v>118</v>
      </c>
      <c r="U66">
        <v>21</v>
      </c>
      <c r="V66">
        <v>23</v>
      </c>
      <c r="W66">
        <f t="shared" si="1"/>
        <v>162</v>
      </c>
    </row>
    <row r="67" spans="1:23" x14ac:dyDescent="0.25">
      <c r="A67" s="14">
        <v>40178</v>
      </c>
      <c r="B67">
        <v>87.534280262770906</v>
      </c>
      <c r="C67">
        <v>83.410496075282467</v>
      </c>
      <c r="D67">
        <v>97.120889175196865</v>
      </c>
      <c r="E67">
        <v>83.844235908331228</v>
      </c>
      <c r="F67">
        <v>88.325907814771838</v>
      </c>
      <c r="G67">
        <v>89.287832817127693</v>
      </c>
      <c r="H67">
        <v>64.125626245681403</v>
      </c>
      <c r="I67">
        <v>86.397390063023195</v>
      </c>
      <c r="J67">
        <v>87.453767874372005</v>
      </c>
      <c r="K67">
        <v>0.718035511271781</v>
      </c>
      <c r="L67">
        <v>80.353062121212105</v>
      </c>
      <c r="M67" s="15">
        <f>+'[3]VAR expectations'!C91</f>
        <v>2.0075486250838721</v>
      </c>
      <c r="N67">
        <v>0.101321891194596</v>
      </c>
      <c r="O67">
        <v>0.13445341671153399</v>
      </c>
      <c r="P67">
        <v>-4.2009004299999901</v>
      </c>
      <c r="Q67">
        <v>312</v>
      </c>
      <c r="R67">
        <v>80</v>
      </c>
      <c r="S67">
        <v>446</v>
      </c>
      <c r="T67">
        <v>118</v>
      </c>
      <c r="U67">
        <v>21</v>
      </c>
      <c r="V67">
        <v>23</v>
      </c>
      <c r="W67">
        <f t="shared" si="1"/>
        <v>162</v>
      </c>
    </row>
    <row r="68" spans="1:23" x14ac:dyDescent="0.25">
      <c r="A68" s="14">
        <v>40268</v>
      </c>
      <c r="B68">
        <v>88.431032104150447</v>
      </c>
      <c r="C68">
        <v>84.379845140505964</v>
      </c>
      <c r="D68">
        <v>97.462492183161885</v>
      </c>
      <c r="E68">
        <v>85.139203887203209</v>
      </c>
      <c r="F68">
        <v>89.453891256545731</v>
      </c>
      <c r="G68">
        <v>89.559480984497313</v>
      </c>
      <c r="H68">
        <v>66.656144632037467</v>
      </c>
      <c r="I68">
        <v>87.699408759157777</v>
      </c>
      <c r="J68">
        <v>88.514134771042393</v>
      </c>
      <c r="K68">
        <v>0.73762646098512996</v>
      </c>
      <c r="L68">
        <v>79.543812500000001</v>
      </c>
      <c r="M68" s="15">
        <f>+'[3]VAR expectations'!C92</f>
        <v>2.301390043398611</v>
      </c>
      <c r="N68">
        <v>0.50255924177984002</v>
      </c>
      <c r="O68">
        <v>0.18762675130171899</v>
      </c>
      <c r="P68">
        <v>-3.91803285429474</v>
      </c>
      <c r="Q68">
        <v>313</v>
      </c>
      <c r="R68">
        <v>88</v>
      </c>
      <c r="S68">
        <v>451</v>
      </c>
      <c r="T68">
        <v>108</v>
      </c>
      <c r="U68">
        <v>18</v>
      </c>
      <c r="V68">
        <v>22</v>
      </c>
      <c r="W68">
        <f t="shared" si="1"/>
        <v>148</v>
      </c>
    </row>
    <row r="69" spans="1:23" x14ac:dyDescent="0.25">
      <c r="A69" s="14">
        <v>40359</v>
      </c>
      <c r="B69">
        <v>89.149934802840946</v>
      </c>
      <c r="C69">
        <v>85.197669545480593</v>
      </c>
      <c r="D69">
        <v>97.794868407626495</v>
      </c>
      <c r="E69">
        <v>85.883704426798275</v>
      </c>
      <c r="F69">
        <v>90.264506918278514</v>
      </c>
      <c r="G69">
        <v>90.181242696282126</v>
      </c>
      <c r="H69">
        <v>67.322785266317638</v>
      </c>
      <c r="I69">
        <v>88.993371263209625</v>
      </c>
      <c r="J69">
        <v>89.209095175361497</v>
      </c>
      <c r="K69">
        <v>0.74845947139534197</v>
      </c>
      <c r="L69">
        <v>79.899689230769198</v>
      </c>
      <c r="M69" s="15">
        <f>+'[3]VAR expectations'!C93</f>
        <v>2.6505886564059562</v>
      </c>
      <c r="N69">
        <v>0.58031803605650401</v>
      </c>
      <c r="O69">
        <v>0.158164675972188</v>
      </c>
      <c r="P69">
        <v>-3.1729462029534301</v>
      </c>
      <c r="Q69">
        <v>313</v>
      </c>
      <c r="R69">
        <v>88</v>
      </c>
      <c r="S69">
        <v>451</v>
      </c>
      <c r="T69">
        <v>108</v>
      </c>
      <c r="U69">
        <v>18</v>
      </c>
      <c r="V69">
        <v>22</v>
      </c>
      <c r="W69">
        <f t="shared" si="1"/>
        <v>148</v>
      </c>
    </row>
    <row r="70" spans="1:23" x14ac:dyDescent="0.25">
      <c r="A70" s="14">
        <v>40451</v>
      </c>
      <c r="B70">
        <v>89.638295158769708</v>
      </c>
      <c r="C70">
        <v>85.933660866550454</v>
      </c>
      <c r="D70">
        <v>97.975058847081826</v>
      </c>
      <c r="E70">
        <v>86.951847604827265</v>
      </c>
      <c r="F70">
        <v>91.446251484915095</v>
      </c>
      <c r="G70">
        <v>90.863416679873282</v>
      </c>
      <c r="H70">
        <v>68.001566760866936</v>
      </c>
      <c r="I70">
        <v>88.087504935992698</v>
      </c>
      <c r="J70">
        <v>89.597693247304207</v>
      </c>
      <c r="K70">
        <v>0.74234749464842498</v>
      </c>
      <c r="L70">
        <v>81.7654454545455</v>
      </c>
      <c r="M70" s="15">
        <f>+'[3]VAR expectations'!C94</f>
        <v>2.8352346264846378</v>
      </c>
      <c r="N70">
        <v>0.26076684740058198</v>
      </c>
      <c r="O70">
        <v>-0.12701395323713599</v>
      </c>
      <c r="P70">
        <v>-2.7313100162213</v>
      </c>
      <c r="Q70">
        <v>313</v>
      </c>
      <c r="R70">
        <v>88</v>
      </c>
      <c r="S70">
        <v>451</v>
      </c>
      <c r="T70">
        <v>108</v>
      </c>
      <c r="U70">
        <v>18</v>
      </c>
      <c r="V70">
        <v>22</v>
      </c>
      <c r="W70">
        <f t="shared" si="1"/>
        <v>148</v>
      </c>
    </row>
    <row r="71" spans="1:23" x14ac:dyDescent="0.25">
      <c r="A71" s="14">
        <v>40543</v>
      </c>
      <c r="B71">
        <v>90.489806257972134</v>
      </c>
      <c r="C71">
        <v>86.591553281542744</v>
      </c>
      <c r="D71">
        <v>98.36929168215427</v>
      </c>
      <c r="E71">
        <v>88.591674994332436</v>
      </c>
      <c r="F71">
        <v>93.134608912414322</v>
      </c>
      <c r="G71">
        <v>92.782142728005908</v>
      </c>
      <c r="H71">
        <v>69.3341735600535</v>
      </c>
      <c r="I71">
        <v>90.420116397954175</v>
      </c>
      <c r="J71">
        <v>90.4101607728266</v>
      </c>
      <c r="K71">
        <v>0.75542882863199101</v>
      </c>
      <c r="L71">
        <v>80.312759090909097</v>
      </c>
      <c r="M71" s="15">
        <f>+'[3]VAR expectations'!C95</f>
        <v>3.2715136112828467</v>
      </c>
      <c r="N71">
        <v>0.32099091782760703</v>
      </c>
      <c r="O71">
        <v>0.19462453007871</v>
      </c>
      <c r="P71">
        <v>-2.6327041433767802</v>
      </c>
      <c r="Q71">
        <v>313</v>
      </c>
      <c r="R71">
        <v>88</v>
      </c>
      <c r="S71">
        <v>451</v>
      </c>
      <c r="T71">
        <v>108</v>
      </c>
      <c r="U71">
        <v>18</v>
      </c>
      <c r="V71">
        <v>22</v>
      </c>
      <c r="W71">
        <f t="shared" si="1"/>
        <v>148</v>
      </c>
    </row>
    <row r="72" spans="1:23" x14ac:dyDescent="0.25">
      <c r="A72" s="14">
        <v>40633</v>
      </c>
      <c r="B72">
        <v>92.028245098535237</v>
      </c>
      <c r="C72">
        <v>87.912964975502589</v>
      </c>
      <c r="D72">
        <v>99.170306293105753</v>
      </c>
      <c r="E72">
        <v>90.012389442931905</v>
      </c>
      <c r="F72">
        <v>94.438459956715803</v>
      </c>
      <c r="G72">
        <v>93.157843011377167</v>
      </c>
      <c r="H72">
        <v>71.802037223296765</v>
      </c>
      <c r="I72">
        <v>95.633424761985324</v>
      </c>
      <c r="J72">
        <v>92.119747796089499</v>
      </c>
      <c r="K72">
        <v>0.77480731613046805</v>
      </c>
      <c r="L72">
        <v>80.801396874999995</v>
      </c>
      <c r="M72" s="15">
        <f>+'[3]VAR expectations'!C96</f>
        <v>3.5419702495573993</v>
      </c>
      <c r="N72">
        <v>0.70267001409044105</v>
      </c>
      <c r="O72">
        <v>0.56007002109159698</v>
      </c>
      <c r="P72">
        <v>-2.6640610417010699</v>
      </c>
      <c r="Q72">
        <v>314</v>
      </c>
      <c r="R72">
        <v>87</v>
      </c>
      <c r="S72">
        <v>439</v>
      </c>
      <c r="T72">
        <v>118</v>
      </c>
      <c r="U72">
        <v>19</v>
      </c>
      <c r="V72">
        <v>23</v>
      </c>
      <c r="W72">
        <f t="shared" si="1"/>
        <v>160</v>
      </c>
    </row>
    <row r="73" spans="1:23" x14ac:dyDescent="0.25">
      <c r="A73" s="14">
        <v>40724</v>
      </c>
      <c r="B73">
        <v>93.071537162553071</v>
      </c>
      <c r="C73">
        <v>89.053940799408039</v>
      </c>
      <c r="D73">
        <v>99.269248759102439</v>
      </c>
      <c r="E73">
        <v>91.67796047664666</v>
      </c>
      <c r="F73">
        <v>95.451423516246692</v>
      </c>
      <c r="G73">
        <v>96.631615928011442</v>
      </c>
      <c r="H73">
        <v>74.99093151196189</v>
      </c>
      <c r="I73">
        <v>98.193892587444864</v>
      </c>
      <c r="J73">
        <v>93.115155211009593</v>
      </c>
      <c r="K73">
        <v>0.79250308454060703</v>
      </c>
      <c r="L73">
        <v>79.449792307692306</v>
      </c>
      <c r="M73" s="15">
        <f>+'[3]VAR expectations'!C97</f>
        <v>3.375212504142874</v>
      </c>
      <c r="N73">
        <v>0.76852261598709404</v>
      </c>
      <c r="O73">
        <v>0.23219285039294399</v>
      </c>
      <c r="P73">
        <v>-3.6923297145002301</v>
      </c>
      <c r="Q73">
        <v>314</v>
      </c>
      <c r="R73">
        <v>87</v>
      </c>
      <c r="S73">
        <v>439</v>
      </c>
      <c r="T73">
        <v>118</v>
      </c>
      <c r="U73">
        <v>19</v>
      </c>
      <c r="V73">
        <v>23</v>
      </c>
      <c r="W73">
        <f t="shared" si="1"/>
        <v>160</v>
      </c>
    </row>
    <row r="74" spans="1:23" x14ac:dyDescent="0.25">
      <c r="A74" s="14">
        <v>40816</v>
      </c>
      <c r="B74">
        <v>93.884445370304263</v>
      </c>
      <c r="C74">
        <v>89.712907883159758</v>
      </c>
      <c r="D74">
        <v>99.557419010603937</v>
      </c>
      <c r="E74">
        <v>93.237253462770809</v>
      </c>
      <c r="F74">
        <v>97.154981393422005</v>
      </c>
      <c r="G74">
        <v>97.117807374027393</v>
      </c>
      <c r="H74">
        <v>76.509668803075883</v>
      </c>
      <c r="I74">
        <v>100.16051749310999</v>
      </c>
      <c r="J74">
        <v>93.838228902574699</v>
      </c>
      <c r="K74">
        <v>0.80330078884896206</v>
      </c>
      <c r="L74">
        <v>79.238960606060601</v>
      </c>
      <c r="M74" s="15">
        <f>+'[3]VAR expectations'!C98</f>
        <v>3.4898805472145966</v>
      </c>
      <c r="N74">
        <v>1.05498669861284</v>
      </c>
      <c r="O74">
        <v>0.15487507420452101</v>
      </c>
      <c r="P74">
        <v>-3.81142395832528</v>
      </c>
      <c r="Q74">
        <v>314</v>
      </c>
      <c r="R74">
        <v>87</v>
      </c>
      <c r="S74">
        <v>439</v>
      </c>
      <c r="T74">
        <v>118</v>
      </c>
      <c r="U74">
        <v>19</v>
      </c>
      <c r="V74">
        <v>23</v>
      </c>
      <c r="W74">
        <f t="shared" si="1"/>
        <v>160</v>
      </c>
    </row>
    <row r="75" spans="1:23" x14ac:dyDescent="0.25">
      <c r="A75" s="14">
        <v>40908</v>
      </c>
      <c r="B75">
        <v>94.672700412852635</v>
      </c>
      <c r="C75">
        <v>90.273252673891662</v>
      </c>
      <c r="D75">
        <v>99.989179713481462</v>
      </c>
      <c r="E75">
        <v>93.532441070306803</v>
      </c>
      <c r="F75">
        <v>97.130996282674388</v>
      </c>
      <c r="G75">
        <v>97.517109093893495</v>
      </c>
      <c r="H75">
        <v>77.876686343394695</v>
      </c>
      <c r="I75">
        <v>104.67349145727667</v>
      </c>
      <c r="J75">
        <v>94.600470014285307</v>
      </c>
      <c r="K75">
        <v>0.79692550841968202</v>
      </c>
      <c r="L75">
        <v>80.333807692307701</v>
      </c>
      <c r="M75" s="15">
        <f>+'[3]VAR expectations'!C99</f>
        <v>3.2213697643305159</v>
      </c>
      <c r="N75">
        <v>1.24898176101869</v>
      </c>
      <c r="O75">
        <v>0.381362520234932</v>
      </c>
      <c r="P75">
        <v>-3.7266611446887898</v>
      </c>
      <c r="Q75">
        <v>314</v>
      </c>
      <c r="R75">
        <v>87</v>
      </c>
      <c r="S75">
        <v>439</v>
      </c>
      <c r="T75">
        <v>118</v>
      </c>
      <c r="U75">
        <v>19</v>
      </c>
      <c r="V75">
        <v>23</v>
      </c>
      <c r="W75">
        <f t="shared" si="1"/>
        <v>160</v>
      </c>
    </row>
    <row r="76" spans="1:23" x14ac:dyDescent="0.25">
      <c r="A76" s="14">
        <v>40999</v>
      </c>
      <c r="B76">
        <v>95.220825798315275</v>
      </c>
      <c r="C76">
        <v>90.990461665537126</v>
      </c>
      <c r="D76">
        <v>100.26857390115201</v>
      </c>
      <c r="E76">
        <v>94.339793229261318</v>
      </c>
      <c r="F76">
        <v>98.05961052636637</v>
      </c>
      <c r="G76">
        <v>98.455270365252645</v>
      </c>
      <c r="H76">
        <v>78.29777592174257</v>
      </c>
      <c r="I76">
        <v>104.588439261752</v>
      </c>
      <c r="J76">
        <v>95.296594834362097</v>
      </c>
      <c r="K76">
        <v>0.79036304883250197</v>
      </c>
      <c r="L76">
        <v>81.185307692307703</v>
      </c>
      <c r="M76" s="15">
        <f>+'[3]VAR expectations'!C100</f>
        <v>2.6732813585155433</v>
      </c>
      <c r="N76">
        <v>0.82772171266241201</v>
      </c>
      <c r="O76">
        <v>5.6173276616820499E-2</v>
      </c>
      <c r="P76">
        <v>-3.43604987786764</v>
      </c>
      <c r="Q76">
        <v>299</v>
      </c>
      <c r="R76">
        <v>102</v>
      </c>
      <c r="S76">
        <v>445</v>
      </c>
      <c r="T76">
        <v>112</v>
      </c>
      <c r="U76">
        <v>18</v>
      </c>
      <c r="V76">
        <v>24</v>
      </c>
      <c r="W76">
        <f t="shared" si="1"/>
        <v>154</v>
      </c>
    </row>
    <row r="77" spans="1:23" x14ac:dyDescent="0.25">
      <c r="A77" s="14">
        <v>41090</v>
      </c>
      <c r="B77">
        <v>95.661803349365911</v>
      </c>
      <c r="C77">
        <v>91.874676553883731</v>
      </c>
      <c r="D77">
        <v>99.992916452697841</v>
      </c>
      <c r="E77">
        <v>95.203020852508601</v>
      </c>
      <c r="F77">
        <v>98.600128473022494</v>
      </c>
      <c r="G77">
        <v>98.345070388116426</v>
      </c>
      <c r="H77">
        <v>80.928781034577369</v>
      </c>
      <c r="I77">
        <v>104.38451840742533</v>
      </c>
      <c r="J77">
        <v>95.693244690360004</v>
      </c>
      <c r="K77">
        <v>0.78233241965256906</v>
      </c>
      <c r="L77">
        <v>83.181383076923098</v>
      </c>
      <c r="M77" s="15">
        <f>+'[3]VAR expectations'!C101</f>
        <v>2.7328072825683152</v>
      </c>
      <c r="N77">
        <v>0.54554070595886694</v>
      </c>
      <c r="O77">
        <v>-4.3636593431138501E-2</v>
      </c>
      <c r="P77">
        <v>-2.9944306599945998</v>
      </c>
      <c r="Q77">
        <v>299</v>
      </c>
      <c r="R77">
        <v>102</v>
      </c>
      <c r="S77">
        <v>445</v>
      </c>
      <c r="T77">
        <v>112</v>
      </c>
      <c r="U77">
        <v>18</v>
      </c>
      <c r="V77">
        <v>24</v>
      </c>
      <c r="W77">
        <f t="shared" si="1"/>
        <v>154</v>
      </c>
    </row>
    <row r="78" spans="1:23" x14ac:dyDescent="0.25">
      <c r="A78" s="14">
        <v>41182</v>
      </c>
      <c r="B78">
        <v>96.159760473234869</v>
      </c>
      <c r="C78">
        <v>92.6632833471525</v>
      </c>
      <c r="D78">
        <v>100.0694111106218</v>
      </c>
      <c r="E78">
        <v>96.119999470320337</v>
      </c>
      <c r="F78">
        <v>99.226062119766809</v>
      </c>
      <c r="G78">
        <v>98.889208835213893</v>
      </c>
      <c r="H78">
        <v>82.976582208218261</v>
      </c>
      <c r="I78">
        <v>103.68401214316833</v>
      </c>
      <c r="J78">
        <v>96.132770683416496</v>
      </c>
      <c r="K78">
        <v>0.77949894334766001</v>
      </c>
      <c r="L78">
        <v>84.087635384615396</v>
      </c>
      <c r="M78" s="15">
        <f>+'[3]VAR expectations'!C102</f>
        <v>2.6338769922366603</v>
      </c>
      <c r="N78">
        <v>0.31575128789910001</v>
      </c>
      <c r="O78">
        <v>-7.0602534907149003E-2</v>
      </c>
      <c r="P78">
        <v>-2.5407859870409402</v>
      </c>
      <c r="Q78">
        <v>299</v>
      </c>
      <c r="R78">
        <v>102</v>
      </c>
      <c r="S78">
        <v>445</v>
      </c>
      <c r="T78">
        <v>112</v>
      </c>
      <c r="U78">
        <v>18</v>
      </c>
      <c r="V78">
        <v>24</v>
      </c>
      <c r="W78">
        <f t="shared" ref="W78:W141" si="2">+T78+U78+V78</f>
        <v>154</v>
      </c>
    </row>
    <row r="79" spans="1:23" x14ac:dyDescent="0.25">
      <c r="A79" s="14">
        <v>41274</v>
      </c>
      <c r="B79">
        <v>97.162653288922385</v>
      </c>
      <c r="C79">
        <v>93.826501051508373</v>
      </c>
      <c r="D79">
        <v>100.41599146226532</v>
      </c>
      <c r="E79">
        <v>97.577220802341103</v>
      </c>
      <c r="F79">
        <v>100.720387849144</v>
      </c>
      <c r="G79">
        <v>99.479476955316628</v>
      </c>
      <c r="H79">
        <v>84.635245345536745</v>
      </c>
      <c r="I79">
        <v>105.58557952061567</v>
      </c>
      <c r="J79">
        <v>97.110964269244803</v>
      </c>
      <c r="K79">
        <v>0.78154662829000898</v>
      </c>
      <c r="L79">
        <v>83.635050000000007</v>
      </c>
      <c r="M79" s="15">
        <f>+'[3]VAR expectations'!C103</f>
        <v>2.8395493192289751</v>
      </c>
      <c r="N79">
        <v>0.104563536497584</v>
      </c>
      <c r="O79">
        <v>0.17002043948124901</v>
      </c>
      <c r="P79">
        <v>-2.5761558467830801</v>
      </c>
      <c r="Q79">
        <v>299</v>
      </c>
      <c r="R79">
        <v>102</v>
      </c>
      <c r="S79">
        <v>445</v>
      </c>
      <c r="T79">
        <v>112</v>
      </c>
      <c r="U79">
        <v>18</v>
      </c>
      <c r="V79">
        <v>24</v>
      </c>
      <c r="W79">
        <f t="shared" si="2"/>
        <v>154</v>
      </c>
    </row>
    <row r="80" spans="1:23" x14ac:dyDescent="0.25">
      <c r="A80" s="14">
        <v>41364</v>
      </c>
      <c r="B80">
        <v>97.878203825823832</v>
      </c>
      <c r="C80">
        <v>94.497720010794026</v>
      </c>
      <c r="D80">
        <v>100.25492297071735</v>
      </c>
      <c r="E80">
        <v>98.933191934488079</v>
      </c>
      <c r="F80">
        <v>101.83121977734834</v>
      </c>
      <c r="G80">
        <v>101.77749064731132</v>
      </c>
      <c r="H80">
        <v>85.719779294407317</v>
      </c>
      <c r="I80">
        <v>108.311177117692</v>
      </c>
      <c r="J80">
        <v>97.925488465259704</v>
      </c>
      <c r="K80">
        <v>0.79884478823621796</v>
      </c>
      <c r="L80">
        <v>80.442884375000006</v>
      </c>
      <c r="M80" s="15">
        <f>+'[3]VAR expectations'!C104</f>
        <v>2.7984394444998073</v>
      </c>
      <c r="N80">
        <v>0.324024369524822</v>
      </c>
      <c r="O80">
        <v>0.241460052475615</v>
      </c>
      <c r="P80">
        <v>-2.84268403872677</v>
      </c>
      <c r="Q80">
        <v>296</v>
      </c>
      <c r="R80">
        <v>88</v>
      </c>
      <c r="S80">
        <v>466</v>
      </c>
      <c r="T80">
        <v>106</v>
      </c>
      <c r="U80">
        <v>20</v>
      </c>
      <c r="V80">
        <v>24</v>
      </c>
      <c r="W80">
        <f t="shared" si="2"/>
        <v>150</v>
      </c>
    </row>
    <row r="81" spans="1:23" x14ac:dyDescent="0.25">
      <c r="A81" s="14">
        <v>41455</v>
      </c>
      <c r="B81">
        <v>98.251374016871864</v>
      </c>
      <c r="C81">
        <v>95.04650446403059</v>
      </c>
      <c r="D81">
        <v>100.27978225472566</v>
      </c>
      <c r="E81">
        <v>99.859679376134508</v>
      </c>
      <c r="F81">
        <v>102.75500260523599</v>
      </c>
      <c r="G81">
        <v>101.836547483312</v>
      </c>
      <c r="H81">
        <v>87.210872309655642</v>
      </c>
      <c r="I81">
        <v>107.83201739231868</v>
      </c>
      <c r="J81">
        <v>98.272753366828596</v>
      </c>
      <c r="K81">
        <v>0.79167951163778205</v>
      </c>
      <c r="L81">
        <v>80.515092307692299</v>
      </c>
      <c r="M81" s="15">
        <f>+'[3]VAR expectations'!C105</f>
        <v>2.5464188172083313</v>
      </c>
      <c r="N81">
        <v>0.31364041349556798</v>
      </c>
      <c r="O81">
        <v>-4.6266301499783898E-2</v>
      </c>
      <c r="P81">
        <v>-2.8338661798490601</v>
      </c>
      <c r="Q81">
        <v>296</v>
      </c>
      <c r="R81">
        <v>88</v>
      </c>
      <c r="S81">
        <v>466</v>
      </c>
      <c r="T81">
        <v>106</v>
      </c>
      <c r="U81">
        <v>20</v>
      </c>
      <c r="V81">
        <v>24</v>
      </c>
      <c r="W81">
        <f t="shared" si="2"/>
        <v>150</v>
      </c>
    </row>
    <row r="82" spans="1:23" x14ac:dyDescent="0.25">
      <c r="A82" s="14">
        <v>41547</v>
      </c>
      <c r="B82">
        <v>98.752862693781694</v>
      </c>
      <c r="C82">
        <v>95.57285737065213</v>
      </c>
      <c r="D82">
        <v>100.44629400501434</v>
      </c>
      <c r="E82">
        <v>100.64149502736433</v>
      </c>
      <c r="F82">
        <v>103.29671934558399</v>
      </c>
      <c r="G82">
        <v>102.714033873975</v>
      </c>
      <c r="H82">
        <v>88.583065390020565</v>
      </c>
      <c r="I82">
        <v>108.30898363316699</v>
      </c>
      <c r="J82">
        <v>98.742078767920106</v>
      </c>
      <c r="K82">
        <v>0.79239358474646304</v>
      </c>
      <c r="L82">
        <v>81.208398484848502</v>
      </c>
      <c r="M82" s="15">
        <f>+'[3]VAR expectations'!C106</f>
        <v>2.5748216030053293</v>
      </c>
      <c r="N82">
        <v>0.43632015937909602</v>
      </c>
      <c r="O82">
        <v>5.0228150077548703E-2</v>
      </c>
      <c r="P82">
        <v>-1.97346611858113</v>
      </c>
      <c r="Q82">
        <v>296</v>
      </c>
      <c r="R82">
        <v>88</v>
      </c>
      <c r="S82">
        <v>466</v>
      </c>
      <c r="T82">
        <v>106</v>
      </c>
      <c r="U82">
        <v>20</v>
      </c>
      <c r="V82">
        <v>24</v>
      </c>
      <c r="W82">
        <f t="shared" si="2"/>
        <v>150</v>
      </c>
    </row>
    <row r="83" spans="1:23" x14ac:dyDescent="0.25">
      <c r="A83" s="14">
        <v>41639</v>
      </c>
      <c r="B83">
        <v>99.166455002777241</v>
      </c>
      <c r="C83">
        <v>96.228023272790793</v>
      </c>
      <c r="D83">
        <v>100.78376971631867</v>
      </c>
      <c r="E83">
        <v>101.174512331607</v>
      </c>
      <c r="F83">
        <v>103.58089034319967</v>
      </c>
      <c r="G83">
        <v>102.568643398693</v>
      </c>
      <c r="H83">
        <v>90.447369246665858</v>
      </c>
      <c r="I83">
        <v>107.927523693252</v>
      </c>
      <c r="J83">
        <v>99.137279807018302</v>
      </c>
      <c r="K83">
        <v>0.77685805948687903</v>
      </c>
      <c r="L83">
        <v>83.550871212121194</v>
      </c>
      <c r="M83" s="15">
        <f>+'[3]VAR expectations'!C107</f>
        <v>2.8319255146371365</v>
      </c>
      <c r="N83">
        <v>0.22219070211023301</v>
      </c>
      <c r="O83">
        <v>-3.9462920803342003E-2</v>
      </c>
      <c r="P83">
        <v>-2.1940236505857098</v>
      </c>
      <c r="Q83">
        <v>296</v>
      </c>
      <c r="R83">
        <v>88</v>
      </c>
      <c r="S83">
        <v>466</v>
      </c>
      <c r="T83">
        <v>106</v>
      </c>
      <c r="U83">
        <v>20</v>
      </c>
      <c r="V83">
        <v>24</v>
      </c>
      <c r="W83">
        <f t="shared" si="2"/>
        <v>150</v>
      </c>
    </row>
    <row r="84" spans="1:23" x14ac:dyDescent="0.25">
      <c r="A84" s="14">
        <v>41729</v>
      </c>
      <c r="B84">
        <v>99.615970525479455</v>
      </c>
      <c r="C84">
        <v>96.761893164567496</v>
      </c>
      <c r="D84">
        <v>100.74133998609801</v>
      </c>
      <c r="E84">
        <v>101.51264094805367</v>
      </c>
      <c r="F84">
        <v>103.69940660004033</v>
      </c>
      <c r="G84">
        <v>102.60357681838066</v>
      </c>
      <c r="H84">
        <v>91.971283048684242</v>
      </c>
      <c r="I84">
        <v>109.705524047233</v>
      </c>
      <c r="J84">
        <v>99.631583657680906</v>
      </c>
      <c r="K84">
        <v>0.77005639191864195</v>
      </c>
      <c r="L84">
        <v>85.572229687499998</v>
      </c>
      <c r="M84" s="15">
        <f>+'[3]VAR expectations'!C108</f>
        <v>2.2293252935517471</v>
      </c>
      <c r="N84">
        <v>9.8094031068240703E-2</v>
      </c>
      <c r="O84">
        <v>0.118953558534671</v>
      </c>
      <c r="P84">
        <v>-1.8830944115350801</v>
      </c>
      <c r="Q84">
        <v>303</v>
      </c>
      <c r="R84">
        <v>80</v>
      </c>
      <c r="S84">
        <v>460</v>
      </c>
      <c r="T84">
        <v>112</v>
      </c>
      <c r="U84">
        <v>20</v>
      </c>
      <c r="V84">
        <v>25</v>
      </c>
      <c r="W84">
        <f t="shared" si="2"/>
        <v>157</v>
      </c>
    </row>
    <row r="85" spans="1:23" x14ac:dyDescent="0.25">
      <c r="A85" s="14">
        <v>41820</v>
      </c>
      <c r="B85">
        <v>99.965824583204366</v>
      </c>
      <c r="C85">
        <v>97.447285172496663</v>
      </c>
      <c r="D85">
        <v>101.19548572387833</v>
      </c>
      <c r="E85">
        <v>101.102676355852</v>
      </c>
      <c r="F85">
        <v>102.71212708318068</v>
      </c>
      <c r="G85">
        <v>102.60719591285734</v>
      </c>
      <c r="H85">
        <v>93.613844213873207</v>
      </c>
      <c r="I85">
        <v>108.99814747211268</v>
      </c>
      <c r="J85">
        <v>99.977142779752299</v>
      </c>
      <c r="K85">
        <v>0.76186138184852603</v>
      </c>
      <c r="L85">
        <v>86.910458461538497</v>
      </c>
      <c r="M85" s="15">
        <f>+'[3]VAR expectations'!C109</f>
        <v>2.056924231171823</v>
      </c>
      <c r="N85">
        <v>0.10587156808661601</v>
      </c>
      <c r="O85">
        <v>-3.9039395433083303E-2</v>
      </c>
      <c r="P85">
        <v>-1.38025236592544</v>
      </c>
      <c r="Q85">
        <v>303</v>
      </c>
      <c r="R85">
        <v>80</v>
      </c>
      <c r="S85">
        <v>460</v>
      </c>
      <c r="T85">
        <v>112</v>
      </c>
      <c r="U85">
        <v>20</v>
      </c>
      <c r="V85">
        <v>25</v>
      </c>
      <c r="W85">
        <f t="shared" si="2"/>
        <v>157</v>
      </c>
    </row>
    <row r="86" spans="1:23" x14ac:dyDescent="0.25">
      <c r="A86" s="14">
        <v>41912</v>
      </c>
      <c r="B86">
        <v>100.15675862367134</v>
      </c>
      <c r="C86">
        <v>97.959403134372181</v>
      </c>
      <c r="D86">
        <v>101.00929742846101</v>
      </c>
      <c r="E86">
        <v>101.19990979665367</v>
      </c>
      <c r="F86">
        <v>102.32972623325566</v>
      </c>
      <c r="G86">
        <v>102.08059539075633</v>
      </c>
      <c r="H86">
        <v>95.727361668367607</v>
      </c>
      <c r="I86">
        <v>108.44622047674433</v>
      </c>
      <c r="J86">
        <v>100.162977213931</v>
      </c>
      <c r="K86">
        <v>0.75226035278899805</v>
      </c>
      <c r="L86">
        <v>88.037404545454507</v>
      </c>
      <c r="M86" s="15">
        <f>+'[3]VAR expectations'!C110</f>
        <v>2.1248729237613553</v>
      </c>
      <c r="N86">
        <v>3.7153210251410003E-2</v>
      </c>
      <c r="O86">
        <v>-1.7614852146566599E-2</v>
      </c>
      <c r="P86">
        <v>-1.33717344783272</v>
      </c>
      <c r="Q86">
        <v>303</v>
      </c>
      <c r="R86">
        <v>80</v>
      </c>
      <c r="S86">
        <v>460</v>
      </c>
      <c r="T86">
        <v>112</v>
      </c>
      <c r="U86">
        <v>20</v>
      </c>
      <c r="V86">
        <v>25</v>
      </c>
      <c r="W86">
        <f t="shared" si="2"/>
        <v>157</v>
      </c>
    </row>
    <row r="87" spans="1:23" x14ac:dyDescent="0.25">
      <c r="A87" s="14">
        <v>42004</v>
      </c>
      <c r="B87">
        <v>100.07195961272447</v>
      </c>
      <c r="C87">
        <v>98.543323276592261</v>
      </c>
      <c r="D87">
        <v>100.49867276317332</v>
      </c>
      <c r="E87">
        <v>101.3494330346</v>
      </c>
      <c r="F87">
        <v>101.90271701689733</v>
      </c>
      <c r="G87">
        <v>102.87876643233699</v>
      </c>
      <c r="H87">
        <v>97.585280093660103</v>
      </c>
      <c r="I87">
        <v>105.70750824436199</v>
      </c>
      <c r="J87">
        <v>100.062422966814</v>
      </c>
      <c r="K87">
        <v>0.74632537520411302</v>
      </c>
      <c r="L87">
        <v>87.311537878787902</v>
      </c>
      <c r="M87" s="15">
        <f>+'[3]VAR expectations'!C111</f>
        <v>1.7035599242558022</v>
      </c>
      <c r="N87">
        <v>-0.13202299430424599</v>
      </c>
      <c r="O87">
        <v>-0.210741219358592</v>
      </c>
      <c r="P87">
        <v>-1.2503114353106499</v>
      </c>
      <c r="Q87">
        <v>303</v>
      </c>
      <c r="R87">
        <v>80</v>
      </c>
      <c r="S87">
        <v>460</v>
      </c>
      <c r="T87">
        <v>112</v>
      </c>
      <c r="U87">
        <v>20</v>
      </c>
      <c r="V87">
        <v>25</v>
      </c>
      <c r="W87">
        <f t="shared" si="2"/>
        <v>157</v>
      </c>
    </row>
    <row r="88" spans="1:23" x14ac:dyDescent="0.25">
      <c r="A88" s="14">
        <v>42094</v>
      </c>
      <c r="B88">
        <v>99.755700537977603</v>
      </c>
      <c r="C88">
        <v>99.111307552450057</v>
      </c>
      <c r="D88">
        <v>100.21652149060166</v>
      </c>
      <c r="E88">
        <v>100.36847595633965</v>
      </c>
      <c r="F88">
        <v>100.686308329135</v>
      </c>
      <c r="G88">
        <v>100.86568076968933</v>
      </c>
      <c r="H88">
        <v>98.714827242595177</v>
      </c>
      <c r="I88">
        <v>100.82972975247567</v>
      </c>
      <c r="J88">
        <v>99.740973780307399</v>
      </c>
      <c r="K88">
        <v>0.72680000070606599</v>
      </c>
      <c r="L88">
        <v>89.392121875000001</v>
      </c>
      <c r="M88" s="15">
        <f>+'[3]VAR expectations'!C112</f>
        <v>1.1817637648378063</v>
      </c>
      <c r="N88">
        <v>-0.67043039392008297</v>
      </c>
      <c r="O88">
        <v>-0.39290195513478698</v>
      </c>
      <c r="P88">
        <v>-1.3044302728727</v>
      </c>
      <c r="Q88">
        <v>303</v>
      </c>
      <c r="R88">
        <v>76</v>
      </c>
      <c r="S88">
        <v>468</v>
      </c>
      <c r="T88">
        <v>110</v>
      </c>
      <c r="U88">
        <v>19</v>
      </c>
      <c r="V88">
        <v>24</v>
      </c>
      <c r="W88">
        <f t="shared" si="2"/>
        <v>153</v>
      </c>
    </row>
    <row r="89" spans="1:23" x14ac:dyDescent="0.25">
      <c r="A89" s="14">
        <v>42185</v>
      </c>
      <c r="B89">
        <v>99.962450926352759</v>
      </c>
      <c r="C89">
        <v>99.576118874053165</v>
      </c>
      <c r="D89">
        <v>100.00497956440502</v>
      </c>
      <c r="E89">
        <v>100.17220987421899</v>
      </c>
      <c r="F89">
        <v>100.35617899634333</v>
      </c>
      <c r="G89">
        <v>100.54314788735235</v>
      </c>
      <c r="H89">
        <v>99.287753626418564</v>
      </c>
      <c r="I89">
        <v>101.88316955100134</v>
      </c>
      <c r="J89">
        <v>99.9740506397914</v>
      </c>
      <c r="K89">
        <v>0.72070090592318703</v>
      </c>
      <c r="L89">
        <v>91.205161538461496</v>
      </c>
      <c r="M89" s="15">
        <f>+'[3]VAR expectations'!C113</f>
        <v>1.1947961687177484</v>
      </c>
      <c r="N89">
        <v>-0.50994347456409705</v>
      </c>
      <c r="O89">
        <v>0.11255125087073201</v>
      </c>
      <c r="P89">
        <v>-1.4665684435573401</v>
      </c>
      <c r="Q89">
        <v>303</v>
      </c>
      <c r="R89">
        <v>76</v>
      </c>
      <c r="S89">
        <v>468</v>
      </c>
      <c r="T89">
        <v>110</v>
      </c>
      <c r="U89">
        <v>19</v>
      </c>
      <c r="V89">
        <v>24</v>
      </c>
      <c r="W89">
        <f t="shared" si="2"/>
        <v>153</v>
      </c>
    </row>
    <row r="90" spans="1:23" x14ac:dyDescent="0.25">
      <c r="A90" s="14">
        <v>42277</v>
      </c>
      <c r="B90">
        <v>100.12998395607501</v>
      </c>
      <c r="C90">
        <v>100.26218883894599</v>
      </c>
      <c r="D90">
        <v>100.0026410452755</v>
      </c>
      <c r="E90">
        <v>99.895491208886185</v>
      </c>
      <c r="F90">
        <v>99.795499692394756</v>
      </c>
      <c r="G90">
        <v>99.805174727992167</v>
      </c>
      <c r="H90">
        <v>100.325237222738</v>
      </c>
      <c r="I90">
        <v>99.959342688435257</v>
      </c>
      <c r="J90">
        <v>100.14053571658999</v>
      </c>
      <c r="K90">
        <v>0.71483241580357104</v>
      </c>
      <c r="L90">
        <v>92.868804545454594</v>
      </c>
      <c r="M90" s="15">
        <f>+'[3]VAR expectations'!C114</f>
        <v>1.4668407504949574</v>
      </c>
      <c r="N90">
        <v>-0.60863214371339502</v>
      </c>
      <c r="O90">
        <v>-0.116694425304383</v>
      </c>
      <c r="P90">
        <v>-1.27441760495495</v>
      </c>
      <c r="Q90">
        <v>303</v>
      </c>
      <c r="R90">
        <v>76</v>
      </c>
      <c r="S90">
        <v>468</v>
      </c>
      <c r="T90">
        <v>110</v>
      </c>
      <c r="U90">
        <v>19</v>
      </c>
      <c r="V90">
        <v>24</v>
      </c>
      <c r="W90">
        <f t="shared" si="2"/>
        <v>153</v>
      </c>
    </row>
    <row r="91" spans="1:23" x14ac:dyDescent="0.25">
      <c r="A91" s="14">
        <v>42369</v>
      </c>
      <c r="B91">
        <v>100.13202187482834</v>
      </c>
      <c r="C91">
        <v>101.03811878437266</v>
      </c>
      <c r="D91">
        <v>99.774848763612965</v>
      </c>
      <c r="E91">
        <v>99.559031982355236</v>
      </c>
      <c r="F91">
        <v>99.150798767120406</v>
      </c>
      <c r="G91">
        <v>98.666346013676005</v>
      </c>
      <c r="H91">
        <v>101.75456949560532</v>
      </c>
      <c r="I91">
        <v>97.165577167438087</v>
      </c>
      <c r="J91">
        <v>100.14443986331101</v>
      </c>
      <c r="K91">
        <v>0.70507772014187198</v>
      </c>
      <c r="L91">
        <v>92.134557575757597</v>
      </c>
      <c r="M91" s="15">
        <f>+'[3]VAR expectations'!C115</f>
        <v>1.2905237090286479</v>
      </c>
      <c r="N91">
        <v>-0.61794357561025104</v>
      </c>
      <c r="O91">
        <v>-0.218829887052228</v>
      </c>
      <c r="P91">
        <v>-0.81553028370272795</v>
      </c>
      <c r="Q91">
        <v>303</v>
      </c>
      <c r="R91">
        <v>76</v>
      </c>
      <c r="S91">
        <v>468</v>
      </c>
      <c r="T91">
        <v>110</v>
      </c>
      <c r="U91">
        <v>19</v>
      </c>
      <c r="V91">
        <v>24</v>
      </c>
      <c r="W91">
        <f t="shared" si="2"/>
        <v>153</v>
      </c>
    </row>
    <row r="92" spans="1:23" x14ac:dyDescent="0.25">
      <c r="A92" s="14">
        <v>42460</v>
      </c>
      <c r="B92">
        <v>100.13369070867367</v>
      </c>
      <c r="C92">
        <v>101.63192320478667</v>
      </c>
      <c r="D92">
        <v>99.608922118223106</v>
      </c>
      <c r="E92">
        <v>98.872508586252238</v>
      </c>
      <c r="F92">
        <v>98.164836508436167</v>
      </c>
      <c r="G92">
        <v>97.541666776066407</v>
      </c>
      <c r="H92">
        <v>102.86849056716034</v>
      </c>
      <c r="I92">
        <v>95.365104967723866</v>
      </c>
      <c r="J92">
        <v>100.093931219314</v>
      </c>
      <c r="K92">
        <v>0.72125814315421499</v>
      </c>
      <c r="L92">
        <v>86.998107692307698</v>
      </c>
      <c r="M92" s="15">
        <f>+'[3]VAR expectations'!C116</f>
        <v>1.4081096049117914</v>
      </c>
      <c r="N92">
        <v>-0.425228377492884</v>
      </c>
      <c r="O92">
        <v>-0.196273681624174</v>
      </c>
      <c r="P92">
        <v>-0.67035725776747501</v>
      </c>
      <c r="Q92">
        <v>305</v>
      </c>
      <c r="R92">
        <v>67</v>
      </c>
      <c r="S92">
        <v>483</v>
      </c>
      <c r="T92">
        <v>103</v>
      </c>
      <c r="U92">
        <v>19</v>
      </c>
      <c r="V92">
        <v>23</v>
      </c>
      <c r="W92">
        <f t="shared" si="2"/>
        <v>145</v>
      </c>
    </row>
    <row r="93" spans="1:23" x14ac:dyDescent="0.25">
      <c r="A93" s="14">
        <v>42551</v>
      </c>
      <c r="B93">
        <v>100.31884361640932</v>
      </c>
      <c r="C93">
        <v>102.17140789533867</v>
      </c>
      <c r="D93">
        <v>99.21597116153491</v>
      </c>
      <c r="E93">
        <v>98.484841880277301</v>
      </c>
      <c r="F93">
        <v>97.580623962756633</v>
      </c>
      <c r="G93">
        <v>96.31995097547734</v>
      </c>
      <c r="H93">
        <v>104.01613957579434</v>
      </c>
      <c r="I93">
        <v>96.849316783591277</v>
      </c>
      <c r="J93">
        <v>100.33085845991801</v>
      </c>
      <c r="K93">
        <v>0.73626310989779298</v>
      </c>
      <c r="L93">
        <v>85.581083076923093</v>
      </c>
      <c r="M93" s="15">
        <f>+'[3]VAR expectations'!C117</f>
        <v>1.5354544995855299</v>
      </c>
      <c r="N93">
        <v>-0.37357259263352899</v>
      </c>
      <c r="O93">
        <v>0.16448627630259699</v>
      </c>
      <c r="P93">
        <v>-0.95073799251133695</v>
      </c>
      <c r="Q93">
        <v>305</v>
      </c>
      <c r="R93">
        <v>67</v>
      </c>
      <c r="S93">
        <v>483</v>
      </c>
      <c r="T93">
        <v>103</v>
      </c>
      <c r="U93">
        <v>19</v>
      </c>
      <c r="V93">
        <v>23</v>
      </c>
      <c r="W93">
        <f t="shared" si="2"/>
        <v>145</v>
      </c>
    </row>
    <row r="94" spans="1:23" x14ac:dyDescent="0.25">
      <c r="A94" s="14">
        <v>42643</v>
      </c>
      <c r="B94">
        <v>100.82483017647365</v>
      </c>
      <c r="C94">
        <v>102.97884286008299</v>
      </c>
      <c r="D94">
        <v>99.172357071483361</v>
      </c>
      <c r="E94">
        <v>98.706653730400419</v>
      </c>
      <c r="F94">
        <v>97.439997883104695</v>
      </c>
      <c r="G94">
        <v>96.302214964826661</v>
      </c>
      <c r="H94">
        <v>105.93379703905232</v>
      </c>
      <c r="I94">
        <v>97.784227627536367</v>
      </c>
      <c r="J94">
        <v>100.84211070442799</v>
      </c>
      <c r="K94">
        <v>0.766086099222828</v>
      </c>
      <c r="L94">
        <v>78.850371212121203</v>
      </c>
      <c r="M94" s="15">
        <f>+'[3]VAR expectations'!C118</f>
        <v>1.7661002699234809</v>
      </c>
      <c r="N94">
        <v>-0.16392502505228099</v>
      </c>
      <c r="O94">
        <v>9.3194942011814802E-2</v>
      </c>
      <c r="P94">
        <v>-0.74051985533749398</v>
      </c>
      <c r="Q94">
        <v>305</v>
      </c>
      <c r="R94">
        <v>67</v>
      </c>
      <c r="S94">
        <v>483</v>
      </c>
      <c r="T94">
        <v>103</v>
      </c>
      <c r="U94">
        <v>19</v>
      </c>
      <c r="V94">
        <v>23</v>
      </c>
      <c r="W94">
        <f t="shared" si="2"/>
        <v>145</v>
      </c>
    </row>
    <row r="95" spans="1:23" x14ac:dyDescent="0.25">
      <c r="A95" s="14">
        <v>42735</v>
      </c>
      <c r="B95">
        <v>101.35248617016934</v>
      </c>
      <c r="C95">
        <v>103.43238917961833</v>
      </c>
      <c r="D95">
        <v>99.731797337857259</v>
      </c>
      <c r="E95">
        <v>98.872951373988158</v>
      </c>
      <c r="F95">
        <v>97.339425776506673</v>
      </c>
      <c r="G95">
        <v>97.007986350162881</v>
      </c>
      <c r="H95">
        <v>106.76428446397934</v>
      </c>
      <c r="I95">
        <v>100.00831143867761</v>
      </c>
      <c r="J95">
        <v>101.37727529972901</v>
      </c>
      <c r="K95">
        <v>0.78559038900338896</v>
      </c>
      <c r="L95">
        <v>76.623536923076898</v>
      </c>
      <c r="M95" s="15">
        <f>+'[3]VAR expectations'!C119</f>
        <v>2.4293341619440096</v>
      </c>
      <c r="N95">
        <v>0.19889993586245699</v>
      </c>
      <c r="O95">
        <v>0.144100722711589</v>
      </c>
      <c r="P95">
        <v>-0.676689377482381</v>
      </c>
      <c r="Q95">
        <v>305</v>
      </c>
      <c r="R95">
        <v>67</v>
      </c>
      <c r="S95">
        <v>483</v>
      </c>
      <c r="T95">
        <v>103</v>
      </c>
      <c r="U95">
        <v>19</v>
      </c>
      <c r="V95">
        <v>23</v>
      </c>
      <c r="W95">
        <f t="shared" si="2"/>
        <v>145</v>
      </c>
    </row>
    <row r="96" spans="1:23" x14ac:dyDescent="0.25">
      <c r="A96" s="14">
        <v>42825</v>
      </c>
      <c r="B96">
        <v>102.29151439009968</v>
      </c>
      <c r="C96">
        <v>104.16750049559066</v>
      </c>
      <c r="D96">
        <v>100.32428954984732</v>
      </c>
      <c r="E96">
        <v>100.01662888806304</v>
      </c>
      <c r="F96">
        <v>98.469829610589997</v>
      </c>
      <c r="G96">
        <v>97.888231996558076</v>
      </c>
      <c r="H96">
        <v>108.38765644692866</v>
      </c>
      <c r="I96">
        <v>103.55290562608268</v>
      </c>
      <c r="J96">
        <v>102.233675240322</v>
      </c>
      <c r="K96">
        <v>0.79643989370686996</v>
      </c>
      <c r="L96">
        <v>77.053801538461499</v>
      </c>
      <c r="M96" s="15">
        <f>+'[3]VAR expectations'!C120</f>
        <v>2.5776958521780435</v>
      </c>
      <c r="N96">
        <v>0.55056420967961694</v>
      </c>
      <c r="O96">
        <v>0.148333381346754</v>
      </c>
      <c r="P96">
        <v>-0.56408585572950698</v>
      </c>
      <c r="Q96">
        <v>313.33333333333331</v>
      </c>
      <c r="R96">
        <v>66.333333333333329</v>
      </c>
      <c r="S96">
        <v>475.33333333333331</v>
      </c>
      <c r="T96">
        <v>102.66666666666667</v>
      </c>
      <c r="U96">
        <v>19.666666666666668</v>
      </c>
      <c r="V96">
        <v>22.666666666666668</v>
      </c>
      <c r="W96">
        <f t="shared" si="2"/>
        <v>145</v>
      </c>
    </row>
    <row r="97" spans="1:23" x14ac:dyDescent="0.25">
      <c r="A97" s="14">
        <v>42916</v>
      </c>
      <c r="B97">
        <v>103.07610865914199</v>
      </c>
      <c r="C97">
        <v>105.06079900191799</v>
      </c>
      <c r="D97">
        <v>101.166440006149</v>
      </c>
      <c r="E97">
        <v>101.23288700156367</v>
      </c>
      <c r="F97">
        <v>99.492285727104374</v>
      </c>
      <c r="G97">
        <v>99.07527254299066</v>
      </c>
      <c r="H97">
        <v>110.41328729939066</v>
      </c>
      <c r="I97">
        <v>102.40778057552268</v>
      </c>
      <c r="J97">
        <v>103.090096344523</v>
      </c>
      <c r="K97">
        <v>0.79618408814021602</v>
      </c>
      <c r="L97">
        <v>77.968176923076896</v>
      </c>
      <c r="M97" s="15">
        <f>+'[3]VAR expectations'!C121</f>
        <v>2.5814129404766706</v>
      </c>
      <c r="N97">
        <v>0.38598699929055602</v>
      </c>
      <c r="O97">
        <v>3.52988700838464E-3</v>
      </c>
      <c r="P97">
        <v>-0.63670267301125405</v>
      </c>
      <c r="Q97">
        <v>312</v>
      </c>
      <c r="R97">
        <v>67</v>
      </c>
      <c r="S97">
        <v>475</v>
      </c>
      <c r="T97">
        <v>103</v>
      </c>
      <c r="U97">
        <v>20</v>
      </c>
      <c r="V97">
        <v>23</v>
      </c>
      <c r="W97">
        <f t="shared" si="2"/>
        <v>146</v>
      </c>
    </row>
    <row r="98" spans="1:23" x14ac:dyDescent="0.25">
      <c r="A98" s="14">
        <v>43008</v>
      </c>
      <c r="B98">
        <v>103.64346293361</v>
      </c>
      <c r="C98">
        <v>105.71132282451667</v>
      </c>
      <c r="D98">
        <v>101.61594610870567</v>
      </c>
      <c r="E98">
        <v>101.81668179977935</v>
      </c>
      <c r="F98">
        <v>99.909836315941263</v>
      </c>
      <c r="G98">
        <v>99.604775841299329</v>
      </c>
      <c r="H98">
        <v>111.81812412114533</v>
      </c>
      <c r="I98">
        <v>102.44645669258034</v>
      </c>
      <c r="J98">
        <v>103.66947598665099</v>
      </c>
      <c r="K98">
        <v>0.79936167572472205</v>
      </c>
      <c r="L98">
        <v>76.548027692307699</v>
      </c>
      <c r="M98" s="15">
        <f>+'[3]VAR expectations'!C122</f>
        <v>2.5453003999512136</v>
      </c>
      <c r="N98">
        <v>0.33037874466038097</v>
      </c>
      <c r="O98">
        <v>3.7966343152193403E-2</v>
      </c>
      <c r="P98">
        <v>-0.80477611329582199</v>
      </c>
      <c r="Q98">
        <v>312</v>
      </c>
      <c r="R98">
        <v>67</v>
      </c>
      <c r="S98">
        <v>475</v>
      </c>
      <c r="T98">
        <v>103</v>
      </c>
      <c r="U98">
        <v>20</v>
      </c>
      <c r="V98">
        <v>23</v>
      </c>
      <c r="W98">
        <f t="shared" si="2"/>
        <v>146</v>
      </c>
    </row>
    <row r="99" spans="1:23" x14ac:dyDescent="0.25">
      <c r="A99" s="14">
        <v>43100</v>
      </c>
      <c r="B99">
        <v>104.42647848757967</v>
      </c>
      <c r="C99">
        <v>106.23616823491733</v>
      </c>
      <c r="D99">
        <v>102.24492576701567</v>
      </c>
      <c r="E99">
        <v>103.08047115575432</v>
      </c>
      <c r="F99">
        <v>101.25685183477934</v>
      </c>
      <c r="G99">
        <v>99.753714373212006</v>
      </c>
      <c r="H99">
        <v>113.51311984090098</v>
      </c>
      <c r="I99">
        <v>105.16203360503134</v>
      </c>
      <c r="J99">
        <v>104.455453723315</v>
      </c>
      <c r="K99">
        <v>0.80579439262368302</v>
      </c>
      <c r="L99">
        <v>77.708216923076904</v>
      </c>
      <c r="M99" s="15">
        <f>+'[3]VAR expectations'!C123</f>
        <v>2.7170212072523583</v>
      </c>
      <c r="N99">
        <v>0.33802634456306002</v>
      </c>
      <c r="O99">
        <v>0.14910290843450899</v>
      </c>
      <c r="P99">
        <v>-0.829640822117796</v>
      </c>
      <c r="Q99">
        <v>312</v>
      </c>
      <c r="R99">
        <v>67</v>
      </c>
      <c r="S99">
        <v>475</v>
      </c>
      <c r="T99">
        <v>103</v>
      </c>
      <c r="U99">
        <v>20</v>
      </c>
      <c r="V99">
        <v>23</v>
      </c>
      <c r="W99">
        <f t="shared" si="2"/>
        <v>146</v>
      </c>
    </row>
    <row r="100" spans="1:23" x14ac:dyDescent="0.25">
      <c r="A100" s="14">
        <v>43190</v>
      </c>
      <c r="B100">
        <v>105.07959539453033</v>
      </c>
      <c r="C100">
        <v>106.84651148613067</v>
      </c>
      <c r="D100">
        <v>102.60429534295866</v>
      </c>
      <c r="E100">
        <v>103.73830151052466</v>
      </c>
      <c r="F100">
        <v>101.67696212060467</v>
      </c>
      <c r="G100">
        <v>99.916111132763206</v>
      </c>
      <c r="H100">
        <v>116.01762669841634</v>
      </c>
      <c r="I100">
        <v>107.57918389646933</v>
      </c>
      <c r="J100">
        <v>104.998311713889</v>
      </c>
      <c r="K100">
        <v>0.81529753488664503</v>
      </c>
      <c r="L100">
        <v>79.033741538461499</v>
      </c>
      <c r="M100" s="15">
        <f>+'[3]VAR expectations'!C124</f>
        <v>2.4396786818528224</v>
      </c>
      <c r="N100">
        <v>0.24733463127710101</v>
      </c>
      <c r="O100">
        <v>5.4503903268826599E-2</v>
      </c>
      <c r="P100">
        <v>-0.90415499522504195</v>
      </c>
      <c r="Q100">
        <v>311.66666666666669</v>
      </c>
      <c r="R100">
        <v>64.666666666666671</v>
      </c>
      <c r="S100">
        <v>481</v>
      </c>
      <c r="T100">
        <v>101</v>
      </c>
      <c r="U100">
        <v>19.666666666666668</v>
      </c>
      <c r="V100">
        <v>22</v>
      </c>
      <c r="W100">
        <f t="shared" si="2"/>
        <v>142.66666666666669</v>
      </c>
    </row>
    <row r="101" spans="1:23" x14ac:dyDescent="0.25">
      <c r="A101" s="14">
        <v>43281</v>
      </c>
      <c r="B101">
        <v>105.56097242820901</v>
      </c>
      <c r="C101">
        <v>107.41223929501633</v>
      </c>
      <c r="D101">
        <v>102.91292949651665</v>
      </c>
      <c r="E101">
        <v>104.06441911392135</v>
      </c>
      <c r="F101">
        <v>101.77072263834866</v>
      </c>
      <c r="G101">
        <v>99.718878462535727</v>
      </c>
      <c r="H101">
        <v>118.05878155874933</v>
      </c>
      <c r="I101">
        <v>108.69354249209</v>
      </c>
      <c r="J101">
        <v>105.59874310155099</v>
      </c>
      <c r="K101">
        <v>0.81863826660980799</v>
      </c>
      <c r="L101">
        <v>79.101027692307696</v>
      </c>
      <c r="M101" s="15">
        <f>+'[3]VAR expectations'!C125</f>
        <v>2.4860103785103598</v>
      </c>
      <c r="N101">
        <v>0.40714614504868402</v>
      </c>
      <c r="O101">
        <v>0.16437025473436201</v>
      </c>
      <c r="P101">
        <v>-0.74815136343608601</v>
      </c>
      <c r="Q101">
        <v>311</v>
      </c>
      <c r="R101">
        <v>65</v>
      </c>
      <c r="S101">
        <v>481</v>
      </c>
      <c r="T101">
        <v>101</v>
      </c>
      <c r="U101">
        <v>20</v>
      </c>
      <c r="V101">
        <v>22</v>
      </c>
      <c r="W101">
        <f t="shared" si="2"/>
        <v>143</v>
      </c>
    </row>
    <row r="102" spans="1:23" x14ac:dyDescent="0.25">
      <c r="A102" s="14">
        <v>43373</v>
      </c>
      <c r="B102">
        <v>106.24210436033768</v>
      </c>
      <c r="C102">
        <v>108.25667358808001</v>
      </c>
      <c r="D102">
        <v>102.84904027114966</v>
      </c>
      <c r="E102">
        <v>104.47197676187233</v>
      </c>
      <c r="F102">
        <v>101.96864414433134</v>
      </c>
      <c r="G102">
        <v>99.982638936230103</v>
      </c>
      <c r="H102">
        <v>119.753646370159</v>
      </c>
      <c r="I102">
        <v>111.741972035638</v>
      </c>
      <c r="J102">
        <v>106.264776934575</v>
      </c>
      <c r="K102">
        <v>0.827664917308371</v>
      </c>
      <c r="L102">
        <v>77.813970769230806</v>
      </c>
      <c r="M102" s="15">
        <f>+'[3]VAR expectations'!C126</f>
        <v>2.6759360893479318</v>
      </c>
      <c r="N102">
        <v>0.59026787322204399</v>
      </c>
      <c r="O102">
        <v>0.21968415645398701</v>
      </c>
      <c r="P102">
        <v>-0.56415083161494595</v>
      </c>
      <c r="Q102">
        <v>311</v>
      </c>
      <c r="R102">
        <v>65</v>
      </c>
      <c r="S102">
        <v>481</v>
      </c>
      <c r="T102">
        <v>101</v>
      </c>
      <c r="U102">
        <v>20</v>
      </c>
      <c r="V102">
        <v>22</v>
      </c>
      <c r="W102">
        <f t="shared" si="2"/>
        <v>143</v>
      </c>
    </row>
    <row r="103" spans="1:23" x14ac:dyDescent="0.25">
      <c r="A103" s="14">
        <v>43465</v>
      </c>
      <c r="B103">
        <v>106.80031134892033</v>
      </c>
      <c r="C103">
        <v>108.86112220401067</v>
      </c>
      <c r="D103">
        <v>103.1928540464</v>
      </c>
      <c r="E103">
        <v>104.96736498475667</v>
      </c>
      <c r="F103">
        <v>101.96260039470467</v>
      </c>
      <c r="G103">
        <v>100.26416540837867</v>
      </c>
      <c r="H103">
        <v>122.71797050563367</v>
      </c>
      <c r="I103">
        <v>113.99753542660166</v>
      </c>
      <c r="J103">
        <v>106.82547362140301</v>
      </c>
      <c r="K103">
        <v>0.82610064085679102</v>
      </c>
      <c r="L103">
        <v>77.843365151515201</v>
      </c>
      <c r="M103" s="15">
        <f>+'[3]VAR expectations'!C127</f>
        <v>2.7140589507350836</v>
      </c>
      <c r="N103">
        <v>0.53549829449636599</v>
      </c>
      <c r="O103">
        <v>9.5964640682364502E-2</v>
      </c>
      <c r="P103">
        <v>-0.54654012964452603</v>
      </c>
      <c r="Q103">
        <v>311</v>
      </c>
      <c r="R103">
        <v>65</v>
      </c>
      <c r="S103">
        <v>481</v>
      </c>
      <c r="T103">
        <v>101</v>
      </c>
      <c r="U103">
        <v>20</v>
      </c>
      <c r="V103">
        <v>22</v>
      </c>
      <c r="W103">
        <f t="shared" si="2"/>
        <v>143</v>
      </c>
    </row>
    <row r="104" spans="1:23" x14ac:dyDescent="0.25">
      <c r="A104" s="14">
        <v>43555</v>
      </c>
      <c r="B104">
        <v>107.07234671797967</v>
      </c>
      <c r="C104">
        <v>109.50720214287435</v>
      </c>
      <c r="D104">
        <v>103.54788616174567</v>
      </c>
      <c r="E104">
        <v>105.87990361989432</v>
      </c>
      <c r="F104">
        <v>102.66408269493201</v>
      </c>
      <c r="G104">
        <v>100.89402285507133</v>
      </c>
      <c r="H104">
        <v>125.21559179825901</v>
      </c>
      <c r="I104">
        <v>109.33722022319135</v>
      </c>
      <c r="J104">
        <v>106.96537965736999</v>
      </c>
      <c r="K104">
        <v>0.82186357580014402</v>
      </c>
      <c r="L104">
        <v>78.730029687499993</v>
      </c>
      <c r="M104" s="15">
        <f>+'[3]VAR expectations'!C128</f>
        <v>2.7331364493732195</v>
      </c>
      <c r="N104">
        <v>0.111501420298973</v>
      </c>
      <c r="O104">
        <v>-0.324727992496813</v>
      </c>
      <c r="P104">
        <v>-0.12867681351254501</v>
      </c>
      <c r="Q104">
        <v>318.33333333333331</v>
      </c>
      <c r="R104">
        <v>61.666666666666664</v>
      </c>
      <c r="S104">
        <v>480</v>
      </c>
      <c r="T104">
        <v>100</v>
      </c>
      <c r="U104">
        <v>19</v>
      </c>
      <c r="V104">
        <v>21</v>
      </c>
      <c r="W104">
        <f t="shared" si="2"/>
        <v>140</v>
      </c>
    </row>
    <row r="105" spans="1:23" x14ac:dyDescent="0.25">
      <c r="A105" s="14">
        <v>43646</v>
      </c>
      <c r="B105">
        <v>107.69470101984166</v>
      </c>
      <c r="C105">
        <v>110.24864470082066</v>
      </c>
      <c r="D105">
        <v>103.31808324801068</v>
      </c>
      <c r="E105">
        <v>105.96237320506434</v>
      </c>
      <c r="F105">
        <v>102.90144859865832</v>
      </c>
      <c r="G105">
        <v>100.38938187095432</v>
      </c>
      <c r="H105">
        <v>125.29132682963335</v>
      </c>
      <c r="I105">
        <v>115.306627323114</v>
      </c>
      <c r="J105">
        <v>107.77555903789001</v>
      </c>
      <c r="K105">
        <v>0.82949036029431999</v>
      </c>
      <c r="L105">
        <v>78.457547692307699</v>
      </c>
      <c r="M105" s="15">
        <f>+'[3]VAR expectations'!C129</f>
        <v>2.6212425518623172</v>
      </c>
      <c r="N105">
        <v>0.40244228624181999</v>
      </c>
      <c r="O105">
        <v>0.450193982701309</v>
      </c>
      <c r="P105">
        <v>-0.56622414682537503</v>
      </c>
      <c r="Q105">
        <v>318</v>
      </c>
      <c r="R105">
        <v>61</v>
      </c>
      <c r="S105">
        <v>481</v>
      </c>
      <c r="T105">
        <v>100</v>
      </c>
      <c r="U105">
        <v>19</v>
      </c>
      <c r="V105">
        <v>21</v>
      </c>
      <c r="W105">
        <f t="shared" si="2"/>
        <v>140</v>
      </c>
    </row>
    <row r="106" spans="1:23" x14ac:dyDescent="0.25">
      <c r="A106" s="14">
        <v>43738</v>
      </c>
      <c r="B106">
        <v>108.19210029723399</v>
      </c>
      <c r="C106">
        <v>110.88487918089432</v>
      </c>
      <c r="D106">
        <v>103.48762330259835</v>
      </c>
      <c r="E106">
        <v>106.69391577621199</v>
      </c>
      <c r="F106">
        <v>103.62414307602234</v>
      </c>
      <c r="G106">
        <v>100.93266563120666</v>
      </c>
      <c r="H106">
        <v>126.24981655949466</v>
      </c>
      <c r="I106">
        <v>114.87512173815701</v>
      </c>
      <c r="J106">
        <v>108.20201446995</v>
      </c>
      <c r="K106">
        <v>0.84436390000637895</v>
      </c>
      <c r="L106">
        <v>75.795746969697007</v>
      </c>
      <c r="M106" s="15">
        <f>+'[3]VAR expectations'!C130</f>
        <v>2.9781745842670815</v>
      </c>
      <c r="N106">
        <v>0.17462163035891601</v>
      </c>
      <c r="O106">
        <v>-8.21163442679727E-3</v>
      </c>
      <c r="P106">
        <v>-0.44810462336694201</v>
      </c>
      <c r="Q106">
        <v>318</v>
      </c>
      <c r="R106">
        <v>61</v>
      </c>
      <c r="S106">
        <v>481</v>
      </c>
      <c r="T106">
        <v>100</v>
      </c>
      <c r="U106">
        <v>19</v>
      </c>
      <c r="V106">
        <v>21</v>
      </c>
      <c r="W106">
        <f t="shared" si="2"/>
        <v>140</v>
      </c>
    </row>
    <row r="107" spans="1:23" x14ac:dyDescent="0.25">
      <c r="A107" s="14">
        <v>43830</v>
      </c>
      <c r="B107">
        <v>108.30746258557866</v>
      </c>
      <c r="C107">
        <v>111.42254206970865</v>
      </c>
      <c r="D107">
        <v>103.65151885891267</v>
      </c>
      <c r="E107">
        <v>106.92471789926934</v>
      </c>
      <c r="F107">
        <v>103.70266002842</v>
      </c>
      <c r="G107">
        <v>101.56191072064267</v>
      </c>
      <c r="H107">
        <v>126.30880187119567</v>
      </c>
      <c r="I107">
        <v>112.10893216001067</v>
      </c>
      <c r="J107">
        <v>108.323574868143</v>
      </c>
      <c r="K107">
        <v>0.82504169474928601</v>
      </c>
      <c r="L107">
        <v>79.403969696969696</v>
      </c>
      <c r="M107" s="15">
        <f>+'[3]VAR expectations'!C131</f>
        <v>2.5033196655575458</v>
      </c>
      <c r="N107">
        <v>-0.11693353700046701</v>
      </c>
      <c r="O107">
        <v>-0.19324283466898201</v>
      </c>
      <c r="P107">
        <v>-0.54907363549229404</v>
      </c>
      <c r="Q107">
        <v>318</v>
      </c>
      <c r="R107">
        <v>61</v>
      </c>
      <c r="S107">
        <v>481</v>
      </c>
      <c r="T107">
        <v>100</v>
      </c>
      <c r="U107">
        <v>19</v>
      </c>
      <c r="V107">
        <v>21</v>
      </c>
      <c r="W107">
        <f t="shared" si="2"/>
        <v>140</v>
      </c>
    </row>
    <row r="108" spans="1:23" x14ac:dyDescent="0.25">
      <c r="A108" s="14">
        <v>43921</v>
      </c>
      <c r="B108">
        <v>108.90790885239635</v>
      </c>
      <c r="C108">
        <v>112.21343074852332</v>
      </c>
      <c r="D108">
        <v>103.98881437531266</v>
      </c>
      <c r="E108">
        <v>107.27190303967801</v>
      </c>
      <c r="F108">
        <v>104.05369559714832</v>
      </c>
      <c r="G108">
        <v>101.86668055259599</v>
      </c>
      <c r="H108">
        <v>126.677437988563</v>
      </c>
      <c r="I108">
        <v>112.887640237431</v>
      </c>
      <c r="J108">
        <v>108.769487200033</v>
      </c>
      <c r="K108">
        <v>0.81896626934969596</v>
      </c>
      <c r="L108">
        <v>79.231538461538506</v>
      </c>
      <c r="M108" s="15">
        <f>+'[3]VAR expectations'!C132</f>
        <v>2.6753569594618285</v>
      </c>
      <c r="N108">
        <v>0.18927622328845001</v>
      </c>
      <c r="O108">
        <v>-5.2128643277585103E-2</v>
      </c>
      <c r="P108">
        <v>-0.62569185220107304</v>
      </c>
      <c r="Q108">
        <v>308.33333333333331</v>
      </c>
      <c r="R108">
        <v>63.666666666666664</v>
      </c>
      <c r="S108">
        <v>489.33333333333331</v>
      </c>
      <c r="T108">
        <v>99</v>
      </c>
      <c r="U108">
        <v>19.666666666666668</v>
      </c>
      <c r="V108">
        <v>20</v>
      </c>
      <c r="W108">
        <f t="shared" si="2"/>
        <v>138.66666666666669</v>
      </c>
    </row>
    <row r="109" spans="1:23" x14ac:dyDescent="0.25">
      <c r="A109" s="14">
        <v>44012</v>
      </c>
      <c r="B109">
        <v>108.29644149863333</v>
      </c>
      <c r="C109">
        <v>112.324661836205</v>
      </c>
      <c r="D109">
        <v>103.80679564705032</v>
      </c>
      <c r="E109">
        <v>107.74816513689301</v>
      </c>
      <c r="F109">
        <v>104.34314285474034</v>
      </c>
      <c r="G109">
        <v>102.44195447153368</v>
      </c>
      <c r="H109">
        <v>128.61929650947866</v>
      </c>
      <c r="I109">
        <v>102.54519479767465</v>
      </c>
      <c r="J109">
        <v>108.439368781261</v>
      </c>
      <c r="K109">
        <v>0.80862292439016603</v>
      </c>
      <c r="L109">
        <v>77.416984615384607</v>
      </c>
      <c r="M109" s="15">
        <f>+'[3]VAR expectations'!C133</f>
        <v>3.0786650622291059</v>
      </c>
      <c r="N109">
        <v>-0.70211571573449605</v>
      </c>
      <c r="O109">
        <v>-0.45655752598020999</v>
      </c>
      <c r="P109">
        <v>-2.7964202478446398</v>
      </c>
      <c r="Q109">
        <v>307</v>
      </c>
      <c r="R109">
        <v>64</v>
      </c>
      <c r="S109">
        <v>490</v>
      </c>
      <c r="T109">
        <v>99</v>
      </c>
      <c r="U109">
        <v>20</v>
      </c>
      <c r="V109">
        <v>20</v>
      </c>
      <c r="W109">
        <f t="shared" si="2"/>
        <v>139</v>
      </c>
    </row>
    <row r="110" spans="1:23" x14ac:dyDescent="0.25">
      <c r="A110" s="14">
        <v>44104</v>
      </c>
      <c r="B110">
        <v>108.84789803426033</v>
      </c>
      <c r="C110">
        <v>112.45294562238934</v>
      </c>
      <c r="D110">
        <v>104.62545145238067</v>
      </c>
      <c r="E110">
        <v>107.63749731757834</v>
      </c>
      <c r="F110">
        <v>103.96183919159567</v>
      </c>
      <c r="G110">
        <v>101.79849609993767</v>
      </c>
      <c r="H110">
        <v>130.62282549561533</v>
      </c>
      <c r="I110">
        <v>104.98424011985269</v>
      </c>
      <c r="J110">
        <v>108.829736313296</v>
      </c>
      <c r="K110">
        <v>0.810392277477061</v>
      </c>
      <c r="L110">
        <v>77.450487878787897</v>
      </c>
      <c r="M110" s="15">
        <f>+'[3]VAR expectations'!C134</f>
        <v>3.1319434989789481</v>
      </c>
      <c r="N110">
        <v>-0.57563884899936701</v>
      </c>
      <c r="O110">
        <v>0.118900887754049</v>
      </c>
      <c r="P110">
        <v>-1.96778451829028</v>
      </c>
      <c r="Q110">
        <v>307</v>
      </c>
      <c r="R110">
        <v>64</v>
      </c>
      <c r="S110">
        <v>490</v>
      </c>
      <c r="T110">
        <v>99</v>
      </c>
      <c r="U110">
        <v>20</v>
      </c>
      <c r="V110">
        <v>20</v>
      </c>
      <c r="W110">
        <f t="shared" si="2"/>
        <v>139</v>
      </c>
    </row>
    <row r="111" spans="1:23" x14ac:dyDescent="0.25">
      <c r="A111" s="14">
        <v>44196</v>
      </c>
      <c r="B111">
        <v>108.89074945944667</v>
      </c>
      <c r="C111">
        <v>112.99936914379867</v>
      </c>
      <c r="D111">
        <v>104.88917584020901</v>
      </c>
      <c r="E111">
        <v>107.31115022537433</v>
      </c>
      <c r="F111">
        <v>103.19567921239167</v>
      </c>
      <c r="G111">
        <v>101.930586407549</v>
      </c>
      <c r="H111">
        <v>131.90930308739465</v>
      </c>
      <c r="I111">
        <v>102.07039307589167</v>
      </c>
      <c r="J111">
        <v>108.888599619003</v>
      </c>
      <c r="K111">
        <v>0.82076763633163197</v>
      </c>
      <c r="L111">
        <v>77.959993939393897</v>
      </c>
      <c r="M111" s="15">
        <f>+'[3]VAR expectations'!C135</f>
        <v>3.4145577808828897</v>
      </c>
      <c r="N111">
        <v>-0.57586475394540204</v>
      </c>
      <c r="O111">
        <v>-0.193774322000975</v>
      </c>
      <c r="P111">
        <v>-1.6894379899480401</v>
      </c>
      <c r="Q111">
        <v>307</v>
      </c>
      <c r="R111">
        <v>64</v>
      </c>
      <c r="S111">
        <v>490</v>
      </c>
      <c r="T111">
        <v>99</v>
      </c>
      <c r="U111">
        <v>20</v>
      </c>
      <c r="V111">
        <v>20</v>
      </c>
      <c r="W111">
        <f t="shared" si="2"/>
        <v>139</v>
      </c>
    </row>
    <row r="112" spans="1:23" x14ac:dyDescent="0.25">
      <c r="A112" s="14">
        <v>44286</v>
      </c>
      <c r="B112">
        <v>109.626284294681</v>
      </c>
      <c r="C112">
        <v>114.03621498803066</v>
      </c>
      <c r="D112">
        <v>104.75051525675501</v>
      </c>
      <c r="E112">
        <v>107.47492675403566</v>
      </c>
      <c r="F112">
        <v>103.17160391080832</v>
      </c>
      <c r="G112">
        <v>102.19595058698566</v>
      </c>
      <c r="H112">
        <v>133.15084065142699</v>
      </c>
      <c r="I112">
        <v>106.37199084454635</v>
      </c>
      <c r="J112">
        <v>109.501363734799</v>
      </c>
      <c r="K112">
        <v>0.81629886389552497</v>
      </c>
      <c r="L112">
        <v>80.480732812499994</v>
      </c>
      <c r="M112" s="15">
        <f>+'[3]VAR expectations'!C136</f>
        <v>2.9821807365306072</v>
      </c>
      <c r="N112">
        <v>-0.348601630197937</v>
      </c>
      <c r="O112">
        <v>0.17080172065947599</v>
      </c>
      <c r="P112">
        <v>-0.91179431812897105</v>
      </c>
      <c r="Q112">
        <v>348.33333333333331</v>
      </c>
      <c r="R112">
        <v>59.666666666666664</v>
      </c>
      <c r="S112">
        <v>433.33333333333331</v>
      </c>
      <c r="T112">
        <v>114</v>
      </c>
      <c r="U112">
        <v>22.666666666666668</v>
      </c>
      <c r="V112">
        <v>22</v>
      </c>
      <c r="W112">
        <f t="shared" si="2"/>
        <v>158.66666666666666</v>
      </c>
    </row>
    <row r="113" spans="1:23" x14ac:dyDescent="0.25">
      <c r="A113" s="14">
        <v>44377</v>
      </c>
      <c r="B113">
        <v>110.441383720923</v>
      </c>
      <c r="C113">
        <v>114.37561973623066</v>
      </c>
      <c r="D113">
        <v>105.85497323794134</v>
      </c>
      <c r="E113">
        <v>107.774015918651</v>
      </c>
      <c r="F113">
        <v>103.53316673924034</v>
      </c>
      <c r="G113">
        <v>103.32276734166</v>
      </c>
      <c r="H113">
        <v>132.467638151378</v>
      </c>
      <c r="I113">
        <v>111.47681127260766</v>
      </c>
      <c r="J113">
        <v>110.613080184569</v>
      </c>
      <c r="K113">
        <v>0.82433035561079504</v>
      </c>
      <c r="L113">
        <v>81.787815384615399</v>
      </c>
      <c r="M113" s="15">
        <f>+'[3]VAR expectations'!C137</f>
        <v>2.7653976909254645</v>
      </c>
      <c r="N113">
        <v>0.54964160198908096</v>
      </c>
      <c r="O113">
        <v>0.45347528115059499</v>
      </c>
      <c r="P113">
        <v>0.12673076908549399</v>
      </c>
      <c r="Q113">
        <v>347</v>
      </c>
      <c r="R113">
        <v>60</v>
      </c>
      <c r="S113">
        <v>434</v>
      </c>
      <c r="T113">
        <v>114</v>
      </c>
      <c r="U113">
        <v>23</v>
      </c>
      <c r="V113">
        <v>22</v>
      </c>
      <c r="W113">
        <f t="shared" si="2"/>
        <v>159</v>
      </c>
    </row>
    <row r="114" spans="1:23" x14ac:dyDescent="0.25">
      <c r="A114" s="14">
        <v>44469</v>
      </c>
      <c r="B114">
        <v>111.874010004887</v>
      </c>
      <c r="C114">
        <v>115.15660808589399</v>
      </c>
      <c r="D114">
        <v>107.7501518628</v>
      </c>
      <c r="E114">
        <v>108.42015187750667</v>
      </c>
      <c r="F114">
        <v>104.09238740042866</v>
      </c>
      <c r="G114">
        <v>103.40395324254735</v>
      </c>
      <c r="H114">
        <v>134.14894143573332</v>
      </c>
      <c r="I114">
        <v>115.32761265547934</v>
      </c>
      <c r="J114">
        <v>111.822515807565</v>
      </c>
      <c r="K114">
        <v>0.83992954942113196</v>
      </c>
      <c r="L114">
        <v>81.774842424242394</v>
      </c>
      <c r="M114" s="15">
        <f>+'[3]VAR expectations'!C138</f>
        <v>3.4330399377282408</v>
      </c>
      <c r="N114">
        <v>0.580538015574526</v>
      </c>
      <c r="O114">
        <v>0.14217114750364401</v>
      </c>
      <c r="P114">
        <v>0.25723020119906398</v>
      </c>
      <c r="Q114">
        <v>347</v>
      </c>
      <c r="R114">
        <v>60</v>
      </c>
      <c r="S114">
        <v>434</v>
      </c>
      <c r="T114">
        <v>114</v>
      </c>
      <c r="U114">
        <v>23</v>
      </c>
      <c r="V114">
        <v>22</v>
      </c>
      <c r="W114">
        <f t="shared" si="2"/>
        <v>159</v>
      </c>
    </row>
    <row r="115" spans="1:23" x14ac:dyDescent="0.25">
      <c r="A115" s="14">
        <v>44561</v>
      </c>
      <c r="B115">
        <v>114.25787655572999</v>
      </c>
      <c r="C115">
        <v>116.72365768288967</v>
      </c>
      <c r="D115">
        <v>109.67833622007799</v>
      </c>
      <c r="E115">
        <v>110.40240139757965</v>
      </c>
      <c r="F115">
        <v>105.920128611316</v>
      </c>
      <c r="G115">
        <v>104.10065834988366</v>
      </c>
      <c r="H115">
        <v>138.268006814752</v>
      </c>
      <c r="I115">
        <v>126.89131048809766</v>
      </c>
      <c r="J115">
        <v>114.237890257296</v>
      </c>
      <c r="K115">
        <v>0.89390208248498604</v>
      </c>
      <c r="L115">
        <v>81.611703030303005</v>
      </c>
      <c r="M115" s="15">
        <f>+'[3]VAR expectations'!C139</f>
        <v>5.1936780789271362</v>
      </c>
      <c r="N115">
        <v>1.4272711973059899</v>
      </c>
      <c r="O115">
        <v>0.63228111747361804</v>
      </c>
      <c r="P115">
        <v>0.77392107329598503</v>
      </c>
      <c r="Q115">
        <v>347</v>
      </c>
      <c r="R115">
        <v>60</v>
      </c>
      <c r="S115">
        <v>434</v>
      </c>
      <c r="T115">
        <v>114</v>
      </c>
      <c r="U115">
        <v>23</v>
      </c>
      <c r="V115">
        <v>22</v>
      </c>
      <c r="W115">
        <f t="shared" si="2"/>
        <v>159</v>
      </c>
    </row>
    <row r="116" spans="1:23" x14ac:dyDescent="0.25">
      <c r="A116" s="14">
        <v>44651</v>
      </c>
      <c r="B116">
        <v>116.49677113420233</v>
      </c>
      <c r="C116">
        <v>118.21712707444401</v>
      </c>
      <c r="D116">
        <v>112.12832965965966</v>
      </c>
      <c r="E116">
        <v>112.62245853692635</v>
      </c>
      <c r="F116">
        <v>108.48413341140368</v>
      </c>
      <c r="G116">
        <v>104.05074966812333</v>
      </c>
      <c r="H116">
        <v>141.15976212362867</v>
      </c>
      <c r="I116">
        <v>132.06063836474502</v>
      </c>
      <c r="J116">
        <v>116.398638086178</v>
      </c>
      <c r="K116">
        <v>0.92184313282267805</v>
      </c>
      <c r="L116">
        <v>82.334651562499999</v>
      </c>
      <c r="M116" s="15">
        <f>+'[3]VAR expectations'!C140</f>
        <v>6.6732619097853254</v>
      </c>
      <c r="N116">
        <v>1.47498838130139</v>
      </c>
      <c r="O116">
        <v>0.224820323383816</v>
      </c>
      <c r="P116">
        <v>1.8408776337000201</v>
      </c>
      <c r="Q116">
        <v>331.33333333333331</v>
      </c>
      <c r="R116">
        <v>67</v>
      </c>
      <c r="S116">
        <v>436.66666666666669</v>
      </c>
      <c r="T116">
        <v>115.66666666666667</v>
      </c>
      <c r="U116">
        <v>26.333333333333332</v>
      </c>
      <c r="V116">
        <v>23</v>
      </c>
      <c r="W116">
        <f t="shared" si="2"/>
        <v>165</v>
      </c>
    </row>
    <row r="117" spans="1:23" x14ac:dyDescent="0.25">
      <c r="A117" s="14">
        <v>44742</v>
      </c>
      <c r="B117">
        <v>120.47439248379567</v>
      </c>
      <c r="C117">
        <v>119.963695657662</v>
      </c>
      <c r="D117">
        <v>113.42445487000968</v>
      </c>
      <c r="E117">
        <v>115.56060620173633</v>
      </c>
      <c r="F117">
        <v>112.14412092928266</v>
      </c>
      <c r="G117">
        <v>104.80040987097834</v>
      </c>
      <c r="H117">
        <v>143.01102356787467</v>
      </c>
      <c r="I117">
        <v>171.23781665261598</v>
      </c>
      <c r="J117">
        <v>120.676964265745</v>
      </c>
      <c r="K117">
        <v>0.98383656619553195</v>
      </c>
      <c r="L117">
        <v>80.184107692307705</v>
      </c>
      <c r="M117" s="15">
        <f>+'[3]VAR expectations'!C141</f>
        <v>8.7447876447877011</v>
      </c>
      <c r="N117">
        <v>3.3583088320854499</v>
      </c>
      <c r="O117">
        <v>2.2888186897604901</v>
      </c>
      <c r="P117">
        <v>1.88338934084884</v>
      </c>
      <c r="Q117">
        <v>330</v>
      </c>
      <c r="R117">
        <v>67</v>
      </c>
      <c r="S117">
        <v>437</v>
      </c>
      <c r="T117">
        <v>116</v>
      </c>
      <c r="U117">
        <v>27</v>
      </c>
      <c r="V117">
        <v>23</v>
      </c>
      <c r="W117">
        <f t="shared" si="2"/>
        <v>166</v>
      </c>
    </row>
    <row r="118" spans="1:23" x14ac:dyDescent="0.25">
      <c r="A118" s="14">
        <v>44834</v>
      </c>
      <c r="B118">
        <v>123.094905075871</v>
      </c>
      <c r="C118">
        <v>121.95078329241301</v>
      </c>
      <c r="D118">
        <v>114.97586250721032</v>
      </c>
      <c r="E118">
        <v>120.36244687118233</v>
      </c>
      <c r="F118">
        <v>118.01655828974066</v>
      </c>
      <c r="G118">
        <v>106.38722057337066</v>
      </c>
      <c r="H118">
        <v>145.18027728351333</v>
      </c>
      <c r="I118">
        <v>177.48244811028067</v>
      </c>
      <c r="J118">
        <v>122.995270577592</v>
      </c>
      <c r="K118">
        <v>1.0233011494340301</v>
      </c>
      <c r="L118">
        <v>78.172721212121203</v>
      </c>
      <c r="M118" s="15">
        <f>+'[3]VAR expectations'!C142</f>
        <v>8.9090090090090914</v>
      </c>
      <c r="N118">
        <v>3.3339333644410498</v>
      </c>
      <c r="O118">
        <v>0.13877735543773001</v>
      </c>
      <c r="P118">
        <v>1.65702853123937</v>
      </c>
      <c r="Q118">
        <v>330</v>
      </c>
      <c r="R118">
        <v>67</v>
      </c>
      <c r="S118">
        <v>437</v>
      </c>
      <c r="T118">
        <v>116</v>
      </c>
      <c r="U118">
        <v>27</v>
      </c>
      <c r="V118">
        <v>23</v>
      </c>
      <c r="W118">
        <f t="shared" si="2"/>
        <v>166</v>
      </c>
    </row>
    <row r="119" spans="1:23" x14ac:dyDescent="0.25">
      <c r="A119" s="14">
        <v>44926</v>
      </c>
      <c r="B119">
        <v>126.57886306485598</v>
      </c>
      <c r="C119">
        <v>124.27342778589967</v>
      </c>
      <c r="D119">
        <v>116.61166837775033</v>
      </c>
      <c r="E119">
        <v>124.64660074139665</v>
      </c>
      <c r="F119">
        <v>123.36649683848867</v>
      </c>
      <c r="G119">
        <v>107.95196166583666</v>
      </c>
      <c r="H119">
        <v>145.94002321111901</v>
      </c>
      <c r="I119">
        <v>197.86296991908202</v>
      </c>
      <c r="J119">
        <v>126.54644360022201</v>
      </c>
      <c r="K119">
        <v>1.01216531698448</v>
      </c>
      <c r="L119">
        <v>78.101493846153801</v>
      </c>
      <c r="M119" s="15">
        <f>+'[3]VAR expectations'!C143</f>
        <v>7.2128482156615119</v>
      </c>
      <c r="N119">
        <v>3.73152831160392</v>
      </c>
      <c r="O119">
        <v>1.02568077887582</v>
      </c>
      <c r="P119">
        <v>1.4617154516787501</v>
      </c>
      <c r="Q119">
        <v>330</v>
      </c>
      <c r="R119">
        <v>67</v>
      </c>
      <c r="S119">
        <v>437</v>
      </c>
      <c r="T119">
        <v>116</v>
      </c>
      <c r="U119">
        <v>27</v>
      </c>
      <c r="V119">
        <v>23</v>
      </c>
      <c r="W119">
        <f t="shared" si="2"/>
        <v>166</v>
      </c>
    </row>
    <row r="120" spans="1:23" x14ac:dyDescent="0.25">
      <c r="A120" s="14">
        <v>45016</v>
      </c>
      <c r="B120">
        <v>128.39202377862233</v>
      </c>
      <c r="C120">
        <v>125.89174116121301</v>
      </c>
      <c r="D120">
        <v>118.523074078075</v>
      </c>
      <c r="E120">
        <v>128.61327327551268</v>
      </c>
      <c r="F120">
        <v>128.04504126085132</v>
      </c>
      <c r="G120">
        <v>110.11527021760334</v>
      </c>
      <c r="H120">
        <v>148.046160200727</v>
      </c>
      <c r="I120">
        <v>193.07030453629235</v>
      </c>
      <c r="J120">
        <v>128.34142996117501</v>
      </c>
      <c r="K120">
        <v>1.0215437277533299</v>
      </c>
      <c r="L120">
        <v>78.168284615384593</v>
      </c>
      <c r="M120" s="15">
        <f>+'[3]VAR expectations'!C144</f>
        <v>5.4496808271530108</v>
      </c>
      <c r="N120">
        <v>3.21017686418904</v>
      </c>
      <c r="O120">
        <v>-0.17012066426360101</v>
      </c>
      <c r="P120">
        <v>1.15487683092357</v>
      </c>
      <c r="Q120">
        <v>294.66666666666669</v>
      </c>
      <c r="R120">
        <v>80</v>
      </c>
      <c r="S120">
        <v>465</v>
      </c>
      <c r="T120">
        <v>118.33333333333333</v>
      </c>
      <c r="U120">
        <v>21</v>
      </c>
      <c r="V120">
        <v>21</v>
      </c>
      <c r="W120">
        <f t="shared" si="2"/>
        <v>160.33333333333331</v>
      </c>
    </row>
    <row r="121" spans="1:23" x14ac:dyDescent="0.25">
      <c r="A121" s="14">
        <v>45107</v>
      </c>
      <c r="B121">
        <v>130.54716798328667</v>
      </c>
      <c r="C121">
        <v>128.485303462703</v>
      </c>
      <c r="D121">
        <v>120.83103343504433</v>
      </c>
      <c r="E121">
        <v>133.46932792731801</v>
      </c>
      <c r="F121">
        <v>132.52743521768932</v>
      </c>
      <c r="G121">
        <v>112.10904033612233</v>
      </c>
      <c r="H121">
        <v>159.00950241568466</v>
      </c>
      <c r="I121">
        <v>183.72087079199866</v>
      </c>
      <c r="J121">
        <v>130.74946319922401</v>
      </c>
      <c r="K121">
        <v>1.00005844742037</v>
      </c>
      <c r="L121">
        <v>80.456900000000005</v>
      </c>
      <c r="M121" s="15">
        <f>+'[3]VAR expectations'!C145</f>
        <v>4.9659010810981856</v>
      </c>
      <c r="N121">
        <v>0.70170723997551099</v>
      </c>
      <c r="O121">
        <v>-0.231251350162267</v>
      </c>
      <c r="P121">
        <v>0.86764254780910499</v>
      </c>
      <c r="Q121">
        <v>293</v>
      </c>
      <c r="R121">
        <v>80</v>
      </c>
      <c r="S121">
        <v>466</v>
      </c>
      <c r="T121">
        <v>119</v>
      </c>
      <c r="U121">
        <v>21</v>
      </c>
      <c r="V121">
        <v>21</v>
      </c>
      <c r="W121">
        <f t="shared" si="2"/>
        <v>161</v>
      </c>
    </row>
    <row r="122" spans="1:23" x14ac:dyDescent="0.25">
      <c r="A122" s="14">
        <v>45199</v>
      </c>
      <c r="B122">
        <v>131.35470607744367</v>
      </c>
      <c r="C122">
        <v>130.50984266685668</v>
      </c>
      <c r="D122">
        <v>121.03083041990533</v>
      </c>
      <c r="E122">
        <v>135.44731893789299</v>
      </c>
      <c r="F122">
        <v>133.90551265077167</v>
      </c>
      <c r="G122">
        <v>115.81019576498467</v>
      </c>
      <c r="H122">
        <v>162.57654930967234</v>
      </c>
      <c r="I122">
        <v>171.50321888262667</v>
      </c>
      <c r="J122">
        <v>131.21387847850599</v>
      </c>
      <c r="K122">
        <v>0.98423499823385696</v>
      </c>
      <c r="L122">
        <v>82.197903076923097</v>
      </c>
      <c r="M122" s="15">
        <f>+'[3]VAR expectations'!C146</f>
        <v>4.3007323969777262</v>
      </c>
      <c r="N122">
        <v>-0.16340187781012599</v>
      </c>
      <c r="O122">
        <v>-0.673433352934243</v>
      </c>
      <c r="P122">
        <v>0.407138284058911</v>
      </c>
      <c r="Q122">
        <v>293</v>
      </c>
      <c r="R122">
        <v>80</v>
      </c>
      <c r="S122">
        <v>466</v>
      </c>
      <c r="T122">
        <v>119</v>
      </c>
      <c r="U122">
        <v>21</v>
      </c>
      <c r="V122">
        <v>21</v>
      </c>
      <c r="W122">
        <f t="shared" si="2"/>
        <v>161</v>
      </c>
    </row>
    <row r="123" spans="1:23" x14ac:dyDescent="0.25">
      <c r="A123" s="14">
        <v>45291</v>
      </c>
      <c r="B123">
        <v>131.91169492931868</v>
      </c>
      <c r="C123">
        <v>132.25194701731735</v>
      </c>
      <c r="D123">
        <v>120.826381826066</v>
      </c>
      <c r="E123">
        <v>136.69438309036499</v>
      </c>
      <c r="F123">
        <v>134.59696291003533</v>
      </c>
      <c r="G123">
        <v>118.01172953257166</v>
      </c>
      <c r="H123">
        <v>165.58140967616802</v>
      </c>
      <c r="I123">
        <v>165.008488116482</v>
      </c>
      <c r="J123">
        <v>131.88052879150999</v>
      </c>
      <c r="K123">
        <v>0.99409752445047195</v>
      </c>
      <c r="L123">
        <v>81.178133846153798</v>
      </c>
      <c r="M123" s="15">
        <f>+'[3]VAR expectations'!C147</f>
        <v>3.8582721147576735</v>
      </c>
      <c r="N123">
        <v>-1.3678165112816401</v>
      </c>
      <c r="O123">
        <v>-0.21694556148073699</v>
      </c>
      <c r="P123">
        <v>-0.114114880345508</v>
      </c>
      <c r="Q123">
        <v>293</v>
      </c>
      <c r="R123">
        <v>80</v>
      </c>
      <c r="S123">
        <v>466</v>
      </c>
      <c r="T123">
        <v>119</v>
      </c>
      <c r="U123">
        <v>21</v>
      </c>
      <c r="V123">
        <v>21</v>
      </c>
      <c r="W123">
        <f t="shared" si="2"/>
        <v>161</v>
      </c>
    </row>
    <row r="124" spans="1:23" x14ac:dyDescent="0.25">
      <c r="A124" s="14">
        <v>45382</v>
      </c>
      <c r="B124">
        <v>132.95753971265268</v>
      </c>
      <c r="C124">
        <v>133.80388347472169</v>
      </c>
      <c r="D124">
        <v>120.92759381263467</v>
      </c>
      <c r="E124">
        <v>137.65111074719835</v>
      </c>
      <c r="F124">
        <v>134.88635364879835</v>
      </c>
      <c r="G124">
        <v>118.87129833515434</v>
      </c>
      <c r="H124">
        <v>171.60210384068134</v>
      </c>
      <c r="I124">
        <v>165.93441682404099</v>
      </c>
      <c r="J124">
        <v>132.95382336549201</v>
      </c>
      <c r="K124">
        <v>0.98573900024007299</v>
      </c>
      <c r="L124">
        <v>82.5681923076923</v>
      </c>
      <c r="M124" s="15">
        <f>+'[3]VAR expectations'!C148</f>
        <v>3.6255376960251078</v>
      </c>
      <c r="N124">
        <v>-1.0717785266822</v>
      </c>
      <c r="O124">
        <v>4.3541846025459997E-2</v>
      </c>
      <c r="P124">
        <v>-0.23701539799924201</v>
      </c>
      <c r="Q124">
        <v>286.49313333333339</v>
      </c>
      <c r="R124">
        <v>71.188066666666657</v>
      </c>
      <c r="S124">
        <v>490.4566333333334</v>
      </c>
      <c r="T124">
        <v>113.06706666666666</v>
      </c>
      <c r="U124">
        <v>20.664833333333334</v>
      </c>
      <c r="V124">
        <v>18.130266666666667</v>
      </c>
      <c r="W124">
        <f t="shared" si="2"/>
        <v>151.86216666666667</v>
      </c>
    </row>
    <row r="125" spans="1:23" x14ac:dyDescent="0.25">
      <c r="A125" s="14">
        <v>45473</v>
      </c>
      <c r="B125">
        <v>133.23086396771666</v>
      </c>
      <c r="C125">
        <v>135.823382776946</v>
      </c>
      <c r="D125">
        <v>120.94764240494267</v>
      </c>
      <c r="E125">
        <v>138.10386324787066</v>
      </c>
      <c r="F125">
        <v>135.20077976185632</v>
      </c>
      <c r="G125">
        <v>118.611716425645</v>
      </c>
      <c r="H125">
        <v>174.57961920888067</v>
      </c>
      <c r="I125">
        <v>154.03474934649535</v>
      </c>
      <c r="J125">
        <v>133.42686731999399</v>
      </c>
      <c r="K125">
        <v>0.99610252238445296</v>
      </c>
      <c r="L125">
        <v>82.944390769230793</v>
      </c>
      <c r="M125" s="15">
        <f>+'[3]VAR expectations'!C149</f>
        <v>2.979353541970323</v>
      </c>
      <c r="N125">
        <v>-1.2261098957021399</v>
      </c>
      <c r="O125">
        <v>-0.40443614577732501</v>
      </c>
      <c r="P125">
        <v>-0.31796223900019199</v>
      </c>
      <c r="Q125">
        <v>285.86950000000007</v>
      </c>
      <c r="R125">
        <v>71.750699999999995</v>
      </c>
      <c r="S125">
        <v>490.08380000000005</v>
      </c>
      <c r="T125">
        <v>113.14640000000001</v>
      </c>
      <c r="U125">
        <v>20.931000000000001</v>
      </c>
      <c r="V125">
        <v>18.218599999999999</v>
      </c>
      <c r="W125">
        <f t="shared" si="2"/>
        <v>152.29600000000002</v>
      </c>
    </row>
    <row r="126" spans="1:23" x14ac:dyDescent="0.25">
      <c r="A126" s="14">
        <v>45565</v>
      </c>
      <c r="B126">
        <v>134.02591496633167</v>
      </c>
      <c r="C126">
        <v>137.27546410199867</v>
      </c>
      <c r="D126">
        <v>121.26684040103567</v>
      </c>
      <c r="E126">
        <v>139.06458282130032</v>
      </c>
      <c r="F126">
        <v>135.95888169112933</v>
      </c>
      <c r="G126">
        <v>118.90640319454066</v>
      </c>
      <c r="H126">
        <v>177.99044880402766</v>
      </c>
      <c r="I126">
        <v>148.61648472966297</v>
      </c>
      <c r="J126">
        <v>133.86174972626199</v>
      </c>
      <c r="K126">
        <v>0.97405812511554302</v>
      </c>
      <c r="L126">
        <v>84.302587878787904</v>
      </c>
      <c r="M126" s="15">
        <f>+'[3]VAR expectations'!C150</f>
        <v>2.9717312535901965</v>
      </c>
      <c r="N126">
        <v>-0.96369939332577004</v>
      </c>
      <c r="O126">
        <v>-0.39830475465660198</v>
      </c>
      <c r="P126">
        <v>-0.34910611900108002</v>
      </c>
      <c r="Q126">
        <v>285.86950000000007</v>
      </c>
      <c r="R126">
        <v>71.750699999999995</v>
      </c>
      <c r="S126">
        <v>490.08380000000005</v>
      </c>
      <c r="T126">
        <v>113.14640000000001</v>
      </c>
      <c r="U126">
        <v>20.931000000000001</v>
      </c>
      <c r="V126">
        <v>18.218599999999999</v>
      </c>
      <c r="W126">
        <f t="shared" si="2"/>
        <v>152.29600000000002</v>
      </c>
    </row>
    <row r="127" spans="1:23" x14ac:dyDescent="0.25">
      <c r="A127" s="14">
        <v>45657</v>
      </c>
      <c r="B127">
        <v>135.21540964549135</v>
      </c>
      <c r="C127">
        <v>138.62392287632599</v>
      </c>
      <c r="D127">
        <v>121.97078761739067</v>
      </c>
      <c r="E127">
        <v>140.70550049005502</v>
      </c>
      <c r="F127">
        <v>137.23625898171801</v>
      </c>
      <c r="G127">
        <v>119.727276035976</v>
      </c>
      <c r="H127">
        <v>182.78606617761568</v>
      </c>
      <c r="I127">
        <v>151.47627108706834</v>
      </c>
      <c r="J127">
        <v>135.17362578586099</v>
      </c>
      <c r="K127">
        <v>0.97624661192587803</v>
      </c>
      <c r="L127">
        <v>84.621425757575807</v>
      </c>
      <c r="M127" s="15">
        <f>+'[3]VAR expectations'!C151</f>
        <v>3.468785277541127</v>
      </c>
      <c r="N127">
        <v>-0.58156090930256898</v>
      </c>
      <c r="O127">
        <v>0.16500605812762401</v>
      </c>
      <c r="P127">
        <v>-0.43079458499907702</v>
      </c>
      <c r="Q127">
        <v>285.86950000000007</v>
      </c>
      <c r="R127">
        <v>71.750699999999995</v>
      </c>
      <c r="S127">
        <v>490.08380000000005</v>
      </c>
      <c r="T127">
        <v>113.14640000000001</v>
      </c>
      <c r="U127">
        <v>20.931000000000001</v>
      </c>
      <c r="V127">
        <v>18.218599999999999</v>
      </c>
      <c r="W127">
        <f t="shared" si="2"/>
        <v>152.29600000000002</v>
      </c>
    </row>
    <row r="128" spans="1:23" x14ac:dyDescent="0.25">
      <c r="A128" s="14">
        <v>45747</v>
      </c>
      <c r="B128">
        <v>136.68163303334902</v>
      </c>
      <c r="C128">
        <v>140.42365603464035</v>
      </c>
      <c r="D128">
        <v>122.43308194025799</v>
      </c>
      <c r="E128">
        <v>142.80596581039768</v>
      </c>
      <c r="F128">
        <v>139.26904833835735</v>
      </c>
      <c r="G128">
        <v>121.25975056139232</v>
      </c>
      <c r="H128">
        <v>186.78620774865166</v>
      </c>
      <c r="I128">
        <v>153.66802392544935</v>
      </c>
      <c r="J128">
        <v>136.72048345699301</v>
      </c>
      <c r="K128">
        <v>0.99895086639782105</v>
      </c>
      <c r="L128">
        <v>84.062595312499994</v>
      </c>
      <c r="M128" s="15">
        <f>+'[3]VAR expectations'!C152</f>
        <v>3.8021957884789486</v>
      </c>
      <c r="N128">
        <v>-0.518303217993346</v>
      </c>
      <c r="O128">
        <v>0.107917584062745</v>
      </c>
      <c r="P128">
        <v>-0.48079148900035901</v>
      </c>
      <c r="Q128">
        <v>287.15600000000001</v>
      </c>
      <c r="R128">
        <v>61.402300000000004</v>
      </c>
      <c r="S128">
        <v>500.89830000000001</v>
      </c>
      <c r="T128">
        <v>112.20923333333333</v>
      </c>
      <c r="U128">
        <v>19.879166666666666</v>
      </c>
      <c r="V128">
        <v>18.454999999999998</v>
      </c>
      <c r="W128">
        <f t="shared" si="2"/>
        <v>150.54340000000002</v>
      </c>
    </row>
    <row r="129" spans="1:23" x14ac:dyDescent="0.25">
      <c r="A129" s="14">
        <v>45838</v>
      </c>
      <c r="B129">
        <v>137.859309580629</v>
      </c>
      <c r="C129">
        <v>142.49068378627567</v>
      </c>
      <c r="D129">
        <v>122.71594289376867</v>
      </c>
      <c r="E129">
        <v>144.416647798208</v>
      </c>
      <c r="F129">
        <v>140.76687101194</v>
      </c>
      <c r="G129">
        <v>123.383525891064</v>
      </c>
      <c r="H129">
        <v>188.44454589032534</v>
      </c>
      <c r="I129">
        <v>152.700563156946</v>
      </c>
      <c r="J129">
        <v>138.03988302570099</v>
      </c>
      <c r="K129">
        <v>0.99251729977824699</v>
      </c>
      <c r="L129">
        <v>85.4313261538462</v>
      </c>
      <c r="M129" s="15">
        <f>+'[3]VAR expectations'!C153</f>
        <v>4.011042611251681</v>
      </c>
      <c r="N129">
        <v>-8.0156162901135294E-2</v>
      </c>
      <c r="O129">
        <v>4.1047258462795402E-2</v>
      </c>
      <c r="P129">
        <v>-0.54822007300054398</v>
      </c>
      <c r="Q129">
        <v>286.36329999999998</v>
      </c>
      <c r="R129">
        <v>61.652700000000003</v>
      </c>
      <c r="S129">
        <v>500.83539999999999</v>
      </c>
      <c r="T129">
        <v>112.5699</v>
      </c>
      <c r="U129">
        <v>20.052600000000002</v>
      </c>
      <c r="V129">
        <v>18.5261</v>
      </c>
      <c r="W129">
        <f t="shared" si="2"/>
        <v>151.14859999999999</v>
      </c>
    </row>
    <row r="130" spans="1:23" x14ac:dyDescent="0.25">
      <c r="A130" s="14">
        <v>45930</v>
      </c>
      <c r="B130">
        <v>139.10337428777234</v>
      </c>
      <c r="C130">
        <v>143.82208884965266</v>
      </c>
      <c r="D130">
        <v>123.18658650267133</v>
      </c>
      <c r="E130">
        <v>146.15903434152099</v>
      </c>
      <c r="F130">
        <v>142.54699057211266</v>
      </c>
      <c r="G130">
        <v>123.58655627767166</v>
      </c>
      <c r="H130">
        <v>192.15523740753335</v>
      </c>
      <c r="I130">
        <v>152.45553485796998</v>
      </c>
      <c r="J130">
        <v>138.929155953021</v>
      </c>
      <c r="K130">
        <v>0.98609274706816596</v>
      </c>
      <c r="L130">
        <v>85.000674242424196</v>
      </c>
      <c r="M130" s="15">
        <f>+'[3]VAR expectations'!C154</f>
        <v>3.9691108090385026</v>
      </c>
      <c r="N130">
        <v>0.17385582924148901</v>
      </c>
      <c r="O130">
        <v>-0.14024893238342001</v>
      </c>
      <c r="P130">
        <v>-0.65395930199913699</v>
      </c>
      <c r="Q130">
        <v>286.36329999999998</v>
      </c>
      <c r="R130">
        <v>61.652700000000003</v>
      </c>
      <c r="S130">
        <v>500.83539999999999</v>
      </c>
      <c r="T130">
        <v>112.5699</v>
      </c>
      <c r="U130">
        <v>20.052600000000002</v>
      </c>
      <c r="V130">
        <v>18.5261</v>
      </c>
      <c r="W130">
        <f t="shared" si="2"/>
        <v>151.14859999999999</v>
      </c>
    </row>
    <row r="131" spans="1:23" x14ac:dyDescent="0.25">
      <c r="A131" s="14">
        <v>46022</v>
      </c>
      <c r="B131">
        <v>139.83730106054733</v>
      </c>
      <c r="C131">
        <v>144.84701483496133</v>
      </c>
      <c r="D131">
        <v>123.435188398189</v>
      </c>
      <c r="E131">
        <v>147.28828725788534</v>
      </c>
      <c r="F131">
        <v>143.50161677432732</v>
      </c>
      <c r="G131">
        <v>124.42569461566933</v>
      </c>
      <c r="H131">
        <v>193.97107069739764</v>
      </c>
      <c r="I131">
        <v>154.35444850101101</v>
      </c>
      <c r="J131">
        <v>139.784107563296</v>
      </c>
      <c r="K131">
        <v>1.0048143678035899</v>
      </c>
      <c r="L131">
        <v>84.160324242424196</v>
      </c>
      <c r="M131" s="15">
        <f>+'[3]VAR expectations'!C155</f>
        <v>3.8470567349792795</v>
      </c>
      <c r="N131">
        <v>0.1119962</v>
      </c>
      <c r="O131">
        <v>9.7460178220928104E-2</v>
      </c>
      <c r="P131">
        <v>-0.88961544599912101</v>
      </c>
      <c r="Q131">
        <v>286.36329999999998</v>
      </c>
      <c r="R131">
        <v>61.652700000000003</v>
      </c>
      <c r="S131">
        <v>500.83539999999999</v>
      </c>
      <c r="T131">
        <v>112.5699</v>
      </c>
      <c r="U131">
        <v>20.052600000000002</v>
      </c>
      <c r="V131">
        <v>18.5261</v>
      </c>
      <c r="W131">
        <f t="shared" si="2"/>
        <v>151.14859999999999</v>
      </c>
    </row>
    <row r="132" spans="1:23" x14ac:dyDescent="0.25">
      <c r="A132" s="14">
        <v>46112</v>
      </c>
      <c r="B132">
        <v>140.91080309946733</v>
      </c>
      <c r="C132">
        <v>146.63121821482935</v>
      </c>
      <c r="D132">
        <v>123.59473893469466</v>
      </c>
      <c r="E132">
        <v>147.939889369008</v>
      </c>
      <c r="F132">
        <v>144.21717378149432</v>
      </c>
      <c r="G132">
        <v>123.02516601451698</v>
      </c>
      <c r="H132">
        <v>198.67838029698169</v>
      </c>
      <c r="I132">
        <v>155.62380765006867</v>
      </c>
      <c r="J132">
        <v>140.96859532877701</v>
      </c>
      <c r="K132">
        <v>1.0026831227361801</v>
      </c>
      <c r="L132">
        <v>84.782439062500004</v>
      </c>
      <c r="M132" s="15">
        <f>+'[3]VAR expectations'!C156</f>
        <v>4.1639091291217634</v>
      </c>
      <c r="N132">
        <v>8.20304116706497E-2</v>
      </c>
      <c r="O132">
        <v>8.1472436362840003E-2</v>
      </c>
      <c r="P132">
        <v>-0.95999994434571201</v>
      </c>
      <c r="Q132">
        <v>277.11993333333328</v>
      </c>
      <c r="R132">
        <v>58.344600000000007</v>
      </c>
      <c r="S132">
        <v>518.13319999999987</v>
      </c>
      <c r="T132">
        <v>109.45673333333333</v>
      </c>
      <c r="U132">
        <v>20.782733333333333</v>
      </c>
      <c r="V132">
        <v>16.162800000000001</v>
      </c>
      <c r="W132">
        <f t="shared" si="2"/>
        <v>146.40226666666666</v>
      </c>
    </row>
    <row r="133" spans="1:23" x14ac:dyDescent="0.25">
      <c r="A133" s="14">
        <v>46203</v>
      </c>
      <c r="B133">
        <v>142.16174790128935</v>
      </c>
      <c r="C133">
        <v>147.64587087046334</v>
      </c>
      <c r="D133">
        <v>123.91333548820602</v>
      </c>
      <c r="E133">
        <v>148.66634950181569</v>
      </c>
      <c r="F133">
        <v>145.82886937302467</v>
      </c>
      <c r="G133">
        <v>122.89753808482367</v>
      </c>
      <c r="H133">
        <v>200.69000732996867</v>
      </c>
      <c r="I133">
        <v>165.11886901961967</v>
      </c>
      <c r="J133">
        <v>142.34484745777499</v>
      </c>
      <c r="K133">
        <v>1.03470568254168</v>
      </c>
      <c r="L133">
        <v>83.852547542572495</v>
      </c>
      <c r="M133" s="15">
        <f>+'[3]VAR expectations'!C157</f>
        <v>5.4104651194166893</v>
      </c>
      <c r="N133">
        <v>0.46770181567943597</v>
      </c>
      <c r="O133">
        <v>0.41784976947829</v>
      </c>
      <c r="P133">
        <v>-1.1100000253081399</v>
      </c>
      <c r="Q133">
        <v>276.51159999999993</v>
      </c>
      <c r="R133">
        <v>58.350900000000003</v>
      </c>
      <c r="S133">
        <v>518.36659999999995</v>
      </c>
      <c r="T133">
        <v>109.60590000000001</v>
      </c>
      <c r="U133">
        <v>20.937899999999999</v>
      </c>
      <c r="V133">
        <v>16.2271</v>
      </c>
      <c r="W133">
        <f t="shared" si="2"/>
        <v>146.77090000000001</v>
      </c>
    </row>
    <row r="134" spans="1:23" x14ac:dyDescent="0.25">
      <c r="A134" s="14">
        <v>46295</v>
      </c>
      <c r="B134">
        <v>143.75390549774235</v>
      </c>
      <c r="C134">
        <v>148.96660239656401</v>
      </c>
      <c r="D134">
        <v>124.48737674873301</v>
      </c>
      <c r="E134">
        <v>151.29559666025202</v>
      </c>
      <c r="F134">
        <v>148.39391134341867</v>
      </c>
      <c r="G134">
        <v>123.82368263994466</v>
      </c>
      <c r="H134">
        <v>202.41071901484165</v>
      </c>
      <c r="I134">
        <v>168.55347344892266</v>
      </c>
      <c r="J134">
        <v>143.576397728773</v>
      </c>
      <c r="K134">
        <v>1.03126921064787</v>
      </c>
      <c r="L134">
        <v>83.739870212059401</v>
      </c>
      <c r="M134" s="15">
        <f>+'[3]VAR expectations'!C158</f>
        <v>4.9139696600199789</v>
      </c>
      <c r="N134">
        <v>0.62946641974350404</v>
      </c>
      <c r="O134">
        <v>2.7533676138149901E-2</v>
      </c>
      <c r="P134">
        <v>-1.31158013550404</v>
      </c>
      <c r="Q134">
        <v>276.51159999999993</v>
      </c>
      <c r="R134">
        <v>58.350900000000003</v>
      </c>
      <c r="S134">
        <v>518.36659999999995</v>
      </c>
      <c r="T134">
        <v>109.60590000000001</v>
      </c>
      <c r="U134">
        <v>20.937899999999999</v>
      </c>
      <c r="V134">
        <v>16.2271</v>
      </c>
      <c r="W134">
        <f t="shared" si="2"/>
        <v>146.77090000000001</v>
      </c>
    </row>
    <row r="135" spans="1:23" x14ac:dyDescent="0.25">
      <c r="A135" s="14">
        <v>46387</v>
      </c>
      <c r="I135">
        <v>165.98635347348534</v>
      </c>
      <c r="J135">
        <v>144.90812892177101</v>
      </c>
      <c r="K135">
        <v>1.02108565765283</v>
      </c>
      <c r="L135">
        <v>83.626772015095</v>
      </c>
      <c r="M135" s="15">
        <f>+'[3]VAR expectations'!C159</f>
        <v>4.0011512098701685</v>
      </c>
      <c r="N135">
        <v>0.43966995093679601</v>
      </c>
      <c r="O135">
        <v>-8.6012428087150206E-2</v>
      </c>
      <c r="P135">
        <v>-1.4815894570328001</v>
      </c>
      <c r="Q135">
        <v>276.51159999999993</v>
      </c>
      <c r="R135">
        <v>58.350900000000003</v>
      </c>
      <c r="S135">
        <v>518.36659999999995</v>
      </c>
      <c r="T135">
        <v>109.60590000000001</v>
      </c>
      <c r="U135">
        <v>20.937899999999999</v>
      </c>
      <c r="V135">
        <v>16.2271</v>
      </c>
      <c r="W135">
        <f t="shared" si="2"/>
        <v>146.77090000000001</v>
      </c>
    </row>
    <row r="136" spans="1:23" x14ac:dyDescent="0.25">
      <c r="A136" s="14">
        <v>46477</v>
      </c>
      <c r="I136">
        <v>165.057716738751</v>
      </c>
      <c r="J136">
        <v>145.85027265183999</v>
      </c>
      <c r="K136">
        <v>1.0159086217453499</v>
      </c>
      <c r="L136">
        <v>83.511782227374596</v>
      </c>
      <c r="M136" s="15">
        <f>+'[3]VAR expectations'!C160</f>
        <v>3.3715300668176842</v>
      </c>
      <c r="N136">
        <v>0.35352551299761398</v>
      </c>
      <c r="O136">
        <v>1.8190339041983299E-4</v>
      </c>
      <c r="P136">
        <v>-1.4112049138334599</v>
      </c>
      <c r="Q136">
        <v>277.11993333333328</v>
      </c>
      <c r="R136">
        <v>58.344600000000007</v>
      </c>
      <c r="S136">
        <v>518.13319999999987</v>
      </c>
      <c r="T136">
        <v>109.45673333333333</v>
      </c>
      <c r="U136">
        <v>20.782733333333333</v>
      </c>
      <c r="V136">
        <v>16.162800000000001</v>
      </c>
      <c r="W136">
        <f t="shared" si="2"/>
        <v>146.40226666666666</v>
      </c>
    </row>
    <row r="137" spans="1:23" x14ac:dyDescent="0.25">
      <c r="A137" s="14">
        <v>46568</v>
      </c>
      <c r="I137">
        <v>162.61817426749667</v>
      </c>
      <c r="J137">
        <v>146.61458563050601</v>
      </c>
      <c r="K137">
        <v>1.0126519664022899</v>
      </c>
      <c r="L137">
        <v>83.394217743676407</v>
      </c>
      <c r="M137" s="15">
        <f>+'[3]VAR expectations'!C161</f>
        <v>2.9319715449134089</v>
      </c>
      <c r="N137">
        <v>-0.10110608693769101</v>
      </c>
      <c r="O137">
        <v>-3.4253926787450102E-2</v>
      </c>
      <c r="P137">
        <v>-1.3470346879199599</v>
      </c>
      <c r="Q137">
        <v>276.51159999999993</v>
      </c>
      <c r="R137">
        <v>58.350900000000003</v>
      </c>
      <c r="S137">
        <v>518.36659999999995</v>
      </c>
      <c r="T137">
        <v>109.60590000000001</v>
      </c>
      <c r="U137">
        <v>20.937899999999999</v>
      </c>
      <c r="V137">
        <v>16.2271</v>
      </c>
      <c r="W137">
        <f t="shared" si="2"/>
        <v>146.77090000000001</v>
      </c>
    </row>
    <row r="138" spans="1:23" x14ac:dyDescent="0.25">
      <c r="A138" s="14">
        <v>46660</v>
      </c>
      <c r="I138">
        <v>161.62931914854266</v>
      </c>
      <c r="J138">
        <v>147.160073363885</v>
      </c>
      <c r="K138">
        <v>1.01034866830139</v>
      </c>
      <c r="L138">
        <v>83.272276764652105</v>
      </c>
      <c r="M138" s="15">
        <f>+'[3]VAR expectations'!C162</f>
        <v>2.624058833894372</v>
      </c>
      <c r="N138">
        <v>-0.23265208863300799</v>
      </c>
      <c r="O138">
        <v>-0.10587901821204999</v>
      </c>
      <c r="P138">
        <v>-1.2098842291135199</v>
      </c>
      <c r="Q138">
        <v>276.51159999999993</v>
      </c>
      <c r="R138">
        <v>58.350900000000003</v>
      </c>
      <c r="S138">
        <v>518.36659999999995</v>
      </c>
      <c r="T138">
        <v>109.60590000000001</v>
      </c>
      <c r="U138">
        <v>20.937899999999999</v>
      </c>
      <c r="V138">
        <v>16.2271</v>
      </c>
      <c r="W138">
        <f t="shared" si="2"/>
        <v>146.77090000000001</v>
      </c>
    </row>
    <row r="139" spans="1:23" x14ac:dyDescent="0.25">
      <c r="A139" s="14">
        <v>46752</v>
      </c>
      <c r="I139">
        <v>159.48661980773832</v>
      </c>
      <c r="J139">
        <v>147.70275880738399</v>
      </c>
      <c r="K139">
        <v>1.00825272538385</v>
      </c>
      <c r="L139">
        <v>83.146696505323803</v>
      </c>
      <c r="M139" s="15">
        <f>+'[3]VAR expectations'!C163</f>
        <v>2.4687156565697737</v>
      </c>
      <c r="N139">
        <v>-0.22557547231543701</v>
      </c>
      <c r="O139">
        <v>-8.0643982069679904E-2</v>
      </c>
      <c r="P139">
        <v>-1.1043420418088901</v>
      </c>
      <c r="Q139">
        <v>276.51159999999993</v>
      </c>
      <c r="R139">
        <v>58.350900000000003</v>
      </c>
      <c r="S139">
        <v>518.36659999999995</v>
      </c>
      <c r="T139">
        <v>109.60590000000001</v>
      </c>
      <c r="U139">
        <v>20.937899999999999</v>
      </c>
      <c r="V139">
        <v>16.2271</v>
      </c>
      <c r="W139">
        <f t="shared" si="2"/>
        <v>146.77090000000001</v>
      </c>
    </row>
    <row r="140" spans="1:23" x14ac:dyDescent="0.25">
      <c r="A140" s="14">
        <v>46843</v>
      </c>
      <c r="I140">
        <v>157.06861269134467</v>
      </c>
      <c r="J140">
        <v>148.23762334590799</v>
      </c>
      <c r="K140">
        <v>1.00659242366188</v>
      </c>
      <c r="L140">
        <v>83.019750750202704</v>
      </c>
      <c r="M140" s="15">
        <f>+'[3]VAR expectations'!C164</f>
        <v>2.4272584547421974</v>
      </c>
      <c r="N140">
        <v>-0.292579106135544</v>
      </c>
      <c r="O140">
        <v>-7.1473628390959901E-2</v>
      </c>
      <c r="P140">
        <v>-1.02079854084029</v>
      </c>
      <c r="Q140">
        <v>277.11993333333328</v>
      </c>
      <c r="R140">
        <v>58.344600000000007</v>
      </c>
      <c r="S140">
        <v>518.13319999999987</v>
      </c>
      <c r="T140">
        <v>109.45673333333333</v>
      </c>
      <c r="U140">
        <v>20.782733333333333</v>
      </c>
      <c r="V140">
        <v>16.162800000000001</v>
      </c>
      <c r="W140">
        <f t="shared" si="2"/>
        <v>146.40226666666666</v>
      </c>
    </row>
    <row r="141" spans="1:23" x14ac:dyDescent="0.25">
      <c r="A141" s="14">
        <v>46934</v>
      </c>
      <c r="I141">
        <v>155.00747475478533</v>
      </c>
      <c r="J141">
        <v>149.02794682730701</v>
      </c>
      <c r="K141">
        <v>1.00503851607327</v>
      </c>
      <c r="L141">
        <v>82.893671077881507</v>
      </c>
      <c r="M141" s="15">
        <f>+'[3]VAR expectations'!C165</f>
        <v>2.4505337246023733</v>
      </c>
      <c r="N141">
        <v>-0.27639477261600398</v>
      </c>
      <c r="O141">
        <v>-2.1510396662669899E-2</v>
      </c>
      <c r="P141">
        <v>-0.938861342418152</v>
      </c>
      <c r="Q141">
        <v>276.51159999999993</v>
      </c>
      <c r="R141">
        <v>58.350900000000003</v>
      </c>
      <c r="S141">
        <v>518.36659999999995</v>
      </c>
      <c r="T141">
        <v>109.60590000000001</v>
      </c>
      <c r="U141">
        <v>20.937899999999999</v>
      </c>
      <c r="V141">
        <v>16.2271</v>
      </c>
      <c r="W141">
        <f t="shared" si="2"/>
        <v>146.77090000000001</v>
      </c>
    </row>
    <row r="142" spans="1:23" x14ac:dyDescent="0.25">
      <c r="A142" s="14">
        <v>47026</v>
      </c>
      <c r="I142">
        <v>156.02657923647803</v>
      </c>
      <c r="J142">
        <v>149.62609821928601</v>
      </c>
      <c r="K142">
        <v>1.0036277909031399</v>
      </c>
      <c r="L142">
        <v>82.769687239930306</v>
      </c>
      <c r="M142" s="15">
        <f>+'[3]VAR expectations'!C166</f>
        <v>2.4399426350808717</v>
      </c>
      <c r="N142">
        <v>-0.18992010659112199</v>
      </c>
      <c r="O142">
        <v>-1.9383107023809999E-2</v>
      </c>
      <c r="P142">
        <v>-0.88708578288714801</v>
      </c>
      <c r="Q142">
        <v>276.51159999999993</v>
      </c>
      <c r="R142">
        <v>58.350900000000003</v>
      </c>
      <c r="S142">
        <v>518.36659999999995</v>
      </c>
      <c r="T142">
        <v>109.60590000000001</v>
      </c>
      <c r="U142">
        <v>20.937899999999999</v>
      </c>
      <c r="V142">
        <v>16.2271</v>
      </c>
      <c r="W142">
        <f t="shared" ref="W142:W145" si="3">+T142+U142+V142</f>
        <v>146.77090000000001</v>
      </c>
    </row>
    <row r="143" spans="1:23" x14ac:dyDescent="0.25">
      <c r="A143" s="14">
        <v>47118</v>
      </c>
      <c r="I143">
        <v>156.29878566447499</v>
      </c>
      <c r="J143">
        <v>150.239139540514</v>
      </c>
      <c r="K143">
        <v>1.00235794119012</v>
      </c>
      <c r="L143">
        <v>82.648532501598893</v>
      </c>
      <c r="M143" s="15">
        <f>+'[3]VAR expectations'!C167</f>
        <v>2.4724757454078841</v>
      </c>
      <c r="N143">
        <v>-0.117011613692185</v>
      </c>
      <c r="O143">
        <v>-7.69414221715991E-3</v>
      </c>
      <c r="P143">
        <v>-0.82725005567582299</v>
      </c>
      <c r="Q143">
        <v>276.51159999999993</v>
      </c>
      <c r="R143">
        <v>58.350900000000003</v>
      </c>
      <c r="S143">
        <v>518.36659999999995</v>
      </c>
      <c r="T143">
        <v>109.60590000000001</v>
      </c>
      <c r="U143">
        <v>20.937899999999999</v>
      </c>
      <c r="V143">
        <v>16.2271</v>
      </c>
      <c r="W143">
        <f t="shared" si="3"/>
        <v>146.77090000000001</v>
      </c>
    </row>
    <row r="144" spans="1:23" x14ac:dyDescent="0.25">
      <c r="A144" s="14">
        <v>47208</v>
      </c>
      <c r="I144">
        <v>155.61458326655534</v>
      </c>
      <c r="J144">
        <v>150.84127839502901</v>
      </c>
      <c r="K144">
        <v>1.00106999055868</v>
      </c>
      <c r="L144">
        <v>82.530537938462103</v>
      </c>
      <c r="M144" s="15">
        <f>+'[3]VAR expectations'!C168</f>
        <v>2.5381252562448622</v>
      </c>
      <c r="N144">
        <v>-5.67299892812883E-2</v>
      </c>
      <c r="O144">
        <v>-9.1409025819498592E-3</v>
      </c>
      <c r="P144">
        <v>-0.78302026507912104</v>
      </c>
      <c r="Q144">
        <v>277.11993333333328</v>
      </c>
      <c r="R144">
        <v>58.344600000000007</v>
      </c>
      <c r="S144">
        <v>518.13319999999987</v>
      </c>
      <c r="T144">
        <v>109.45673333333333</v>
      </c>
      <c r="U144">
        <v>20.782733333333333</v>
      </c>
      <c r="V144">
        <v>16.162800000000001</v>
      </c>
      <c r="W144">
        <f t="shared" si="3"/>
        <v>146.40226666666666</v>
      </c>
    </row>
    <row r="145" spans="1:23" x14ac:dyDescent="0.25">
      <c r="A145" s="14">
        <v>47299</v>
      </c>
      <c r="I145" s="3">
        <v>156.47926955123734</v>
      </c>
      <c r="J145">
        <v>151.581874361823</v>
      </c>
      <c r="K145">
        <v>0.99979892453025199</v>
      </c>
      <c r="L145">
        <v>82.415651645429406</v>
      </c>
      <c r="M145" s="15">
        <f>+'[3]VAR expectations'!C169</f>
        <v>2.6576871518365146</v>
      </c>
      <c r="N145">
        <v>5.0718542367155998E-2</v>
      </c>
      <c r="O145">
        <v>9.1481009494210105E-2</v>
      </c>
      <c r="P145">
        <v>-0.71654303987408596</v>
      </c>
      <c r="Q145">
        <v>276.51159999999993</v>
      </c>
      <c r="R145">
        <v>58.350900000000003</v>
      </c>
      <c r="S145">
        <v>518.36659999999995</v>
      </c>
      <c r="T145">
        <v>109.60590000000001</v>
      </c>
      <c r="U145">
        <v>20.937899999999999</v>
      </c>
      <c r="V145">
        <v>16.2271</v>
      </c>
      <c r="W145">
        <f t="shared" si="3"/>
        <v>146.77090000000001</v>
      </c>
    </row>
    <row r="146" spans="1:23" x14ac:dyDescent="0.25">
      <c r="A146" s="14"/>
      <c r="M146" s="15"/>
      <c r="Q146">
        <v>276.51159999999993</v>
      </c>
      <c r="R146">
        <v>58.350900000000003</v>
      </c>
      <c r="S146">
        <v>518.36659999999995</v>
      </c>
      <c r="T146">
        <v>109.60590000000001</v>
      </c>
      <c r="U146">
        <v>20.937899999999999</v>
      </c>
      <c r="V146">
        <v>16.2271</v>
      </c>
    </row>
    <row r="147" spans="1:23" x14ac:dyDescent="0.25">
      <c r="A147" s="14"/>
      <c r="M147" s="15"/>
      <c r="Q147">
        <v>276.51159999999993</v>
      </c>
      <c r="R147">
        <v>58.350900000000003</v>
      </c>
      <c r="S147">
        <v>518.36659999999995</v>
      </c>
      <c r="T147">
        <v>109.60590000000001</v>
      </c>
      <c r="U147">
        <v>20.937899999999999</v>
      </c>
      <c r="V147">
        <v>16.2271</v>
      </c>
    </row>
    <row r="148" spans="1:23" x14ac:dyDescent="0.25">
      <c r="A148" s="14"/>
      <c r="M148" s="15"/>
    </row>
    <row r="149" spans="1:23" x14ac:dyDescent="0.25">
      <c r="A149" s="14"/>
      <c r="M149" s="15"/>
    </row>
    <row r="150" spans="1:23" x14ac:dyDescent="0.25">
      <c r="A150" s="14"/>
      <c r="M150" s="15"/>
    </row>
    <row r="151" spans="1:23" x14ac:dyDescent="0.25">
      <c r="A151" s="14"/>
      <c r="M151" s="15"/>
    </row>
    <row r="152" spans="1:23" x14ac:dyDescent="0.25">
      <c r="A152" s="14"/>
      <c r="M152" s="15"/>
    </row>
    <row r="153" spans="1:23" x14ac:dyDescent="0.25">
      <c r="A153" s="14"/>
      <c r="M153" s="15"/>
    </row>
    <row r="154" spans="1:23" x14ac:dyDescent="0.25">
      <c r="A154" s="14"/>
      <c r="M154" s="15"/>
    </row>
    <row r="155" spans="1:23" x14ac:dyDescent="0.25">
      <c r="A155" s="14"/>
      <c r="M155" s="15"/>
    </row>
    <row r="156" spans="1:23" x14ac:dyDescent="0.25">
      <c r="A156" s="14"/>
      <c r="M156" s="15"/>
    </row>
    <row r="157" spans="1:23" x14ac:dyDescent="0.25">
      <c r="A157" s="14"/>
      <c r="M157" s="15"/>
    </row>
    <row r="158" spans="1:23" x14ac:dyDescent="0.25">
      <c r="A158" s="14"/>
      <c r="M158" s="15"/>
    </row>
    <row r="159" spans="1:23" x14ac:dyDescent="0.25">
      <c r="A159" s="14"/>
      <c r="M159" s="15"/>
    </row>
    <row r="160" spans="1:23" x14ac:dyDescent="0.25">
      <c r="A160" s="14"/>
      <c r="M160" s="15"/>
    </row>
    <row r="161" spans="1:13" x14ac:dyDescent="0.25">
      <c r="A161" s="14"/>
      <c r="M161" s="15"/>
    </row>
    <row r="162" spans="1:13" x14ac:dyDescent="0.25">
      <c r="A162" s="14"/>
      <c r="M162" s="15"/>
    </row>
    <row r="163" spans="1:13" x14ac:dyDescent="0.25">
      <c r="A163" s="14"/>
      <c r="M163" s="15"/>
    </row>
    <row r="164" spans="1:13" x14ac:dyDescent="0.25">
      <c r="A164" s="14"/>
      <c r="M164" s="15"/>
    </row>
    <row r="165" spans="1:13" x14ac:dyDescent="0.25">
      <c r="A165" s="14"/>
      <c r="M165" s="15"/>
    </row>
    <row r="166" spans="1:13" x14ac:dyDescent="0.25">
      <c r="A166" s="14"/>
      <c r="M166" s="15"/>
    </row>
    <row r="167" spans="1:13" x14ac:dyDescent="0.25">
      <c r="A167" s="14"/>
      <c r="M167" s="15"/>
    </row>
    <row r="168" spans="1:13" x14ac:dyDescent="0.25">
      <c r="A168" s="14"/>
      <c r="B168" s="16"/>
      <c r="M168" s="15"/>
    </row>
    <row r="169" spans="1:13" x14ac:dyDescent="0.25">
      <c r="B169" s="16"/>
      <c r="M169" s="15"/>
    </row>
    <row r="170" spans="1:13" x14ac:dyDescent="0.25">
      <c r="B170" s="16"/>
    </row>
    <row r="171" spans="1:13" x14ac:dyDescent="0.25">
      <c r="B171" s="16"/>
    </row>
    <row r="172" spans="1:13" x14ac:dyDescent="0.25">
      <c r="B172" s="16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8ADE-8779-4923-92C5-5E94FBD13B04}">
  <dimension ref="A1"/>
  <sheetViews>
    <sheetView workbookViewId="0">
      <selection activeCell="L9" sqref="L9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D2C9-0E82-4AA9-A10A-CF973ACBED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9C88-61C9-47DA-8D1E-859F595F8F58}">
  <dimension ref="A1:AR272"/>
  <sheetViews>
    <sheetView topLeftCell="H109" zoomScale="85" zoomScaleNormal="85" workbookViewId="0">
      <selection activeCell="AE99" sqref="AE99"/>
    </sheetView>
  </sheetViews>
  <sheetFormatPr defaultRowHeight="15" x14ac:dyDescent="0.25"/>
  <cols>
    <col min="1" max="1" width="10.7109375" bestFit="1" customWidth="1"/>
  </cols>
  <sheetData>
    <row r="1" spans="1:44" x14ac:dyDescent="0.25">
      <c r="A1" s="14">
        <v>35246</v>
      </c>
      <c r="B1">
        <v>68.723480942931303</v>
      </c>
      <c r="C1">
        <v>51.436217115422501</v>
      </c>
      <c r="D1">
        <v>120.55767761245134</v>
      </c>
      <c r="E1">
        <v>59.150835037210463</v>
      </c>
      <c r="F1">
        <v>66.150622751811724</v>
      </c>
      <c r="G1">
        <v>78.703574190501072</v>
      </c>
      <c r="H1">
        <v>30.476125774121101</v>
      </c>
      <c r="I1">
        <v>43.120581147797139</v>
      </c>
      <c r="J1">
        <v>68.646172139093594</v>
      </c>
      <c r="K1">
        <v>0.697170201453299</v>
      </c>
      <c r="L1">
        <v>81.882196923076904</v>
      </c>
      <c r="M1" s="15">
        <f>+'[3]VAR expectations'!C25</f>
        <v>3.1301783998157688</v>
      </c>
      <c r="N1">
        <v>0.3</v>
      </c>
      <c r="O1">
        <v>2.51123070484027E-4</v>
      </c>
      <c r="P1">
        <v>330</v>
      </c>
      <c r="Q1">
        <v>85</v>
      </c>
      <c r="R1">
        <v>359</v>
      </c>
      <c r="S1">
        <v>156</v>
      </c>
      <c r="T1">
        <v>35</v>
      </c>
      <c r="U1">
        <v>35</v>
      </c>
      <c r="V1">
        <f>+S1+T1+U1</f>
        <v>226</v>
      </c>
      <c r="X1">
        <f>B1-B139</f>
        <v>0.38723116129186508</v>
      </c>
      <c r="Y1">
        <f t="shared" ref="Y1:AR10" si="0">C1-C139</f>
        <v>0.46823753290433956</v>
      </c>
      <c r="Z1">
        <f t="shared" si="0"/>
        <v>0.34522195058933391</v>
      </c>
      <c r="AA1">
        <f t="shared" si="0"/>
        <v>0.59712794812509173</v>
      </c>
      <c r="AB1">
        <f t="shared" si="0"/>
        <v>0.57086475068858533</v>
      </c>
      <c r="AC1">
        <f t="shared" si="0"/>
        <v>0.86971155917677834</v>
      </c>
      <c r="AD1">
        <f t="shared" si="0"/>
        <v>0.42156456676403309</v>
      </c>
      <c r="AE1">
        <f t="shared" si="0"/>
        <v>-0.49047742962886076</v>
      </c>
      <c r="AF1">
        <f t="shared" si="0"/>
        <v>0.37138626962298815</v>
      </c>
      <c r="AG1">
        <f t="shared" si="0"/>
        <v>4.0742655225700641E-4</v>
      </c>
      <c r="AH1">
        <f t="shared" si="0"/>
        <v>0.98601538461539917</v>
      </c>
      <c r="AI1">
        <f t="shared" si="0"/>
        <v>0.31506097070246142</v>
      </c>
      <c r="AJ1">
        <f t="shared" si="0"/>
        <v>0</v>
      </c>
      <c r="AK1">
        <f t="shared" si="0"/>
        <v>-0.11805869513773397</v>
      </c>
      <c r="AL1">
        <f t="shared" si="0"/>
        <v>0</v>
      </c>
      <c r="AM1">
        <f t="shared" si="0"/>
        <v>0</v>
      </c>
      <c r="AN1">
        <f t="shared" si="0"/>
        <v>0</v>
      </c>
      <c r="AO1">
        <f t="shared" si="0"/>
        <v>0</v>
      </c>
      <c r="AP1">
        <f t="shared" si="0"/>
        <v>0</v>
      </c>
      <c r="AQ1">
        <f t="shared" si="0"/>
        <v>0</v>
      </c>
      <c r="AR1">
        <f t="shared" si="0"/>
        <v>0</v>
      </c>
    </row>
    <row r="2" spans="1:44" x14ac:dyDescent="0.25">
      <c r="A2" s="14">
        <v>35338</v>
      </c>
      <c r="B2">
        <v>68.949456546139999</v>
      </c>
      <c r="C2">
        <v>51.916931408985363</v>
      </c>
      <c r="D2">
        <v>120.616001958364</v>
      </c>
      <c r="E2">
        <v>59.12231197052197</v>
      </c>
      <c r="F2">
        <v>65.892031840330773</v>
      </c>
      <c r="G2">
        <v>78.989247520031967</v>
      </c>
      <c r="H2">
        <v>30.929830737469164</v>
      </c>
      <c r="I2">
        <v>43.346266616041838</v>
      </c>
      <c r="J2">
        <v>68.991322144235795</v>
      </c>
      <c r="K2">
        <v>0.68186344897864604</v>
      </c>
      <c r="L2">
        <v>82.869486363636398</v>
      </c>
      <c r="M2" s="15">
        <f>+'[3]VAR expectations'!C26</f>
        <v>3.0051764513932908</v>
      </c>
      <c r="N2">
        <v>0.3</v>
      </c>
      <c r="O2">
        <v>7.0742212235927596E-2</v>
      </c>
      <c r="P2">
        <v>330</v>
      </c>
      <c r="Q2">
        <v>85</v>
      </c>
      <c r="R2">
        <v>359</v>
      </c>
      <c r="S2">
        <v>156</v>
      </c>
      <c r="T2">
        <v>35</v>
      </c>
      <c r="U2">
        <v>35</v>
      </c>
      <c r="V2">
        <f t="shared" ref="V2:V65" si="1">+S2+T2+U2</f>
        <v>226</v>
      </c>
      <c r="X2">
        <f t="shared" ref="X2:X65" si="2">B2-B140</f>
        <v>0.22597560320869547</v>
      </c>
      <c r="Y2">
        <f t="shared" si="0"/>
        <v>0.48071429356286188</v>
      </c>
      <c r="Z2">
        <f t="shared" si="0"/>
        <v>5.832434591265212E-2</v>
      </c>
      <c r="AA2">
        <f t="shared" si="0"/>
        <v>-2.8523066688492804E-2</v>
      </c>
      <c r="AB2">
        <f t="shared" si="0"/>
        <v>-0.25859091148095104</v>
      </c>
      <c r="AC2">
        <f t="shared" si="0"/>
        <v>0.28567332953089419</v>
      </c>
      <c r="AD2">
        <f t="shared" si="0"/>
        <v>0.45370496334806276</v>
      </c>
      <c r="AE2">
        <f t="shared" si="0"/>
        <v>0.22568546824469848</v>
      </c>
      <c r="AF2">
        <f t="shared" si="0"/>
        <v>0.34515000514220162</v>
      </c>
      <c r="AG2">
        <f t="shared" si="0"/>
        <v>-1.5306752474652963E-2</v>
      </c>
      <c r="AH2">
        <f t="shared" si="0"/>
        <v>0.98728944055949341</v>
      </c>
      <c r="AI2">
        <f t="shared" si="0"/>
        <v>0.38968795656683097</v>
      </c>
      <c r="AJ2">
        <f t="shared" si="0"/>
        <v>0</v>
      </c>
      <c r="AK2">
        <f t="shared" si="0"/>
        <v>7.0491089165443568E-2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</row>
    <row r="3" spans="1:44" x14ac:dyDescent="0.25">
      <c r="A3" s="14">
        <v>35430</v>
      </c>
      <c r="B3">
        <v>69.259947297382666</v>
      </c>
      <c r="C3">
        <v>52.311071312771965</v>
      </c>
      <c r="D3">
        <v>120.63002394083701</v>
      </c>
      <c r="E3">
        <v>58.834792121222769</v>
      </c>
      <c r="F3">
        <v>65.084105610473628</v>
      </c>
      <c r="G3">
        <v>79.125642753287138</v>
      </c>
      <c r="H3">
        <v>31.483583173415866</v>
      </c>
      <c r="I3">
        <v>44.7267749910337</v>
      </c>
      <c r="J3">
        <v>69.3818999527915</v>
      </c>
      <c r="K3">
        <v>0.67273735054240202</v>
      </c>
      <c r="L3">
        <v>88.333556060606099</v>
      </c>
      <c r="M3" s="15">
        <f>+'[3]VAR expectations'!C27</f>
        <v>2.8702283679431879</v>
      </c>
      <c r="N3">
        <v>0.3</v>
      </c>
      <c r="O3">
        <v>0.23646385967731501</v>
      </c>
      <c r="P3">
        <v>330</v>
      </c>
      <c r="Q3">
        <v>85</v>
      </c>
      <c r="R3">
        <v>359</v>
      </c>
      <c r="S3">
        <v>156</v>
      </c>
      <c r="T3">
        <v>35</v>
      </c>
      <c r="U3">
        <v>35</v>
      </c>
      <c r="V3">
        <f t="shared" si="1"/>
        <v>226</v>
      </c>
      <c r="X3">
        <f t="shared" si="2"/>
        <v>0.31049075124266778</v>
      </c>
      <c r="Y3">
        <f t="shared" si="0"/>
        <v>0.39413990378660202</v>
      </c>
      <c r="Z3">
        <f t="shared" si="0"/>
        <v>1.4021982473011008E-2</v>
      </c>
      <c r="AA3">
        <f t="shared" si="0"/>
        <v>-0.28751984929920127</v>
      </c>
      <c r="AB3">
        <f t="shared" si="0"/>
        <v>-0.80792622985714502</v>
      </c>
      <c r="AC3">
        <f t="shared" si="0"/>
        <v>0.13639523325517189</v>
      </c>
      <c r="AD3">
        <f t="shared" si="0"/>
        <v>0.55375243594670209</v>
      </c>
      <c r="AE3">
        <f t="shared" si="0"/>
        <v>1.3805083749918623</v>
      </c>
      <c r="AF3">
        <f t="shared" si="0"/>
        <v>0.39057780855570456</v>
      </c>
      <c r="AG3">
        <f t="shared" si="0"/>
        <v>-9.1260984362440123E-3</v>
      </c>
      <c r="AH3">
        <f t="shared" si="0"/>
        <v>5.4640696969697018</v>
      </c>
      <c r="AI3">
        <f t="shared" si="0"/>
        <v>0.22737211934362334</v>
      </c>
      <c r="AJ3">
        <f t="shared" si="0"/>
        <v>0</v>
      </c>
      <c r="AK3">
        <f t="shared" si="0"/>
        <v>0.1657216474413874</v>
      </c>
      <c r="AL3">
        <f t="shared" si="0"/>
        <v>0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</row>
    <row r="4" spans="1:44" x14ac:dyDescent="0.25">
      <c r="A4" s="14">
        <v>35520</v>
      </c>
      <c r="B4">
        <v>69.656172144574199</v>
      </c>
      <c r="C4">
        <v>52.833527081934562</v>
      </c>
      <c r="D4">
        <v>120.51831953602668</v>
      </c>
      <c r="E4">
        <v>59.076250344490298</v>
      </c>
      <c r="F4">
        <v>65.240899062162541</v>
      </c>
      <c r="G4">
        <v>78.957703138344769</v>
      </c>
      <c r="H4">
        <v>32.032941374691468</v>
      </c>
      <c r="I4">
        <v>45.328295668909</v>
      </c>
      <c r="J4">
        <v>69.587124046145405</v>
      </c>
      <c r="K4">
        <v>0.64938685118057304</v>
      </c>
      <c r="L4">
        <v>92.820320312500002</v>
      </c>
      <c r="M4" s="15">
        <f>+'[3]VAR expectations'!C28</f>
        <v>2.9134956808346839</v>
      </c>
      <c r="N4">
        <v>0.32542978632096897</v>
      </c>
      <c r="O4">
        <v>2.3357266560196901E-2</v>
      </c>
      <c r="P4">
        <v>330</v>
      </c>
      <c r="Q4">
        <v>87</v>
      </c>
      <c r="R4">
        <v>360</v>
      </c>
      <c r="S4">
        <v>152</v>
      </c>
      <c r="T4">
        <v>35</v>
      </c>
      <c r="U4">
        <v>36</v>
      </c>
      <c r="V4">
        <f t="shared" si="1"/>
        <v>223</v>
      </c>
      <c r="X4">
        <f t="shared" si="2"/>
        <v>0.39622484719153306</v>
      </c>
      <c r="Y4">
        <f t="shared" si="0"/>
        <v>0.52245576916259751</v>
      </c>
      <c r="Z4">
        <f t="shared" si="0"/>
        <v>-0.11170440481032529</v>
      </c>
      <c r="AA4">
        <f t="shared" si="0"/>
        <v>0.24145822326752864</v>
      </c>
      <c r="AB4">
        <f t="shared" si="0"/>
        <v>0.15679345168891246</v>
      </c>
      <c r="AC4">
        <f t="shared" si="0"/>
        <v>-0.16793961494236953</v>
      </c>
      <c r="AD4">
        <f t="shared" si="0"/>
        <v>0.5493582012756022</v>
      </c>
      <c r="AE4">
        <f t="shared" si="0"/>
        <v>0.60152067787529973</v>
      </c>
      <c r="AF4">
        <f t="shared" si="0"/>
        <v>0.20522409335390535</v>
      </c>
      <c r="AG4">
        <f t="shared" si="0"/>
        <v>-2.335049936182898E-2</v>
      </c>
      <c r="AH4">
        <f t="shared" si="0"/>
        <v>4.4867642518939022</v>
      </c>
      <c r="AI4">
        <f t="shared" si="0"/>
        <v>8.4202760146990574E-2</v>
      </c>
      <c r="AJ4">
        <f t="shared" si="0"/>
        <v>2.5429786320968983E-2</v>
      </c>
      <c r="AK4">
        <f t="shared" si="0"/>
        <v>-0.2131065931171181</v>
      </c>
      <c r="AL4">
        <f t="shared" si="0"/>
        <v>0</v>
      </c>
      <c r="AM4">
        <f t="shared" si="0"/>
        <v>2</v>
      </c>
      <c r="AN4">
        <f t="shared" si="0"/>
        <v>1</v>
      </c>
      <c r="AO4">
        <f t="shared" si="0"/>
        <v>-4</v>
      </c>
      <c r="AP4">
        <f t="shared" si="0"/>
        <v>0</v>
      </c>
      <c r="AQ4">
        <f t="shared" si="0"/>
        <v>1</v>
      </c>
      <c r="AR4">
        <f t="shared" si="0"/>
        <v>-3</v>
      </c>
    </row>
    <row r="5" spans="1:44" x14ac:dyDescent="0.25">
      <c r="A5" s="14">
        <v>35611</v>
      </c>
      <c r="B5">
        <v>69.818827320614488</v>
      </c>
      <c r="C5">
        <v>53.331404584016006</v>
      </c>
      <c r="D5">
        <v>120.310188362095</v>
      </c>
      <c r="E5">
        <v>59.375031266633805</v>
      </c>
      <c r="F5">
        <v>65.408499895120499</v>
      </c>
      <c r="G5">
        <v>79.267965073223266</v>
      </c>
      <c r="H5">
        <v>32.549626728659469</v>
      </c>
      <c r="I5">
        <v>44.445946493019299</v>
      </c>
      <c r="J5">
        <v>69.77956219056</v>
      </c>
      <c r="K5">
        <v>0.63898761329940501</v>
      </c>
      <c r="L5">
        <v>95.131486153846197</v>
      </c>
      <c r="M5" s="15">
        <f>+'[3]VAR expectations'!C29</f>
        <v>2.9508797810805625</v>
      </c>
      <c r="N5">
        <v>0.25613509932256301</v>
      </c>
      <c r="O5">
        <v>-6.6622115671634702E-2</v>
      </c>
      <c r="P5">
        <v>330</v>
      </c>
      <c r="Q5">
        <v>87</v>
      </c>
      <c r="R5">
        <v>360</v>
      </c>
      <c r="S5">
        <v>152</v>
      </c>
      <c r="T5">
        <v>35</v>
      </c>
      <c r="U5">
        <v>36</v>
      </c>
      <c r="V5">
        <f t="shared" si="1"/>
        <v>223</v>
      </c>
      <c r="X5">
        <f t="shared" si="2"/>
        <v>0.16265517604028901</v>
      </c>
      <c r="Y5">
        <f t="shared" si="0"/>
        <v>0.49787750208144388</v>
      </c>
      <c r="Z5">
        <f t="shared" si="0"/>
        <v>-0.20813117393167602</v>
      </c>
      <c r="AA5">
        <f t="shared" si="0"/>
        <v>0.29878092214350715</v>
      </c>
      <c r="AB5">
        <f t="shared" si="0"/>
        <v>0.1676008329579588</v>
      </c>
      <c r="AC5">
        <f t="shared" si="0"/>
        <v>0.31026193487849696</v>
      </c>
      <c r="AD5">
        <f t="shared" si="0"/>
        <v>0.51668535396800053</v>
      </c>
      <c r="AE5">
        <f t="shared" si="0"/>
        <v>-0.88234917588970063</v>
      </c>
      <c r="AF5">
        <f t="shared" si="0"/>
        <v>0.19243814441459506</v>
      </c>
      <c r="AG5">
        <f t="shared" si="0"/>
        <v>-1.0399237881168033E-2</v>
      </c>
      <c r="AH5">
        <f t="shared" si="0"/>
        <v>2.3111658413461953</v>
      </c>
      <c r="AI5">
        <f t="shared" si="0"/>
        <v>0.1680700702561615</v>
      </c>
      <c r="AJ5">
        <f t="shared" si="0"/>
        <v>-6.9294686998405963E-2</v>
      </c>
      <c r="AK5">
        <f t="shared" si="0"/>
        <v>-8.9979382231831606E-2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</row>
    <row r="6" spans="1:44" x14ac:dyDescent="0.25">
      <c r="A6" s="14">
        <v>35703</v>
      </c>
      <c r="B6">
        <v>70.281779806161396</v>
      </c>
      <c r="C6">
        <v>53.831610222106065</v>
      </c>
      <c r="D6">
        <v>120.33884823031001</v>
      </c>
      <c r="E6">
        <v>59.894854455189403</v>
      </c>
      <c r="F6">
        <v>65.91284178230616</v>
      </c>
      <c r="G6">
        <v>79.394793740428895</v>
      </c>
      <c r="H6">
        <v>33.304621200313029</v>
      </c>
      <c r="I6">
        <v>45.375545582595635</v>
      </c>
      <c r="J6">
        <v>70.337384241348005</v>
      </c>
      <c r="K6">
        <v>0.63319365618204004</v>
      </c>
      <c r="L6">
        <v>97.471460606060603</v>
      </c>
      <c r="M6" s="15">
        <f>+'[3]VAR expectations'!C30</f>
        <v>2.8381939548016515</v>
      </c>
      <c r="N6">
        <v>0.39400900071781603</v>
      </c>
      <c r="O6">
        <v>0.20520694553852101</v>
      </c>
      <c r="P6">
        <v>330</v>
      </c>
      <c r="Q6">
        <v>87</v>
      </c>
      <c r="R6">
        <v>360</v>
      </c>
      <c r="S6">
        <v>152</v>
      </c>
      <c r="T6">
        <v>35</v>
      </c>
      <c r="U6">
        <v>36</v>
      </c>
      <c r="V6">
        <f t="shared" si="1"/>
        <v>223</v>
      </c>
      <c r="X6">
        <f t="shared" si="2"/>
        <v>0.46295248554690716</v>
      </c>
      <c r="Y6">
        <f t="shared" si="0"/>
        <v>0.50020563809005836</v>
      </c>
      <c r="Z6">
        <f t="shared" si="0"/>
        <v>2.8659868215001438E-2</v>
      </c>
      <c r="AA6">
        <f t="shared" si="0"/>
        <v>0.51982318855559839</v>
      </c>
      <c r="AB6">
        <f t="shared" si="0"/>
        <v>0.5043418871856602</v>
      </c>
      <c r="AC6">
        <f t="shared" si="0"/>
        <v>0.12682866720562913</v>
      </c>
      <c r="AD6">
        <f t="shared" si="0"/>
        <v>0.75499447165356059</v>
      </c>
      <c r="AE6">
        <f t="shared" si="0"/>
        <v>0.9295990895763353</v>
      </c>
      <c r="AF6">
        <f t="shared" si="0"/>
        <v>0.55782205078800473</v>
      </c>
      <c r="AG6">
        <f t="shared" si="0"/>
        <v>-5.7939571173649673E-3</v>
      </c>
      <c r="AH6">
        <f t="shared" si="0"/>
        <v>2.3399744522144061</v>
      </c>
      <c r="AI6">
        <f t="shared" si="0"/>
        <v>-6.6817593229970829E-2</v>
      </c>
      <c r="AJ6">
        <f t="shared" si="0"/>
        <v>0.13787390139525302</v>
      </c>
      <c r="AK6">
        <f t="shared" si="0"/>
        <v>0.27182906121015571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</row>
    <row r="7" spans="1:44" x14ac:dyDescent="0.25">
      <c r="A7" s="14">
        <v>35795</v>
      </c>
      <c r="B7">
        <v>70.534190606333013</v>
      </c>
      <c r="C7">
        <v>54.3557598582004</v>
      </c>
      <c r="D7">
        <v>120.137475565896</v>
      </c>
      <c r="E7">
        <v>60.113280542367164</v>
      </c>
      <c r="F7">
        <v>65.8557702922663</v>
      </c>
      <c r="G7">
        <v>79.329518514698592</v>
      </c>
      <c r="H7">
        <v>34.107615541725302</v>
      </c>
      <c r="I7">
        <v>45.165943591837305</v>
      </c>
      <c r="J7">
        <v>70.608567754153796</v>
      </c>
      <c r="K7">
        <v>0.63128999906948902</v>
      </c>
      <c r="L7">
        <v>98.626171212121207</v>
      </c>
      <c r="M7" s="15">
        <f>+'[3]VAR expectations'!C31</f>
        <v>2.8297561485681602</v>
      </c>
      <c r="N7">
        <v>8.2296484534251493E-2</v>
      </c>
      <c r="O7">
        <v>-7.6698243618011502E-2</v>
      </c>
      <c r="P7">
        <v>330</v>
      </c>
      <c r="Q7">
        <v>87</v>
      </c>
      <c r="R7">
        <v>360</v>
      </c>
      <c r="S7">
        <v>152</v>
      </c>
      <c r="T7">
        <v>35</v>
      </c>
      <c r="U7">
        <v>36</v>
      </c>
      <c r="V7">
        <f t="shared" si="1"/>
        <v>223</v>
      </c>
      <c r="X7">
        <f t="shared" si="2"/>
        <v>0.25241080017161721</v>
      </c>
      <c r="Y7">
        <f t="shared" si="0"/>
        <v>0.52414963609433585</v>
      </c>
      <c r="Z7">
        <f t="shared" si="0"/>
        <v>-0.20137266441400925</v>
      </c>
      <c r="AA7">
        <f t="shared" si="0"/>
        <v>0.21842608717776102</v>
      </c>
      <c r="AB7">
        <f t="shared" si="0"/>
        <v>-5.7071490039859896E-2</v>
      </c>
      <c r="AC7">
        <f t="shared" si="0"/>
        <v>-6.5275225730303532E-2</v>
      </c>
      <c r="AD7">
        <f t="shared" si="0"/>
        <v>0.80299434141227266</v>
      </c>
      <c r="AE7">
        <f t="shared" si="0"/>
        <v>-0.20960199075832975</v>
      </c>
      <c r="AF7">
        <f t="shared" si="0"/>
        <v>0.27118351280579134</v>
      </c>
      <c r="AG7">
        <f t="shared" si="0"/>
        <v>-1.9036571125510271E-3</v>
      </c>
      <c r="AH7">
        <f t="shared" si="0"/>
        <v>1.1547106060606041</v>
      </c>
      <c r="AI7">
        <f t="shared" si="0"/>
        <v>-0.35002656118558972</v>
      </c>
      <c r="AJ7">
        <f t="shared" si="0"/>
        <v>-0.31171251618356455</v>
      </c>
      <c r="AK7">
        <f t="shared" si="0"/>
        <v>-0.28190518915653251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</row>
    <row r="8" spans="1:44" x14ac:dyDescent="0.25">
      <c r="A8" s="14">
        <v>35885</v>
      </c>
      <c r="B8">
        <v>70.7608317169408</v>
      </c>
      <c r="C8">
        <v>54.867317852625661</v>
      </c>
      <c r="D8">
        <v>119.84603007593834</v>
      </c>
      <c r="E8">
        <v>60.324796116075639</v>
      </c>
      <c r="F8">
        <v>65.556439010962166</v>
      </c>
      <c r="G8">
        <v>80.314829273702273</v>
      </c>
      <c r="H8">
        <v>35.043737560232664</v>
      </c>
      <c r="I8">
        <v>45.066788167537368</v>
      </c>
      <c r="J8">
        <v>70.691929419489099</v>
      </c>
      <c r="K8">
        <v>0.62538235592018598</v>
      </c>
      <c r="L8">
        <v>100.6106328125</v>
      </c>
      <c r="M8" s="15">
        <f>+'[3]VAR expectations'!C32</f>
        <v>2.9321854674737633</v>
      </c>
      <c r="N8">
        <v>-5.7532854062382399E-2</v>
      </c>
      <c r="O8">
        <v>-0.11486139148473699</v>
      </c>
      <c r="P8">
        <v>344</v>
      </c>
      <c r="Q8">
        <v>86</v>
      </c>
      <c r="R8">
        <v>358</v>
      </c>
      <c r="S8">
        <v>144</v>
      </c>
      <c r="T8">
        <v>32</v>
      </c>
      <c r="U8">
        <v>36</v>
      </c>
      <c r="V8">
        <f t="shared" si="1"/>
        <v>212</v>
      </c>
      <c r="X8">
        <f t="shared" si="2"/>
        <v>0.2266411106077868</v>
      </c>
      <c r="Y8">
        <f t="shared" si="0"/>
        <v>0.51155799442526018</v>
      </c>
      <c r="Z8">
        <f t="shared" si="0"/>
        <v>-0.29144548995765263</v>
      </c>
      <c r="AA8">
        <f t="shared" si="0"/>
        <v>0.21151557370847485</v>
      </c>
      <c r="AB8">
        <f t="shared" si="0"/>
        <v>-0.29933128130413422</v>
      </c>
      <c r="AC8">
        <f t="shared" si="0"/>
        <v>0.98531075900368137</v>
      </c>
      <c r="AD8">
        <f t="shared" si="0"/>
        <v>0.93612201850736199</v>
      </c>
      <c r="AE8">
        <f t="shared" si="0"/>
        <v>-9.9155424299937067E-2</v>
      </c>
      <c r="AF8">
        <f t="shared" si="0"/>
        <v>8.3361665335303314E-2</v>
      </c>
      <c r="AG8">
        <f t="shared" si="0"/>
        <v>-5.9076431493030324E-3</v>
      </c>
      <c r="AH8">
        <f t="shared" si="0"/>
        <v>1.9844616003787934</v>
      </c>
      <c r="AI8">
        <f t="shared" si="0"/>
        <v>-0.51225361655151191</v>
      </c>
      <c r="AJ8">
        <f t="shared" si="0"/>
        <v>-0.13982933859663388</v>
      </c>
      <c r="AK8">
        <f t="shared" si="0"/>
        <v>-3.8163147866725491E-2</v>
      </c>
      <c r="AL8">
        <f t="shared" si="0"/>
        <v>14</v>
      </c>
      <c r="AM8">
        <f t="shared" si="0"/>
        <v>-1</v>
      </c>
      <c r="AN8">
        <f t="shared" si="0"/>
        <v>-2</v>
      </c>
      <c r="AO8">
        <f t="shared" si="0"/>
        <v>-8</v>
      </c>
      <c r="AP8">
        <f t="shared" si="0"/>
        <v>-3</v>
      </c>
      <c r="AQ8">
        <f t="shared" si="0"/>
        <v>0</v>
      </c>
      <c r="AR8">
        <f t="shared" si="0"/>
        <v>-11</v>
      </c>
    </row>
    <row r="9" spans="1:44" x14ac:dyDescent="0.25">
      <c r="A9" s="14">
        <v>35976</v>
      </c>
      <c r="B9">
        <v>71.100692129748865</v>
      </c>
      <c r="C9">
        <v>55.376840634027332</v>
      </c>
      <c r="D9">
        <v>119.471764844226</v>
      </c>
      <c r="E9">
        <v>60.759837540213304</v>
      </c>
      <c r="F9">
        <v>65.968165559058164</v>
      </c>
      <c r="G9">
        <v>80.69741780577624</v>
      </c>
      <c r="H9">
        <v>35.534825019560401</v>
      </c>
      <c r="I9">
        <v>45.512400795735267</v>
      </c>
      <c r="J9">
        <v>71.092690716499405</v>
      </c>
      <c r="K9">
        <v>0.61574060369241101</v>
      </c>
      <c r="L9">
        <v>100.512433846154</v>
      </c>
      <c r="M9" s="15">
        <f>+'[3]VAR expectations'!C33</f>
        <v>2.851780044136321</v>
      </c>
      <c r="N9">
        <v>0.21318487209665199</v>
      </c>
      <c r="O9">
        <v>0.20608988404274001</v>
      </c>
      <c r="P9">
        <v>344</v>
      </c>
      <c r="Q9">
        <v>86</v>
      </c>
      <c r="R9">
        <v>358</v>
      </c>
      <c r="S9">
        <v>144</v>
      </c>
      <c r="T9">
        <v>32</v>
      </c>
      <c r="U9">
        <v>36</v>
      </c>
      <c r="V9">
        <f t="shared" si="1"/>
        <v>212</v>
      </c>
      <c r="X9">
        <f t="shared" si="2"/>
        <v>0.33986041280806489</v>
      </c>
      <c r="Y9">
        <f t="shared" si="0"/>
        <v>0.50952278140167095</v>
      </c>
      <c r="Z9">
        <f t="shared" si="0"/>
        <v>-0.37426523171234294</v>
      </c>
      <c r="AA9">
        <f t="shared" si="0"/>
        <v>0.43504142413766544</v>
      </c>
      <c r="AB9">
        <f t="shared" si="0"/>
        <v>0.41172654809599862</v>
      </c>
      <c r="AC9">
        <f t="shared" si="0"/>
        <v>0.38258853207396726</v>
      </c>
      <c r="AD9">
        <f t="shared" si="0"/>
        <v>0.49108745932773701</v>
      </c>
      <c r="AE9">
        <f t="shared" si="0"/>
        <v>0.4456126281978996</v>
      </c>
      <c r="AF9">
        <f t="shared" si="0"/>
        <v>0.40076129701030538</v>
      </c>
      <c r="AG9">
        <f t="shared" si="0"/>
        <v>-9.641752227774969E-3</v>
      </c>
      <c r="AH9">
        <f t="shared" si="0"/>
        <v>-9.8198966346004113E-2</v>
      </c>
      <c r="AI9">
        <f t="shared" si="0"/>
        <v>-0.38533391934339134</v>
      </c>
      <c r="AJ9">
        <f t="shared" si="0"/>
        <v>0.27071772615903439</v>
      </c>
      <c r="AK9">
        <f t="shared" si="0"/>
        <v>0.32095127552747699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</row>
    <row r="10" spans="1:44" x14ac:dyDescent="0.25">
      <c r="A10" s="14">
        <v>36068</v>
      </c>
      <c r="B10">
        <v>71.255609421750464</v>
      </c>
      <c r="C10">
        <v>55.834494062716864</v>
      </c>
      <c r="D10">
        <v>118.95366575846867</v>
      </c>
      <c r="E10">
        <v>61.32656451816981</v>
      </c>
      <c r="F10">
        <v>66.599884378909437</v>
      </c>
      <c r="G10">
        <v>81.111237273143601</v>
      </c>
      <c r="H10">
        <v>36.009377724459029</v>
      </c>
      <c r="I10">
        <v>45.240117527977468</v>
      </c>
      <c r="J10">
        <v>71.320297912354405</v>
      </c>
      <c r="K10">
        <v>0.61194660690414404</v>
      </c>
      <c r="L10">
        <v>100.14717121212099</v>
      </c>
      <c r="M10" s="15">
        <f>+'[3]VAR expectations'!C34</f>
        <v>2.6821380894467257</v>
      </c>
      <c r="N10">
        <v>-2.0958848262692498E-2</v>
      </c>
      <c r="O10">
        <v>-2.9661141335964199E-2</v>
      </c>
      <c r="P10">
        <v>344</v>
      </c>
      <c r="Q10">
        <v>86</v>
      </c>
      <c r="R10">
        <v>358</v>
      </c>
      <c r="S10">
        <v>144</v>
      </c>
      <c r="T10">
        <v>32</v>
      </c>
      <c r="U10">
        <v>36</v>
      </c>
      <c r="V10">
        <f t="shared" si="1"/>
        <v>212</v>
      </c>
      <c r="X10">
        <f t="shared" si="2"/>
        <v>0.15491729200159909</v>
      </c>
      <c r="Y10">
        <f t="shared" si="0"/>
        <v>0.4576534286895324</v>
      </c>
      <c r="Z10">
        <f t="shared" si="0"/>
        <v>-0.51809908575732777</v>
      </c>
      <c r="AA10">
        <f t="shared" si="0"/>
        <v>0.56672697795650606</v>
      </c>
      <c r="AB10">
        <f t="shared" ref="AB10:AB73" si="3">F10-F148</f>
        <v>0.63171881985127243</v>
      </c>
      <c r="AC10">
        <f t="shared" ref="AC10:AC73" si="4">G10-G148</f>
        <v>0.41381946736736097</v>
      </c>
      <c r="AD10">
        <f t="shared" ref="AD10:AD73" si="5">H10-H148</f>
        <v>0.47455270489862755</v>
      </c>
      <c r="AE10">
        <f t="shared" ref="AE10:AE73" si="6">I10-I148</f>
        <v>-0.27228326775779976</v>
      </c>
      <c r="AF10">
        <f t="shared" ref="AF10:AF73" si="7">J10-J148</f>
        <v>0.22760719585500055</v>
      </c>
      <c r="AG10">
        <f t="shared" ref="AG10:AG73" si="8">K10-K148</f>
        <v>-3.7939967882669734E-3</v>
      </c>
      <c r="AH10">
        <f t="shared" ref="AH10:AH73" si="9">L10-L148</f>
        <v>-0.36526263403300163</v>
      </c>
      <c r="AI10">
        <f t="shared" ref="AI10:AI73" si="10">M10-M148</f>
        <v>-0.66826357700541772</v>
      </c>
      <c r="AJ10">
        <f t="shared" ref="AJ10:AJ73" si="11">N10-N148</f>
        <v>-0.2341437203593445</v>
      </c>
      <c r="AK10">
        <f t="shared" ref="AK10:AK73" si="12">O10-O148</f>
        <v>-0.23575102537870421</v>
      </c>
      <c r="AL10">
        <f t="shared" ref="AL10:AL73" si="13">P10-P148</f>
        <v>0</v>
      </c>
      <c r="AM10">
        <f t="shared" ref="AM10:AM73" si="14">Q10-Q148</f>
        <v>0</v>
      </c>
      <c r="AN10">
        <f t="shared" ref="AN10:AN73" si="15">R10-R148</f>
        <v>0</v>
      </c>
      <c r="AO10">
        <f t="shared" ref="AO10:AO73" si="16">S10-S148</f>
        <v>0</v>
      </c>
      <c r="AP10">
        <f t="shared" ref="AP10:AP73" si="17">T10-T148</f>
        <v>0</v>
      </c>
      <c r="AQ10">
        <f t="shared" ref="AQ10:AQ73" si="18">U10-U148</f>
        <v>0</v>
      </c>
      <c r="AR10">
        <f t="shared" ref="AR10:AR73" si="19">V10-V148</f>
        <v>0</v>
      </c>
    </row>
    <row r="11" spans="1:44" x14ac:dyDescent="0.25">
      <c r="A11" s="14">
        <v>36160</v>
      </c>
      <c r="B11">
        <v>71.539883561847134</v>
      </c>
      <c r="C11">
        <v>56.342645165224134</v>
      </c>
      <c r="D11">
        <v>118.50979090512165</v>
      </c>
      <c r="E11">
        <v>61.798219499311834</v>
      </c>
      <c r="F11">
        <v>66.931585635713873</v>
      </c>
      <c r="G11">
        <v>81.345598400718799</v>
      </c>
      <c r="H11">
        <v>36.768433546815068</v>
      </c>
      <c r="I11">
        <v>45.182611283650935</v>
      </c>
      <c r="J11">
        <v>71.576719889480401</v>
      </c>
      <c r="K11">
        <v>0.615800780480114</v>
      </c>
      <c r="L11">
        <v>97.166321212121204</v>
      </c>
      <c r="M11" s="15">
        <f>+'[3]VAR expectations'!C35</f>
        <v>3.0527221681668375</v>
      </c>
      <c r="N11">
        <v>-3.8943111691064898E-3</v>
      </c>
      <c r="O11">
        <v>-5.8732811361551299E-2</v>
      </c>
      <c r="P11">
        <v>344</v>
      </c>
      <c r="Q11">
        <v>86</v>
      </c>
      <c r="R11">
        <v>358</v>
      </c>
      <c r="S11">
        <v>144</v>
      </c>
      <c r="T11">
        <v>32</v>
      </c>
      <c r="U11">
        <v>36</v>
      </c>
      <c r="V11">
        <f t="shared" si="1"/>
        <v>212</v>
      </c>
      <c r="X11">
        <f t="shared" si="2"/>
        <v>0.28427414009667018</v>
      </c>
      <c r="Y11">
        <f t="shared" ref="Y11:Y74" si="20">C11-C149</f>
        <v>0.50815110250727002</v>
      </c>
      <c r="Z11">
        <f t="shared" ref="Z11:Z74" si="21">D11-D149</f>
        <v>-0.44387485334702603</v>
      </c>
      <c r="AA11">
        <f t="shared" ref="AA11:AA74" si="22">E11-E149</f>
        <v>0.47165498114202364</v>
      </c>
      <c r="AB11">
        <f t="shared" si="3"/>
        <v>0.33170125680443618</v>
      </c>
      <c r="AC11">
        <f t="shared" si="4"/>
        <v>0.23436112757519822</v>
      </c>
      <c r="AD11">
        <f t="shared" si="5"/>
        <v>0.7590558223560393</v>
      </c>
      <c r="AE11">
        <f t="shared" si="6"/>
        <v>-5.7506244326532396E-2</v>
      </c>
      <c r="AF11">
        <f t="shared" si="7"/>
        <v>0.25642197712599568</v>
      </c>
      <c r="AG11">
        <f t="shared" si="8"/>
        <v>3.8541735759699547E-3</v>
      </c>
      <c r="AH11">
        <f t="shared" si="9"/>
        <v>-2.9808499999997906</v>
      </c>
      <c r="AI11">
        <f t="shared" si="10"/>
        <v>-0.38278712423145267</v>
      </c>
      <c r="AJ11">
        <f t="shared" si="11"/>
        <v>1.7064537093586008E-2</v>
      </c>
      <c r="AK11">
        <f t="shared" si="12"/>
        <v>-2.9071670025587099E-2</v>
      </c>
      <c r="AL11">
        <f t="shared" si="13"/>
        <v>0</v>
      </c>
      <c r="AM11">
        <f t="shared" si="14"/>
        <v>0</v>
      </c>
      <c r="AN11">
        <f t="shared" si="15"/>
        <v>0</v>
      </c>
      <c r="AO11">
        <f t="shared" si="16"/>
        <v>0</v>
      </c>
      <c r="AP11">
        <f t="shared" si="17"/>
        <v>0</v>
      </c>
      <c r="AQ11">
        <f t="shared" si="18"/>
        <v>0</v>
      </c>
      <c r="AR11">
        <f t="shared" si="19"/>
        <v>0</v>
      </c>
    </row>
    <row r="12" spans="1:44" x14ac:dyDescent="0.25">
      <c r="A12" s="14">
        <v>36250</v>
      </c>
      <c r="B12">
        <v>71.869448362919044</v>
      </c>
      <c r="C12">
        <v>56.820337302049928</v>
      </c>
      <c r="D12">
        <v>117.91126120930566</v>
      </c>
      <c r="E12">
        <v>62.464147948596434</v>
      </c>
      <c r="F12">
        <v>67.238659277963379</v>
      </c>
      <c r="G12">
        <v>81.576404148116524</v>
      </c>
      <c r="H12">
        <v>38.383741142268867</v>
      </c>
      <c r="I12">
        <v>45.605839036949533</v>
      </c>
      <c r="J12">
        <v>71.807723859994795</v>
      </c>
      <c r="K12">
        <v>0.61208261764455096</v>
      </c>
      <c r="L12">
        <v>97.283789062500006</v>
      </c>
      <c r="M12" s="15">
        <f>+'[3]VAR expectations'!C36</f>
        <v>2.8151174291133074</v>
      </c>
      <c r="N12">
        <v>9.5197607719880006E-2</v>
      </c>
      <c r="O12">
        <v>-1.5952862799167598E-2</v>
      </c>
      <c r="P12">
        <v>341</v>
      </c>
      <c r="Q12">
        <v>83</v>
      </c>
      <c r="R12">
        <v>372</v>
      </c>
      <c r="S12">
        <v>141</v>
      </c>
      <c r="T12">
        <v>30</v>
      </c>
      <c r="U12">
        <v>33</v>
      </c>
      <c r="V12">
        <f t="shared" si="1"/>
        <v>204</v>
      </c>
      <c r="X12">
        <f t="shared" si="2"/>
        <v>0.32956480107191055</v>
      </c>
      <c r="Y12">
        <f t="shared" si="20"/>
        <v>0.47769213682579448</v>
      </c>
      <c r="Z12">
        <f t="shared" si="21"/>
        <v>-0.59852969581598359</v>
      </c>
      <c r="AA12">
        <f t="shared" si="22"/>
        <v>0.66592844928459982</v>
      </c>
      <c r="AB12">
        <f t="shared" si="3"/>
        <v>0.30707364224950595</v>
      </c>
      <c r="AC12">
        <f t="shared" si="4"/>
        <v>0.2308057473977243</v>
      </c>
      <c r="AD12">
        <f t="shared" si="5"/>
        <v>1.6153075954537996</v>
      </c>
      <c r="AE12">
        <f t="shared" si="6"/>
        <v>0.42322775329859752</v>
      </c>
      <c r="AF12">
        <f t="shared" si="7"/>
        <v>0.23100397051439359</v>
      </c>
      <c r="AG12">
        <f t="shared" si="8"/>
        <v>-3.7181628355630325E-3</v>
      </c>
      <c r="AH12">
        <f t="shared" si="9"/>
        <v>0.11746785037880159</v>
      </c>
      <c r="AI12">
        <f t="shared" si="10"/>
        <v>-0.21672923158257396</v>
      </c>
      <c r="AJ12">
        <f t="shared" si="11"/>
        <v>9.9091918888986497E-2</v>
      </c>
      <c r="AK12">
        <f t="shared" si="12"/>
        <v>4.27799485623837E-2</v>
      </c>
      <c r="AL12">
        <f t="shared" si="13"/>
        <v>-3</v>
      </c>
      <c r="AM12">
        <f t="shared" si="14"/>
        <v>-3</v>
      </c>
      <c r="AN12">
        <f t="shared" si="15"/>
        <v>14</v>
      </c>
      <c r="AO12">
        <f t="shared" si="16"/>
        <v>-3</v>
      </c>
      <c r="AP12">
        <f t="shared" si="17"/>
        <v>-2</v>
      </c>
      <c r="AQ12">
        <f t="shared" si="18"/>
        <v>-3</v>
      </c>
      <c r="AR12">
        <f t="shared" si="19"/>
        <v>-8</v>
      </c>
    </row>
    <row r="13" spans="1:44" x14ac:dyDescent="0.25">
      <c r="A13" s="14">
        <v>36341</v>
      </c>
      <c r="B13">
        <v>72.089045435709679</v>
      </c>
      <c r="C13">
        <v>57.315645524914736</v>
      </c>
      <c r="D13">
        <v>117.102020370133</v>
      </c>
      <c r="E13">
        <v>62.327610240975297</v>
      </c>
      <c r="F13">
        <v>66.571844762680328</v>
      </c>
      <c r="G13">
        <v>81.622908379807555</v>
      </c>
      <c r="H13">
        <v>39.566559269054331</v>
      </c>
      <c r="I13">
        <v>46.924886016740267</v>
      </c>
      <c r="J13">
        <v>72.102603654941007</v>
      </c>
      <c r="K13">
        <v>0.60729455707630897</v>
      </c>
      <c r="L13">
        <v>99.140043076923106</v>
      </c>
      <c r="M13" s="15">
        <f>+'[3]VAR expectations'!C37</f>
        <v>2.6154884948264598</v>
      </c>
      <c r="N13">
        <v>0.27359049641299199</v>
      </c>
      <c r="O13">
        <v>0.380440324544907</v>
      </c>
      <c r="P13">
        <v>341</v>
      </c>
      <c r="Q13">
        <v>83</v>
      </c>
      <c r="R13">
        <v>372</v>
      </c>
      <c r="S13">
        <v>141</v>
      </c>
      <c r="T13">
        <v>30</v>
      </c>
      <c r="U13">
        <v>33</v>
      </c>
      <c r="V13">
        <f t="shared" si="1"/>
        <v>204</v>
      </c>
      <c r="X13">
        <f t="shared" si="2"/>
        <v>0.21959707279063423</v>
      </c>
      <c r="Y13">
        <f t="shared" si="20"/>
        <v>0.49530822286480714</v>
      </c>
      <c r="Z13">
        <f t="shared" si="21"/>
        <v>-0.80924083917265932</v>
      </c>
      <c r="AA13">
        <f t="shared" si="22"/>
        <v>-0.13653770762113737</v>
      </c>
      <c r="AB13">
        <f t="shared" si="3"/>
        <v>-0.66681451528305047</v>
      </c>
      <c r="AC13">
        <f t="shared" si="4"/>
        <v>4.650423169103135E-2</v>
      </c>
      <c r="AD13">
        <f t="shared" si="5"/>
        <v>1.1828181267854632</v>
      </c>
      <c r="AE13">
        <f t="shared" si="6"/>
        <v>1.319046979790734</v>
      </c>
      <c r="AF13">
        <f t="shared" si="7"/>
        <v>0.29487979494621186</v>
      </c>
      <c r="AG13">
        <f t="shared" si="8"/>
        <v>-4.7880605682419919E-3</v>
      </c>
      <c r="AH13">
        <f t="shared" si="9"/>
        <v>1.8562540144231008</v>
      </c>
      <c r="AI13">
        <f t="shared" si="10"/>
        <v>-0.29802398025061594</v>
      </c>
      <c r="AJ13">
        <f t="shared" si="11"/>
        <v>0.17839288869311198</v>
      </c>
      <c r="AK13">
        <f t="shared" si="12"/>
        <v>0.39639318734407458</v>
      </c>
      <c r="AL13">
        <f t="shared" si="13"/>
        <v>0</v>
      </c>
      <c r="AM13">
        <f t="shared" si="14"/>
        <v>0</v>
      </c>
      <c r="AN13">
        <f t="shared" si="15"/>
        <v>0</v>
      </c>
      <c r="AO13">
        <f t="shared" si="16"/>
        <v>0</v>
      </c>
      <c r="AP13">
        <f t="shared" si="17"/>
        <v>0</v>
      </c>
      <c r="AQ13">
        <f t="shared" si="18"/>
        <v>0</v>
      </c>
      <c r="AR13">
        <f t="shared" si="19"/>
        <v>0</v>
      </c>
    </row>
    <row r="14" spans="1:44" x14ac:dyDescent="0.25">
      <c r="A14" s="14">
        <v>36433</v>
      </c>
      <c r="B14">
        <v>72.125395078804502</v>
      </c>
      <c r="C14">
        <v>57.725891052138103</v>
      </c>
      <c r="D14">
        <v>116.21646773960333</v>
      </c>
      <c r="E14">
        <v>62.26600590101333</v>
      </c>
      <c r="F14">
        <v>65.966078638823205</v>
      </c>
      <c r="G14">
        <v>81.70027643685718</v>
      </c>
      <c r="H14">
        <v>40.694457856544737</v>
      </c>
      <c r="I14">
        <v>47.676146770894739</v>
      </c>
      <c r="J14">
        <v>72.187039044239896</v>
      </c>
      <c r="K14">
        <v>0.61019911719025599</v>
      </c>
      <c r="L14">
        <v>98.754672727272705</v>
      </c>
      <c r="M14" s="15">
        <f>+'[3]VAR expectations'!C38</f>
        <v>2.6428562485995646</v>
      </c>
      <c r="N14">
        <v>0.45287391151197798</v>
      </c>
      <c r="O14">
        <v>0.14683547616004899</v>
      </c>
      <c r="P14">
        <v>341</v>
      </c>
      <c r="Q14">
        <v>83</v>
      </c>
      <c r="R14">
        <v>372</v>
      </c>
      <c r="S14">
        <v>141</v>
      </c>
      <c r="T14">
        <v>30</v>
      </c>
      <c r="U14">
        <v>33</v>
      </c>
      <c r="V14">
        <f t="shared" si="1"/>
        <v>204</v>
      </c>
      <c r="X14">
        <f t="shared" si="2"/>
        <v>3.6349643094823136E-2</v>
      </c>
      <c r="Y14">
        <f t="shared" si="20"/>
        <v>0.41024552722336693</v>
      </c>
      <c r="Z14">
        <f t="shared" si="21"/>
        <v>-0.88555263052967348</v>
      </c>
      <c r="AA14">
        <f t="shared" si="22"/>
        <v>-6.1604339961967014E-2</v>
      </c>
      <c r="AB14">
        <f t="shared" si="3"/>
        <v>-0.60576612385712281</v>
      </c>
      <c r="AC14">
        <f t="shared" si="4"/>
        <v>7.7368057049625349E-2</v>
      </c>
      <c r="AD14">
        <f t="shared" si="5"/>
        <v>1.1278985874904066</v>
      </c>
      <c r="AE14">
        <f t="shared" si="6"/>
        <v>0.75126075415447247</v>
      </c>
      <c r="AF14">
        <f t="shared" si="7"/>
        <v>8.4435389298889163E-2</v>
      </c>
      <c r="AG14">
        <f t="shared" si="8"/>
        <v>2.904560113947019E-3</v>
      </c>
      <c r="AH14">
        <f t="shared" si="9"/>
        <v>-0.38537034965040107</v>
      </c>
      <c r="AI14">
        <f t="shared" si="10"/>
        <v>-0.14111612236867677</v>
      </c>
      <c r="AJ14">
        <f t="shared" si="11"/>
        <v>0.17928341509898599</v>
      </c>
      <c r="AK14">
        <f t="shared" si="12"/>
        <v>-0.23360484838485801</v>
      </c>
      <c r="AL14">
        <f t="shared" si="13"/>
        <v>0</v>
      </c>
      <c r="AM14">
        <f t="shared" si="14"/>
        <v>0</v>
      </c>
      <c r="AN14">
        <f t="shared" si="15"/>
        <v>0</v>
      </c>
      <c r="AO14">
        <f t="shared" si="16"/>
        <v>0</v>
      </c>
      <c r="AP14">
        <f t="shared" si="17"/>
        <v>0</v>
      </c>
      <c r="AQ14">
        <f t="shared" si="18"/>
        <v>0</v>
      </c>
      <c r="AR14">
        <f t="shared" si="19"/>
        <v>0</v>
      </c>
    </row>
    <row r="15" spans="1:44" x14ac:dyDescent="0.25">
      <c r="A15" s="14">
        <v>36525</v>
      </c>
      <c r="B15">
        <v>72.359803406135839</v>
      </c>
      <c r="C15">
        <v>58.260597172429392</v>
      </c>
      <c r="D15">
        <v>115.11724534960399</v>
      </c>
      <c r="E15">
        <v>62.425190149027202</v>
      </c>
      <c r="F15">
        <v>66.000462650335422</v>
      </c>
      <c r="G15">
        <v>81.899917498004768</v>
      </c>
      <c r="H15">
        <v>41.070297940002668</v>
      </c>
      <c r="I15">
        <v>48.744128850988496</v>
      </c>
      <c r="J15">
        <v>72.375605300756106</v>
      </c>
      <c r="K15">
        <v>0.61022681521550604</v>
      </c>
      <c r="L15">
        <v>100.634428787879</v>
      </c>
      <c r="M15" s="15">
        <f>+'[3]VAR expectations'!C39</f>
        <v>2.8292929206876933</v>
      </c>
      <c r="N15">
        <v>0.64683941023249503</v>
      </c>
      <c r="O15">
        <v>0.13658648729324299</v>
      </c>
      <c r="P15">
        <v>341</v>
      </c>
      <c r="Q15">
        <v>83</v>
      </c>
      <c r="R15">
        <v>372</v>
      </c>
      <c r="S15">
        <v>141</v>
      </c>
      <c r="T15">
        <v>30</v>
      </c>
      <c r="U15">
        <v>33</v>
      </c>
      <c r="V15">
        <f t="shared" si="1"/>
        <v>204</v>
      </c>
      <c r="X15">
        <f t="shared" si="2"/>
        <v>0.23440832733133732</v>
      </c>
      <c r="Y15">
        <f t="shared" si="20"/>
        <v>0.53470612029128972</v>
      </c>
      <c r="Z15">
        <f t="shared" si="21"/>
        <v>-1.0992223899993405</v>
      </c>
      <c r="AA15">
        <f t="shared" si="22"/>
        <v>0.15918424801387232</v>
      </c>
      <c r="AB15">
        <f t="shared" si="3"/>
        <v>3.4384011512216262E-2</v>
      </c>
      <c r="AC15">
        <f t="shared" si="4"/>
        <v>0.19964106114758806</v>
      </c>
      <c r="AD15">
        <f t="shared" si="5"/>
        <v>0.37584008345793052</v>
      </c>
      <c r="AE15">
        <f t="shared" si="6"/>
        <v>1.0679820800937563</v>
      </c>
      <c r="AF15">
        <f t="shared" si="7"/>
        <v>0.18856625651621073</v>
      </c>
      <c r="AG15">
        <f t="shared" si="8"/>
        <v>2.7698025250044722E-5</v>
      </c>
      <c r="AH15">
        <f t="shared" si="9"/>
        <v>1.8797560606062973</v>
      </c>
      <c r="AI15">
        <f t="shared" si="10"/>
        <v>0.25215842125812049</v>
      </c>
      <c r="AJ15">
        <f t="shared" si="11"/>
        <v>0.19396549872051705</v>
      </c>
      <c r="AK15">
        <f t="shared" si="12"/>
        <v>-1.0248988866806003E-2</v>
      </c>
      <c r="AL15">
        <f t="shared" si="13"/>
        <v>0</v>
      </c>
      <c r="AM15">
        <f t="shared" si="14"/>
        <v>0</v>
      </c>
      <c r="AN15">
        <f t="shared" si="15"/>
        <v>0</v>
      </c>
      <c r="AO15">
        <f t="shared" si="16"/>
        <v>0</v>
      </c>
      <c r="AP15">
        <f t="shared" si="17"/>
        <v>0</v>
      </c>
      <c r="AQ15">
        <f t="shared" si="18"/>
        <v>0</v>
      </c>
      <c r="AR15">
        <f t="shared" si="19"/>
        <v>0</v>
      </c>
    </row>
    <row r="16" spans="1:44" x14ac:dyDescent="0.25">
      <c r="A16" s="14">
        <v>36616</v>
      </c>
      <c r="B16">
        <v>72.440743283146261</v>
      </c>
      <c r="C16">
        <v>58.772737337573631</v>
      </c>
      <c r="D16">
        <v>113.71050289670067</v>
      </c>
      <c r="E16">
        <v>62.294225732533363</v>
      </c>
      <c r="F16">
        <v>65.738951218719208</v>
      </c>
      <c r="G16">
        <v>81.953847149944593</v>
      </c>
      <c r="H16">
        <v>41.192698366617265</v>
      </c>
      <c r="I16">
        <v>50.014345022097928</v>
      </c>
      <c r="J16">
        <v>72.393686583097505</v>
      </c>
      <c r="K16">
        <v>0.61741448216996297</v>
      </c>
      <c r="L16">
        <v>102.291083076923</v>
      </c>
      <c r="M16" s="15">
        <f>+'[3]VAR expectations'!C40</f>
        <v>2.782809710824401</v>
      </c>
      <c r="N16">
        <v>0.79634125067367401</v>
      </c>
      <c r="O16">
        <v>0.11457213759422299</v>
      </c>
      <c r="P16">
        <v>342</v>
      </c>
      <c r="Q16">
        <v>71</v>
      </c>
      <c r="R16">
        <v>409</v>
      </c>
      <c r="S16">
        <v>121</v>
      </c>
      <c r="T16">
        <v>26</v>
      </c>
      <c r="U16">
        <v>31</v>
      </c>
      <c r="V16">
        <f t="shared" si="1"/>
        <v>178</v>
      </c>
      <c r="X16">
        <f t="shared" si="2"/>
        <v>8.0939877010422379E-2</v>
      </c>
      <c r="Y16">
        <f t="shared" si="20"/>
        <v>0.51214016514423832</v>
      </c>
      <c r="Z16">
        <f t="shared" si="21"/>
        <v>-1.4067424529033161</v>
      </c>
      <c r="AA16">
        <f t="shared" si="22"/>
        <v>-0.13096441649383905</v>
      </c>
      <c r="AB16">
        <f t="shared" si="3"/>
        <v>-0.26151143161621349</v>
      </c>
      <c r="AC16">
        <f t="shared" si="4"/>
        <v>5.3929651939824907E-2</v>
      </c>
      <c r="AD16">
        <f t="shared" si="5"/>
        <v>0.12240042661459682</v>
      </c>
      <c r="AE16">
        <f t="shared" si="6"/>
        <v>1.270216171109432</v>
      </c>
      <c r="AF16">
        <f t="shared" si="7"/>
        <v>1.8081282341398719E-2</v>
      </c>
      <c r="AG16">
        <f t="shared" si="8"/>
        <v>7.1876669544569394E-3</v>
      </c>
      <c r="AH16">
        <f t="shared" si="9"/>
        <v>1.656654289043999</v>
      </c>
      <c r="AI16">
        <f t="shared" si="10"/>
        <v>0.14009451668800654</v>
      </c>
      <c r="AJ16">
        <f t="shared" si="11"/>
        <v>0.14950184044117898</v>
      </c>
      <c r="AK16">
        <f t="shared" si="12"/>
        <v>-2.2014349699019997E-2</v>
      </c>
      <c r="AL16">
        <f t="shared" si="13"/>
        <v>1</v>
      </c>
      <c r="AM16">
        <f t="shared" si="14"/>
        <v>-12</v>
      </c>
      <c r="AN16">
        <f t="shared" si="15"/>
        <v>37</v>
      </c>
      <c r="AO16">
        <f t="shared" si="16"/>
        <v>-20</v>
      </c>
      <c r="AP16">
        <f t="shared" si="17"/>
        <v>-4</v>
      </c>
      <c r="AQ16">
        <f t="shared" si="18"/>
        <v>-2</v>
      </c>
      <c r="AR16">
        <f t="shared" si="19"/>
        <v>-26</v>
      </c>
    </row>
    <row r="17" spans="1:44" x14ac:dyDescent="0.25">
      <c r="A17" s="14">
        <v>36707</v>
      </c>
      <c r="B17">
        <v>72.539182312841504</v>
      </c>
      <c r="C17">
        <v>59.022039679802134</v>
      </c>
      <c r="D17">
        <v>113.06246638512567</v>
      </c>
      <c r="E17">
        <v>62.695488488984267</v>
      </c>
      <c r="F17">
        <v>65.547576525313545</v>
      </c>
      <c r="G17">
        <v>81.549251880044139</v>
      </c>
      <c r="H17">
        <v>43.499742188366803</v>
      </c>
      <c r="I17">
        <v>50.294131092571668</v>
      </c>
      <c r="J17">
        <v>72.563313424527905</v>
      </c>
      <c r="K17">
        <v>0.61947343357984297</v>
      </c>
      <c r="L17">
        <v>101.013821538462</v>
      </c>
      <c r="M17" s="15">
        <f>+'[3]VAR expectations'!C41</f>
        <v>2.9050115480316223</v>
      </c>
      <c r="N17">
        <v>0.578228356186961</v>
      </c>
      <c r="O17">
        <v>0.16771019995212599</v>
      </c>
      <c r="P17">
        <v>342</v>
      </c>
      <c r="Q17">
        <v>71</v>
      </c>
      <c r="R17">
        <v>409</v>
      </c>
      <c r="S17">
        <v>121</v>
      </c>
      <c r="T17">
        <v>26</v>
      </c>
      <c r="U17">
        <v>31</v>
      </c>
      <c r="V17">
        <f t="shared" si="1"/>
        <v>178</v>
      </c>
      <c r="X17">
        <f t="shared" si="2"/>
        <v>9.8439029695242652E-2</v>
      </c>
      <c r="Y17">
        <f t="shared" si="20"/>
        <v>0.24930234222850345</v>
      </c>
      <c r="Z17">
        <f t="shared" si="21"/>
        <v>-0.64803651157500042</v>
      </c>
      <c r="AA17">
        <f t="shared" si="22"/>
        <v>0.40126275645090459</v>
      </c>
      <c r="AB17">
        <f t="shared" si="3"/>
        <v>-0.19137469340566327</v>
      </c>
      <c r="AC17">
        <f t="shared" si="4"/>
        <v>-0.40459526990045447</v>
      </c>
      <c r="AD17">
        <f t="shared" si="5"/>
        <v>2.3070438217495379</v>
      </c>
      <c r="AE17">
        <f t="shared" si="6"/>
        <v>0.27978607047374027</v>
      </c>
      <c r="AF17">
        <f t="shared" si="7"/>
        <v>0.16962684143040008</v>
      </c>
      <c r="AG17">
        <f t="shared" si="8"/>
        <v>2.0589514098799944E-3</v>
      </c>
      <c r="AH17">
        <f t="shared" si="9"/>
        <v>-1.2772615384610049</v>
      </c>
      <c r="AI17">
        <f t="shared" si="10"/>
        <v>0.3942607030225771</v>
      </c>
      <c r="AJ17">
        <f t="shared" si="11"/>
        <v>-0.218112894486713</v>
      </c>
      <c r="AK17">
        <f t="shared" si="12"/>
        <v>5.3138062357902999E-2</v>
      </c>
      <c r="AL17">
        <f t="shared" si="13"/>
        <v>0</v>
      </c>
      <c r="AM17">
        <f t="shared" si="14"/>
        <v>0</v>
      </c>
      <c r="AN17">
        <f t="shared" si="15"/>
        <v>0</v>
      </c>
      <c r="AO17">
        <f t="shared" si="16"/>
        <v>0</v>
      </c>
      <c r="AP17">
        <f t="shared" si="17"/>
        <v>0</v>
      </c>
      <c r="AQ17">
        <f t="shared" si="18"/>
        <v>0</v>
      </c>
      <c r="AR17">
        <f t="shared" si="19"/>
        <v>0</v>
      </c>
    </row>
    <row r="18" spans="1:44" x14ac:dyDescent="0.25">
      <c r="A18" s="14">
        <v>36799</v>
      </c>
      <c r="B18">
        <v>72.707840576543859</v>
      </c>
      <c r="C18">
        <v>59.618307460292534</v>
      </c>
      <c r="D18">
        <v>111.70485772051767</v>
      </c>
      <c r="E18">
        <v>63.480786414583037</v>
      </c>
      <c r="F18">
        <v>66.470733130124344</v>
      </c>
      <c r="G18">
        <v>81.400383542254033</v>
      </c>
      <c r="H18">
        <v>44.129516914186162</v>
      </c>
      <c r="I18">
        <v>50.848549060358373</v>
      </c>
      <c r="J18">
        <v>72.759782473887299</v>
      </c>
      <c r="K18">
        <v>0.63243205574934103</v>
      </c>
      <c r="L18">
        <v>99.456144615384602</v>
      </c>
      <c r="M18" s="15">
        <f>+'[3]VAR expectations'!C42</f>
        <v>3.1797827097537499</v>
      </c>
      <c r="N18">
        <v>0.50801792517880295</v>
      </c>
      <c r="O18">
        <v>7.53215327858925E-2</v>
      </c>
      <c r="P18">
        <v>342</v>
      </c>
      <c r="Q18">
        <v>71</v>
      </c>
      <c r="R18">
        <v>409</v>
      </c>
      <c r="S18">
        <v>121</v>
      </c>
      <c r="T18">
        <v>26</v>
      </c>
      <c r="U18">
        <v>31</v>
      </c>
      <c r="V18">
        <f t="shared" si="1"/>
        <v>178</v>
      </c>
      <c r="X18">
        <f t="shared" si="2"/>
        <v>0.16865826370235482</v>
      </c>
      <c r="Y18">
        <f t="shared" si="20"/>
        <v>0.59626778049040041</v>
      </c>
      <c r="Z18">
        <f t="shared" si="21"/>
        <v>-1.3576086646080086</v>
      </c>
      <c r="AA18">
        <f t="shared" si="22"/>
        <v>0.7852979255987691</v>
      </c>
      <c r="AB18">
        <f t="shared" si="3"/>
        <v>0.92315660481079931</v>
      </c>
      <c r="AC18">
        <f t="shared" si="4"/>
        <v>-0.14886833779010544</v>
      </c>
      <c r="AD18">
        <f t="shared" si="5"/>
        <v>0.62977472581935956</v>
      </c>
      <c r="AE18">
        <f t="shared" si="6"/>
        <v>0.55441796778670493</v>
      </c>
      <c r="AF18">
        <f t="shared" si="7"/>
        <v>0.19646904935939347</v>
      </c>
      <c r="AG18">
        <f t="shared" si="8"/>
        <v>1.2958622169498057E-2</v>
      </c>
      <c r="AH18">
        <f t="shared" si="9"/>
        <v>-1.5576769230773948</v>
      </c>
      <c r="AI18">
        <f t="shared" si="10"/>
        <v>0.69899219985137684</v>
      </c>
      <c r="AJ18">
        <f t="shared" si="11"/>
        <v>-7.0210431008158047E-2</v>
      </c>
      <c r="AK18">
        <f t="shared" si="12"/>
        <v>-9.2388667166233493E-2</v>
      </c>
      <c r="AL18">
        <f t="shared" si="13"/>
        <v>0</v>
      </c>
      <c r="AM18">
        <f t="shared" si="14"/>
        <v>0</v>
      </c>
      <c r="AN18">
        <f t="shared" si="15"/>
        <v>0</v>
      </c>
      <c r="AO18">
        <f t="shared" si="16"/>
        <v>0</v>
      </c>
      <c r="AP18">
        <f t="shared" si="17"/>
        <v>0</v>
      </c>
      <c r="AQ18">
        <f t="shared" si="18"/>
        <v>0</v>
      </c>
      <c r="AR18">
        <f t="shared" si="19"/>
        <v>0</v>
      </c>
    </row>
    <row r="19" spans="1:44" x14ac:dyDescent="0.25">
      <c r="A19" s="14">
        <v>36891</v>
      </c>
      <c r="B19">
        <v>73.058296991468595</v>
      </c>
      <c r="C19">
        <v>60.261873317660566</v>
      </c>
      <c r="D19">
        <v>111.14640687755167</v>
      </c>
      <c r="E19">
        <v>63.852768971110471</v>
      </c>
      <c r="F19">
        <v>66.715067260746267</v>
      </c>
      <c r="G19">
        <v>81.765643927476674</v>
      </c>
      <c r="H19">
        <v>44.729361748243598</v>
      </c>
      <c r="I19">
        <v>51.114811152054337</v>
      </c>
      <c r="J19">
        <v>73.063981516128905</v>
      </c>
      <c r="K19">
        <v>0.63168490396144295</v>
      </c>
      <c r="L19">
        <v>100.229946153846</v>
      </c>
      <c r="M19" s="15">
        <f>+'[3]VAR expectations'!C43</f>
        <v>3.4444390840252752</v>
      </c>
      <c r="N19">
        <v>0.35052454382543902</v>
      </c>
      <c r="O19">
        <v>-1.80886518210173E-2</v>
      </c>
      <c r="P19">
        <v>342</v>
      </c>
      <c r="Q19">
        <v>71</v>
      </c>
      <c r="R19">
        <v>409</v>
      </c>
      <c r="S19">
        <v>121</v>
      </c>
      <c r="T19">
        <v>26</v>
      </c>
      <c r="U19">
        <v>31</v>
      </c>
      <c r="V19">
        <f t="shared" si="1"/>
        <v>178</v>
      </c>
      <c r="X19">
        <f t="shared" si="2"/>
        <v>0.35045641492473578</v>
      </c>
      <c r="Y19">
        <f t="shared" si="20"/>
        <v>0.6435658573680314</v>
      </c>
      <c r="Z19">
        <f t="shared" si="21"/>
        <v>-0.55845084296599623</v>
      </c>
      <c r="AA19">
        <f t="shared" si="22"/>
        <v>0.37198255652743484</v>
      </c>
      <c r="AB19">
        <f t="shared" si="3"/>
        <v>0.24433413062192244</v>
      </c>
      <c r="AC19">
        <f t="shared" si="4"/>
        <v>0.36526038522264059</v>
      </c>
      <c r="AD19">
        <f t="shared" si="5"/>
        <v>0.59984483405743561</v>
      </c>
      <c r="AE19">
        <f t="shared" si="6"/>
        <v>0.26626209169596393</v>
      </c>
      <c r="AF19">
        <f t="shared" si="7"/>
        <v>0.30419904224160632</v>
      </c>
      <c r="AG19">
        <f t="shared" si="8"/>
        <v>-7.4715178789808157E-4</v>
      </c>
      <c r="AH19">
        <f t="shared" si="9"/>
        <v>0.77380153846139876</v>
      </c>
      <c r="AI19">
        <f t="shared" si="10"/>
        <v>0.98732657868504337</v>
      </c>
      <c r="AJ19">
        <f t="shared" si="11"/>
        <v>-0.15749338135336394</v>
      </c>
      <c r="AK19">
        <f t="shared" si="12"/>
        <v>-9.3410184606909807E-2</v>
      </c>
      <c r="AL19">
        <f t="shared" si="13"/>
        <v>0</v>
      </c>
      <c r="AM19">
        <f t="shared" si="14"/>
        <v>0</v>
      </c>
      <c r="AN19">
        <f t="shared" si="15"/>
        <v>0</v>
      </c>
      <c r="AO19">
        <f t="shared" si="16"/>
        <v>0</v>
      </c>
      <c r="AP19">
        <f t="shared" si="17"/>
        <v>0</v>
      </c>
      <c r="AQ19">
        <f t="shared" si="18"/>
        <v>0</v>
      </c>
      <c r="AR19">
        <f t="shared" si="19"/>
        <v>0</v>
      </c>
    </row>
    <row r="20" spans="1:44" x14ac:dyDescent="0.25">
      <c r="A20" s="14">
        <v>36981</v>
      </c>
      <c r="B20">
        <v>73.057199972199726</v>
      </c>
      <c r="C20">
        <v>60.743618510486499</v>
      </c>
      <c r="D20">
        <v>110.17048885713501</v>
      </c>
      <c r="E20">
        <v>64.304947564597896</v>
      </c>
      <c r="F20">
        <v>67.219576569640893</v>
      </c>
      <c r="G20">
        <v>81.956356251570668</v>
      </c>
      <c r="H20">
        <v>45.213764851116906</v>
      </c>
      <c r="I20">
        <v>49.776772698758201</v>
      </c>
      <c r="J20">
        <v>73.022578117809601</v>
      </c>
      <c r="K20">
        <v>0.63197458532471795</v>
      </c>
      <c r="L20">
        <v>98.163178461538493</v>
      </c>
      <c r="M20" s="15">
        <f>+'[3]VAR expectations'!C44</f>
        <v>3.2371139634797124</v>
      </c>
      <c r="N20">
        <v>-9.6508386047468499E-3</v>
      </c>
      <c r="O20">
        <v>-0.21965420246124301</v>
      </c>
      <c r="P20">
        <v>336</v>
      </c>
      <c r="Q20">
        <v>66</v>
      </c>
      <c r="R20">
        <v>436</v>
      </c>
      <c r="S20">
        <v>114</v>
      </c>
      <c r="T20">
        <v>20</v>
      </c>
      <c r="U20">
        <v>28</v>
      </c>
      <c r="V20">
        <f t="shared" si="1"/>
        <v>162</v>
      </c>
      <c r="X20">
        <f t="shared" si="2"/>
        <v>-1.0970192688688485E-3</v>
      </c>
      <c r="Y20">
        <f t="shared" si="20"/>
        <v>0.48174519282593309</v>
      </c>
      <c r="Z20">
        <f t="shared" si="21"/>
        <v>-0.97591802041665687</v>
      </c>
      <c r="AA20">
        <f t="shared" si="22"/>
        <v>0.45217859348742451</v>
      </c>
      <c r="AB20">
        <f t="shared" si="3"/>
        <v>0.50450930889462597</v>
      </c>
      <c r="AC20">
        <f t="shared" si="4"/>
        <v>0.19071232409399386</v>
      </c>
      <c r="AD20">
        <f t="shared" si="5"/>
        <v>0.48440310287330846</v>
      </c>
      <c r="AE20">
        <f t="shared" si="6"/>
        <v>-1.3380384532961358</v>
      </c>
      <c r="AF20">
        <f t="shared" si="7"/>
        <v>-4.1403398319303619E-2</v>
      </c>
      <c r="AG20">
        <f t="shared" si="8"/>
        <v>2.8968136327500726E-4</v>
      </c>
      <c r="AH20">
        <f t="shared" si="9"/>
        <v>-2.0667676923075078</v>
      </c>
      <c r="AI20">
        <f t="shared" si="10"/>
        <v>0.75777031020088348</v>
      </c>
      <c r="AJ20">
        <f t="shared" si="11"/>
        <v>-0.36017538243018588</v>
      </c>
      <c r="AK20">
        <f t="shared" si="12"/>
        <v>-0.20156555064022572</v>
      </c>
      <c r="AL20">
        <f t="shared" si="13"/>
        <v>-6</v>
      </c>
      <c r="AM20">
        <f t="shared" si="14"/>
        <v>-5</v>
      </c>
      <c r="AN20">
        <f t="shared" si="15"/>
        <v>27</v>
      </c>
      <c r="AO20">
        <f t="shared" si="16"/>
        <v>-7</v>
      </c>
      <c r="AP20">
        <f t="shared" si="17"/>
        <v>-6</v>
      </c>
      <c r="AQ20">
        <f t="shared" si="18"/>
        <v>-3</v>
      </c>
      <c r="AR20">
        <f t="shared" si="19"/>
        <v>-16</v>
      </c>
    </row>
    <row r="21" spans="1:44" x14ac:dyDescent="0.25">
      <c r="A21" s="14">
        <v>37072</v>
      </c>
      <c r="B21">
        <v>73.640782847443958</v>
      </c>
      <c r="C21">
        <v>61.544420219885332</v>
      </c>
      <c r="D21">
        <v>109.89504456781434</v>
      </c>
      <c r="E21">
        <v>65.671562289779899</v>
      </c>
      <c r="F21">
        <v>69.291698510684967</v>
      </c>
      <c r="G21">
        <v>81.894722914880603</v>
      </c>
      <c r="H21">
        <v>45.475672672189063</v>
      </c>
      <c r="I21">
        <v>49.554685240331963</v>
      </c>
      <c r="J21">
        <v>73.672453554203102</v>
      </c>
      <c r="K21">
        <v>0.62800409836081905</v>
      </c>
      <c r="L21">
        <v>99.237372307692297</v>
      </c>
      <c r="M21" s="15">
        <f>+'[3]VAR expectations'!C45</f>
        <v>3.3504016664521434</v>
      </c>
      <c r="N21">
        <v>-8.6513159775206599E-2</v>
      </c>
      <c r="O21">
        <v>8.7121553719043704E-2</v>
      </c>
      <c r="P21">
        <v>336</v>
      </c>
      <c r="Q21">
        <v>66</v>
      </c>
      <c r="R21">
        <v>436</v>
      </c>
      <c r="S21">
        <v>114</v>
      </c>
      <c r="T21">
        <v>20</v>
      </c>
      <c r="U21">
        <v>28</v>
      </c>
      <c r="V21">
        <f t="shared" si="1"/>
        <v>162</v>
      </c>
      <c r="X21">
        <f t="shared" si="2"/>
        <v>0.58358287524423247</v>
      </c>
      <c r="Y21">
        <f t="shared" si="20"/>
        <v>0.80080170939883288</v>
      </c>
      <c r="Z21">
        <f t="shared" si="21"/>
        <v>-0.27544428932067433</v>
      </c>
      <c r="AA21">
        <f t="shared" si="22"/>
        <v>1.3666147251820036</v>
      </c>
      <c r="AB21">
        <f t="shared" si="3"/>
        <v>2.0721219410440739</v>
      </c>
      <c r="AC21">
        <f t="shared" si="4"/>
        <v>-6.1633336690064766E-2</v>
      </c>
      <c r="AD21">
        <f t="shared" si="5"/>
        <v>0.26190782107215682</v>
      </c>
      <c r="AE21">
        <f t="shared" si="6"/>
        <v>-0.22208745842623756</v>
      </c>
      <c r="AF21">
        <f t="shared" si="7"/>
        <v>0.64987543639350065</v>
      </c>
      <c r="AG21">
        <f t="shared" si="8"/>
        <v>-3.9704869638989004E-3</v>
      </c>
      <c r="AH21">
        <f t="shared" si="9"/>
        <v>1.0741938461538041</v>
      </c>
      <c r="AI21">
        <f t="shared" si="10"/>
        <v>1.089739327797683</v>
      </c>
      <c r="AJ21">
        <f t="shared" si="11"/>
        <v>-7.6862321170459755E-2</v>
      </c>
      <c r="AK21">
        <f t="shared" si="12"/>
        <v>0.30677575618028674</v>
      </c>
      <c r="AL21">
        <f t="shared" si="13"/>
        <v>0</v>
      </c>
      <c r="AM21">
        <f t="shared" si="14"/>
        <v>0</v>
      </c>
      <c r="AN21">
        <f t="shared" si="15"/>
        <v>0</v>
      </c>
      <c r="AO21">
        <f t="shared" si="16"/>
        <v>0</v>
      </c>
      <c r="AP21">
        <f t="shared" si="17"/>
        <v>0</v>
      </c>
      <c r="AQ21">
        <f t="shared" si="18"/>
        <v>0</v>
      </c>
      <c r="AR21">
        <f t="shared" si="19"/>
        <v>0</v>
      </c>
    </row>
    <row r="22" spans="1:44" x14ac:dyDescent="0.25">
      <c r="A22" s="14">
        <v>37164</v>
      </c>
      <c r="B22">
        <v>73.825368346705162</v>
      </c>
      <c r="C22">
        <v>62.223963784280272</v>
      </c>
      <c r="D22">
        <v>109.34835279541367</v>
      </c>
      <c r="E22">
        <v>65.641448713927829</v>
      </c>
      <c r="F22">
        <v>68.979536133829399</v>
      </c>
      <c r="G22">
        <v>82.063297447175827</v>
      </c>
      <c r="H22">
        <v>45.842531038287937</v>
      </c>
      <c r="I22">
        <v>49.541042554852801</v>
      </c>
      <c r="J22">
        <v>73.864343092066804</v>
      </c>
      <c r="K22">
        <v>0.62070323942146299</v>
      </c>
      <c r="L22">
        <v>99.239315384615395</v>
      </c>
      <c r="M22" s="15">
        <f>+'[3]VAR expectations'!C46</f>
        <v>3.4355092923982902</v>
      </c>
      <c r="N22">
        <v>-0.18219844297104101</v>
      </c>
      <c r="O22">
        <v>-1.9923435524106001E-2</v>
      </c>
      <c r="P22">
        <v>336</v>
      </c>
      <c r="Q22">
        <v>66</v>
      </c>
      <c r="R22">
        <v>436</v>
      </c>
      <c r="S22">
        <v>114</v>
      </c>
      <c r="T22">
        <v>20</v>
      </c>
      <c r="U22">
        <v>28</v>
      </c>
      <c r="V22">
        <f t="shared" si="1"/>
        <v>162</v>
      </c>
      <c r="X22">
        <f t="shared" si="2"/>
        <v>0.18458549926120327</v>
      </c>
      <c r="Y22">
        <f t="shared" si="20"/>
        <v>0.67954356439494035</v>
      </c>
      <c r="Z22">
        <f t="shared" si="21"/>
        <v>-0.54669177240066347</v>
      </c>
      <c r="AA22">
        <f t="shared" si="22"/>
        <v>-3.0113575852070085E-2</v>
      </c>
      <c r="AB22">
        <f t="shared" si="3"/>
        <v>-0.31216237685556791</v>
      </c>
      <c r="AC22">
        <f t="shared" si="4"/>
        <v>0.16857453229522434</v>
      </c>
      <c r="AD22">
        <f t="shared" si="5"/>
        <v>0.36685836609887446</v>
      </c>
      <c r="AE22">
        <f t="shared" si="6"/>
        <v>-1.3642685479162253E-2</v>
      </c>
      <c r="AF22">
        <f t="shared" si="7"/>
        <v>0.19188953786370178</v>
      </c>
      <c r="AG22">
        <f t="shared" si="8"/>
        <v>-7.3008589393560586E-3</v>
      </c>
      <c r="AH22">
        <f t="shared" si="9"/>
        <v>1.9430769230979195E-3</v>
      </c>
      <c r="AI22">
        <f t="shared" si="10"/>
        <v>1.2135147939075819</v>
      </c>
      <c r="AJ22">
        <f t="shared" si="11"/>
        <v>-9.5685283195834414E-2</v>
      </c>
      <c r="AK22">
        <f t="shared" si="12"/>
        <v>-0.1070449892431497</v>
      </c>
      <c r="AL22">
        <f t="shared" si="13"/>
        <v>0</v>
      </c>
      <c r="AM22">
        <f t="shared" si="14"/>
        <v>0</v>
      </c>
      <c r="AN22">
        <f t="shared" si="15"/>
        <v>0</v>
      </c>
      <c r="AO22">
        <f t="shared" si="16"/>
        <v>0</v>
      </c>
      <c r="AP22">
        <f t="shared" si="17"/>
        <v>0</v>
      </c>
      <c r="AQ22">
        <f t="shared" si="18"/>
        <v>0</v>
      </c>
      <c r="AR22">
        <f t="shared" si="19"/>
        <v>0</v>
      </c>
    </row>
    <row r="23" spans="1:44" x14ac:dyDescent="0.25">
      <c r="A23" s="14">
        <v>37256</v>
      </c>
      <c r="B23">
        <v>73.809976698452303</v>
      </c>
      <c r="C23">
        <v>62.586922212635066</v>
      </c>
      <c r="D23">
        <v>108.73663622536766</v>
      </c>
      <c r="E23">
        <v>65.828698669319564</v>
      </c>
      <c r="F23">
        <v>68.970945389894339</v>
      </c>
      <c r="G23">
        <v>82.057820785625765</v>
      </c>
      <c r="H23">
        <v>46.482425595715902</v>
      </c>
      <c r="I23">
        <v>48.008808713627495</v>
      </c>
      <c r="J23">
        <v>73.816222366808006</v>
      </c>
      <c r="K23">
        <v>0.61399358747248201</v>
      </c>
      <c r="L23">
        <v>99.639537878787905</v>
      </c>
      <c r="M23" s="15">
        <f>+'[3]VAR expectations'!C47</f>
        <v>3.0318466606958814</v>
      </c>
      <c r="N23">
        <v>-0.41053249519444801</v>
      </c>
      <c r="O23">
        <v>-0.24701800942421001</v>
      </c>
      <c r="P23">
        <v>336</v>
      </c>
      <c r="Q23">
        <v>66</v>
      </c>
      <c r="R23">
        <v>436</v>
      </c>
      <c r="S23">
        <v>114</v>
      </c>
      <c r="T23">
        <v>20</v>
      </c>
      <c r="U23">
        <v>28</v>
      </c>
      <c r="V23">
        <f t="shared" si="1"/>
        <v>162</v>
      </c>
      <c r="X23">
        <f t="shared" si="2"/>
        <v>-1.5391648252858658E-2</v>
      </c>
      <c r="Y23">
        <f t="shared" si="20"/>
        <v>0.36295842835479419</v>
      </c>
      <c r="Z23">
        <f t="shared" si="21"/>
        <v>-0.61171657004601343</v>
      </c>
      <c r="AA23">
        <f t="shared" si="22"/>
        <v>0.18724995539173506</v>
      </c>
      <c r="AB23">
        <f t="shared" si="3"/>
        <v>-8.5907439350592085E-3</v>
      </c>
      <c r="AC23">
        <f t="shared" si="4"/>
        <v>-5.4766615500625448E-3</v>
      </c>
      <c r="AD23">
        <f t="shared" si="5"/>
        <v>0.63989455742796508</v>
      </c>
      <c r="AE23">
        <f t="shared" si="6"/>
        <v>-1.532233841225306</v>
      </c>
      <c r="AF23">
        <f t="shared" si="7"/>
        <v>-4.8120725258797847E-2</v>
      </c>
      <c r="AG23">
        <f t="shared" si="8"/>
        <v>-6.709651948980988E-3</v>
      </c>
      <c r="AH23">
        <f t="shared" si="9"/>
        <v>0.40022249417251032</v>
      </c>
      <c r="AI23">
        <f t="shared" si="10"/>
        <v>0.66971658766496223</v>
      </c>
      <c r="AJ23">
        <f t="shared" si="11"/>
        <v>-0.228334052223407</v>
      </c>
      <c r="AK23">
        <f t="shared" si="12"/>
        <v>-0.22709457390010401</v>
      </c>
      <c r="AL23">
        <f t="shared" si="13"/>
        <v>0</v>
      </c>
      <c r="AM23">
        <f t="shared" si="14"/>
        <v>0</v>
      </c>
      <c r="AN23">
        <f t="shared" si="15"/>
        <v>0</v>
      </c>
      <c r="AO23">
        <f t="shared" si="16"/>
        <v>0</v>
      </c>
      <c r="AP23">
        <f t="shared" si="17"/>
        <v>0</v>
      </c>
      <c r="AQ23">
        <f t="shared" si="18"/>
        <v>0</v>
      </c>
      <c r="AR23">
        <f t="shared" si="19"/>
        <v>0</v>
      </c>
    </row>
    <row r="24" spans="1:44" x14ac:dyDescent="0.25">
      <c r="A24" s="14">
        <v>37346</v>
      </c>
      <c r="B24">
        <v>74.172709547617714</v>
      </c>
      <c r="C24">
        <v>63.253448974794672</v>
      </c>
      <c r="D24">
        <v>108.253887812421</v>
      </c>
      <c r="E24">
        <v>66.271856797838623</v>
      </c>
      <c r="F24">
        <v>69.566869099543467</v>
      </c>
      <c r="G24">
        <v>82.184032839410861</v>
      </c>
      <c r="H24">
        <v>46.712875198812867</v>
      </c>
      <c r="I24">
        <v>48.300000597159077</v>
      </c>
      <c r="J24">
        <v>74.140200035856097</v>
      </c>
      <c r="K24">
        <v>0.61193038298108404</v>
      </c>
      <c r="L24">
        <v>100.22180625</v>
      </c>
      <c r="M24" s="15">
        <f>+'[3]VAR expectations'!C48</f>
        <v>2.9135124750770758</v>
      </c>
      <c r="N24">
        <v>-0.19866515250366801</v>
      </c>
      <c r="O24">
        <v>-7.7734054066240796E-3</v>
      </c>
      <c r="P24">
        <v>321</v>
      </c>
      <c r="Q24">
        <v>56</v>
      </c>
      <c r="R24">
        <v>457</v>
      </c>
      <c r="S24">
        <v>115</v>
      </c>
      <c r="T24">
        <v>20</v>
      </c>
      <c r="U24">
        <v>31</v>
      </c>
      <c r="V24">
        <f t="shared" si="1"/>
        <v>166</v>
      </c>
      <c r="X24">
        <f t="shared" si="2"/>
        <v>0.36273284916541115</v>
      </c>
      <c r="Y24">
        <f t="shared" si="20"/>
        <v>0.66652676215960582</v>
      </c>
      <c r="Z24">
        <f t="shared" si="21"/>
        <v>-0.4827484129466626</v>
      </c>
      <c r="AA24">
        <f t="shared" si="22"/>
        <v>0.44315812851905889</v>
      </c>
      <c r="AB24">
        <f t="shared" si="3"/>
        <v>0.59592370964912789</v>
      </c>
      <c r="AC24">
        <f t="shared" si="4"/>
        <v>0.12621205378509615</v>
      </c>
      <c r="AD24">
        <f t="shared" si="5"/>
        <v>0.23044960309696449</v>
      </c>
      <c r="AE24">
        <f t="shared" si="6"/>
        <v>0.29119188353158165</v>
      </c>
      <c r="AF24">
        <f t="shared" si="7"/>
        <v>0.32397766904809089</v>
      </c>
      <c r="AG24">
        <f t="shared" si="8"/>
        <v>-2.063204491397963E-3</v>
      </c>
      <c r="AH24">
        <f t="shared" si="9"/>
        <v>0.58226837121209485</v>
      </c>
      <c r="AI24">
        <f t="shared" si="10"/>
        <v>0.7416232517885204</v>
      </c>
      <c r="AJ24">
        <f t="shared" si="11"/>
        <v>0.21186734269078</v>
      </c>
      <c r="AK24">
        <f t="shared" si="12"/>
        <v>0.23924460401758593</v>
      </c>
      <c r="AL24">
        <f t="shared" si="13"/>
        <v>-15</v>
      </c>
      <c r="AM24">
        <f t="shared" si="14"/>
        <v>-10</v>
      </c>
      <c r="AN24">
        <f t="shared" si="15"/>
        <v>21</v>
      </c>
      <c r="AO24">
        <f t="shared" si="16"/>
        <v>1</v>
      </c>
      <c r="AP24">
        <f t="shared" si="17"/>
        <v>0</v>
      </c>
      <c r="AQ24">
        <f t="shared" si="18"/>
        <v>3</v>
      </c>
      <c r="AR24">
        <f t="shared" si="19"/>
        <v>4</v>
      </c>
    </row>
    <row r="25" spans="1:44" x14ac:dyDescent="0.25">
      <c r="A25" s="14">
        <v>37437</v>
      </c>
      <c r="B25">
        <v>74.341060971658422</v>
      </c>
      <c r="C25">
        <v>64.098357828458106</v>
      </c>
      <c r="D25">
        <v>107.15975382369832</v>
      </c>
      <c r="E25">
        <v>65.841453783592442</v>
      </c>
      <c r="F25">
        <v>69.072767804200325</v>
      </c>
      <c r="G25">
        <v>82.070455378131101</v>
      </c>
      <c r="H25">
        <v>46.699129956856133</v>
      </c>
      <c r="I25">
        <v>48.834968279363466</v>
      </c>
      <c r="J25">
        <v>74.380936880197396</v>
      </c>
      <c r="K25">
        <v>0.62732294639877295</v>
      </c>
      <c r="L25">
        <v>99.283556923076901</v>
      </c>
      <c r="M25" s="15">
        <f>+'[3]VAR expectations'!C49</f>
        <v>2.7839723709682413</v>
      </c>
      <c r="N25">
        <v>-0.121645386242651</v>
      </c>
      <c r="O25">
        <v>0.16057209670543701</v>
      </c>
      <c r="P25">
        <v>321</v>
      </c>
      <c r="Q25">
        <v>56</v>
      </c>
      <c r="R25">
        <v>457</v>
      </c>
      <c r="S25">
        <v>115</v>
      </c>
      <c r="T25">
        <v>20</v>
      </c>
      <c r="U25">
        <v>31</v>
      </c>
      <c r="V25">
        <f t="shared" si="1"/>
        <v>166</v>
      </c>
      <c r="X25">
        <f t="shared" si="2"/>
        <v>0.1683514240407078</v>
      </c>
      <c r="Y25">
        <f t="shared" si="20"/>
        <v>0.84490885366343349</v>
      </c>
      <c r="Z25">
        <f t="shared" si="21"/>
        <v>-1.0941339887226746</v>
      </c>
      <c r="AA25">
        <f t="shared" si="22"/>
        <v>-0.43040301424618121</v>
      </c>
      <c r="AB25">
        <f t="shared" si="3"/>
        <v>-0.49410129534314251</v>
      </c>
      <c r="AC25">
        <f t="shared" si="4"/>
        <v>-0.11357746127976043</v>
      </c>
      <c r="AD25">
        <f t="shared" si="5"/>
        <v>-1.3745241956733878E-2</v>
      </c>
      <c r="AE25">
        <f t="shared" si="6"/>
        <v>0.53496768220438895</v>
      </c>
      <c r="AF25">
        <f t="shared" si="7"/>
        <v>0.24073684434129916</v>
      </c>
      <c r="AG25">
        <f t="shared" si="8"/>
        <v>1.5392563417688909E-2</v>
      </c>
      <c r="AH25">
        <f t="shared" si="9"/>
        <v>-0.93824932692309915</v>
      </c>
      <c r="AI25">
        <f t="shared" si="10"/>
        <v>0.52033414192762617</v>
      </c>
      <c r="AJ25">
        <f t="shared" si="11"/>
        <v>7.7019766261017003E-2</v>
      </c>
      <c r="AK25">
        <f t="shared" si="12"/>
        <v>0.16834550211206109</v>
      </c>
      <c r="AL25">
        <f t="shared" si="13"/>
        <v>0</v>
      </c>
      <c r="AM25">
        <f t="shared" si="14"/>
        <v>0</v>
      </c>
      <c r="AN25">
        <f t="shared" si="15"/>
        <v>0</v>
      </c>
      <c r="AO25">
        <f t="shared" si="16"/>
        <v>0</v>
      </c>
      <c r="AP25">
        <f t="shared" si="17"/>
        <v>0</v>
      </c>
      <c r="AQ25">
        <f t="shared" si="18"/>
        <v>0</v>
      </c>
      <c r="AR25">
        <f t="shared" si="19"/>
        <v>0</v>
      </c>
    </row>
    <row r="26" spans="1:44" x14ac:dyDescent="0.25">
      <c r="A26" s="14">
        <v>37529</v>
      </c>
      <c r="B26">
        <v>74.586828837548069</v>
      </c>
      <c r="C26">
        <v>64.806065670026939</v>
      </c>
      <c r="D26">
        <v>106.44583489625866</v>
      </c>
      <c r="E26">
        <v>66.101100807903208</v>
      </c>
      <c r="F26">
        <v>69.016510777194938</v>
      </c>
      <c r="G26">
        <v>82.393205064322629</v>
      </c>
      <c r="H26">
        <v>47.312363041482463</v>
      </c>
      <c r="I26">
        <v>48.810172757408203</v>
      </c>
      <c r="J26">
        <v>74.621415022690897</v>
      </c>
      <c r="K26">
        <v>0.62666792181779396</v>
      </c>
      <c r="L26">
        <v>100.497328787879</v>
      </c>
      <c r="M26" s="15">
        <f>+'[3]VAR expectations'!C50</f>
        <v>2.5771344994295728</v>
      </c>
      <c r="N26">
        <v>-0.12779910297989</v>
      </c>
      <c r="O26">
        <v>-2.52052545547485E-2</v>
      </c>
      <c r="P26">
        <v>321</v>
      </c>
      <c r="Q26">
        <v>56</v>
      </c>
      <c r="R26">
        <v>457</v>
      </c>
      <c r="S26">
        <v>115</v>
      </c>
      <c r="T26">
        <v>20</v>
      </c>
      <c r="U26">
        <v>31</v>
      </c>
      <c r="V26">
        <f t="shared" si="1"/>
        <v>166</v>
      </c>
      <c r="X26">
        <f t="shared" si="2"/>
        <v>0.24576786588964694</v>
      </c>
      <c r="Y26">
        <f t="shared" si="20"/>
        <v>0.70770784156883337</v>
      </c>
      <c r="Z26">
        <f t="shared" si="21"/>
        <v>-0.71391892743966423</v>
      </c>
      <c r="AA26">
        <f t="shared" si="22"/>
        <v>0.25964702431076603</v>
      </c>
      <c r="AB26">
        <f t="shared" si="3"/>
        <v>-5.6257027005386817E-2</v>
      </c>
      <c r="AC26">
        <f t="shared" si="4"/>
        <v>0.32274968619152844</v>
      </c>
      <c r="AD26">
        <f t="shared" si="5"/>
        <v>0.61323308462633008</v>
      </c>
      <c r="AE26">
        <f t="shared" si="6"/>
        <v>-2.4795521955262245E-2</v>
      </c>
      <c r="AF26">
        <f t="shared" si="7"/>
        <v>0.24047814249350097</v>
      </c>
      <c r="AG26">
        <f t="shared" si="8"/>
        <v>-6.5502458097899119E-4</v>
      </c>
      <c r="AH26">
        <f t="shared" si="9"/>
        <v>1.2137718648020979</v>
      </c>
      <c r="AI26">
        <f t="shared" si="10"/>
        <v>0.15705614995002382</v>
      </c>
      <c r="AJ26">
        <f t="shared" si="11"/>
        <v>-6.1537167372389956E-3</v>
      </c>
      <c r="AK26">
        <f t="shared" si="12"/>
        <v>-0.18577735126018552</v>
      </c>
      <c r="AL26">
        <f t="shared" si="13"/>
        <v>0</v>
      </c>
      <c r="AM26">
        <f t="shared" si="14"/>
        <v>0</v>
      </c>
      <c r="AN26">
        <f t="shared" si="15"/>
        <v>0</v>
      </c>
      <c r="AO26">
        <f t="shared" si="16"/>
        <v>0</v>
      </c>
      <c r="AP26">
        <f t="shared" si="17"/>
        <v>0</v>
      </c>
      <c r="AQ26">
        <f t="shared" si="18"/>
        <v>0</v>
      </c>
      <c r="AR26">
        <f t="shared" si="19"/>
        <v>0</v>
      </c>
    </row>
    <row r="27" spans="1:44" x14ac:dyDescent="0.25">
      <c r="A27" s="14">
        <v>37621</v>
      </c>
      <c r="B27">
        <v>74.94152985171506</v>
      </c>
      <c r="C27">
        <v>65.527580796611758</v>
      </c>
      <c r="D27">
        <v>105.92448921583834</v>
      </c>
      <c r="E27">
        <v>66.196126733287258</v>
      </c>
      <c r="F27">
        <v>69.020712791603259</v>
      </c>
      <c r="G27">
        <v>81.795408938969828</v>
      </c>
      <c r="H27">
        <v>47.821927966217864</v>
      </c>
      <c r="I27">
        <v>49.301431799629</v>
      </c>
      <c r="J27">
        <v>74.939618250451403</v>
      </c>
      <c r="K27">
        <v>0.62607176712946</v>
      </c>
      <c r="L27">
        <v>101.02483030303</v>
      </c>
      <c r="M27" s="15">
        <f>+'[3]VAR expectations'!C51</f>
        <v>2.6427151941363944</v>
      </c>
      <c r="N27">
        <v>0.13999724552415899</v>
      </c>
      <c r="O27">
        <v>2.2260053083300601E-2</v>
      </c>
      <c r="P27">
        <v>321</v>
      </c>
      <c r="Q27">
        <v>56</v>
      </c>
      <c r="R27">
        <v>457</v>
      </c>
      <c r="S27">
        <v>115</v>
      </c>
      <c r="T27">
        <v>20</v>
      </c>
      <c r="U27">
        <v>31</v>
      </c>
      <c r="V27">
        <f t="shared" si="1"/>
        <v>166</v>
      </c>
      <c r="X27">
        <f t="shared" si="2"/>
        <v>0.35470101416699151</v>
      </c>
      <c r="Y27">
        <f t="shared" si="20"/>
        <v>0.7215151265848192</v>
      </c>
      <c r="Z27">
        <f t="shared" si="21"/>
        <v>-0.5213456804203247</v>
      </c>
      <c r="AA27">
        <f t="shared" si="22"/>
        <v>9.502592538404997E-2</v>
      </c>
      <c r="AB27">
        <f t="shared" si="3"/>
        <v>4.2020144083210198E-3</v>
      </c>
      <c r="AC27">
        <f t="shared" si="4"/>
        <v>-0.5977961253528008</v>
      </c>
      <c r="AD27">
        <f t="shared" si="5"/>
        <v>0.50956492473540038</v>
      </c>
      <c r="AE27">
        <f t="shared" si="6"/>
        <v>0.49125904222079697</v>
      </c>
      <c r="AF27">
        <f t="shared" si="7"/>
        <v>0.31820322776050602</v>
      </c>
      <c r="AG27">
        <f t="shared" si="8"/>
        <v>-5.9615468833396079E-4</v>
      </c>
      <c r="AH27">
        <f t="shared" si="9"/>
        <v>0.52750151515100185</v>
      </c>
      <c r="AI27">
        <f t="shared" si="10"/>
        <v>0.30786857008441615</v>
      </c>
      <c r="AJ27">
        <f t="shared" si="11"/>
        <v>0.26779634850404899</v>
      </c>
      <c r="AK27">
        <f t="shared" si="12"/>
        <v>4.7465307638049098E-2</v>
      </c>
      <c r="AL27">
        <f t="shared" si="13"/>
        <v>0</v>
      </c>
      <c r="AM27">
        <f t="shared" si="14"/>
        <v>0</v>
      </c>
      <c r="AN27">
        <f t="shared" si="15"/>
        <v>0</v>
      </c>
      <c r="AO27">
        <f t="shared" si="16"/>
        <v>0</v>
      </c>
      <c r="AP27">
        <f t="shared" si="17"/>
        <v>0</v>
      </c>
      <c r="AQ27">
        <f t="shared" si="18"/>
        <v>0</v>
      </c>
      <c r="AR27">
        <f t="shared" si="19"/>
        <v>0</v>
      </c>
    </row>
    <row r="28" spans="1:44" x14ac:dyDescent="0.25">
      <c r="A28" s="14">
        <v>37711</v>
      </c>
      <c r="B28">
        <v>75.254179637007539</v>
      </c>
      <c r="C28">
        <v>66.024472037778409</v>
      </c>
      <c r="D28">
        <v>105.57840811720899</v>
      </c>
      <c r="E28">
        <v>66.29593719601047</v>
      </c>
      <c r="F28">
        <v>69.109899366957407</v>
      </c>
      <c r="G28">
        <v>81.579240086886898</v>
      </c>
      <c r="H28">
        <v>48.150793169108333</v>
      </c>
      <c r="I28">
        <v>50.696241265513159</v>
      </c>
      <c r="J28">
        <v>75.220635695064601</v>
      </c>
      <c r="K28">
        <v>0.63651760997190399</v>
      </c>
      <c r="L28">
        <v>98.401371874999995</v>
      </c>
      <c r="M28" s="15">
        <f>+'[3]VAR expectations'!C52</f>
        <v>2.5107508450090452</v>
      </c>
      <c r="N28">
        <v>0.27544788472214499</v>
      </c>
      <c r="O28">
        <v>0.118628311933358</v>
      </c>
      <c r="P28">
        <v>324</v>
      </c>
      <c r="Q28">
        <v>55</v>
      </c>
      <c r="R28">
        <v>466</v>
      </c>
      <c r="S28">
        <v>108</v>
      </c>
      <c r="T28">
        <v>19</v>
      </c>
      <c r="U28">
        <v>28</v>
      </c>
      <c r="V28">
        <f t="shared" si="1"/>
        <v>155</v>
      </c>
      <c r="X28">
        <f t="shared" si="2"/>
        <v>0.31264978529247855</v>
      </c>
      <c r="Y28">
        <f t="shared" si="20"/>
        <v>0.49689124116665084</v>
      </c>
      <c r="Z28">
        <f t="shared" si="21"/>
        <v>-0.346081098629341</v>
      </c>
      <c r="AA28">
        <f t="shared" si="22"/>
        <v>9.9810462723212368E-2</v>
      </c>
      <c r="AB28">
        <f t="shared" si="3"/>
        <v>8.918657535414809E-2</v>
      </c>
      <c r="AC28">
        <f t="shared" si="4"/>
        <v>-0.21616885208293013</v>
      </c>
      <c r="AD28">
        <f t="shared" si="5"/>
        <v>0.32886520289046928</v>
      </c>
      <c r="AE28">
        <f t="shared" si="6"/>
        <v>1.3948094658841583</v>
      </c>
      <c r="AF28">
        <f t="shared" si="7"/>
        <v>0.28101744461319811</v>
      </c>
      <c r="AG28">
        <f t="shared" si="8"/>
        <v>1.0445842842443986E-2</v>
      </c>
      <c r="AH28">
        <f t="shared" si="9"/>
        <v>-2.6234584280300055</v>
      </c>
      <c r="AI28">
        <f t="shared" si="10"/>
        <v>0.18170422639182027</v>
      </c>
      <c r="AJ28">
        <f t="shared" si="11"/>
        <v>0.135450639197986</v>
      </c>
      <c r="AK28">
        <f t="shared" si="12"/>
        <v>9.6368258850057398E-2</v>
      </c>
      <c r="AL28">
        <f t="shared" si="13"/>
        <v>3</v>
      </c>
      <c r="AM28">
        <f t="shared" si="14"/>
        <v>-1</v>
      </c>
      <c r="AN28">
        <f t="shared" si="15"/>
        <v>9</v>
      </c>
      <c r="AO28">
        <f t="shared" si="16"/>
        <v>-7</v>
      </c>
      <c r="AP28">
        <f t="shared" si="17"/>
        <v>-1</v>
      </c>
      <c r="AQ28">
        <f t="shared" si="18"/>
        <v>-3</v>
      </c>
      <c r="AR28">
        <f t="shared" si="19"/>
        <v>-11</v>
      </c>
    </row>
    <row r="29" spans="1:44" x14ac:dyDescent="0.25">
      <c r="A29" s="14">
        <v>37802</v>
      </c>
      <c r="B29">
        <v>75.297738816456402</v>
      </c>
      <c r="C29">
        <v>66.477450028729891</v>
      </c>
      <c r="D29">
        <v>104.82493353971</v>
      </c>
      <c r="E29">
        <v>66.743553912164842</v>
      </c>
      <c r="F29">
        <v>69.746466956818594</v>
      </c>
      <c r="G29">
        <v>81.929888108927102</v>
      </c>
      <c r="H29">
        <v>48.45408482428504</v>
      </c>
      <c r="I29">
        <v>49.519114792624237</v>
      </c>
      <c r="J29">
        <v>75.346741392751298</v>
      </c>
      <c r="K29">
        <v>0.63320748380537994</v>
      </c>
      <c r="L29">
        <v>95.764499999999998</v>
      </c>
      <c r="M29" s="15">
        <f>+'[3]VAR expectations'!C53</f>
        <v>2.480790509902373</v>
      </c>
      <c r="N29">
        <v>8.0091340388783697E-2</v>
      </c>
      <c r="O29">
        <v>-3.3435978033822499E-2</v>
      </c>
      <c r="P29">
        <v>324</v>
      </c>
      <c r="Q29">
        <v>55</v>
      </c>
      <c r="R29">
        <v>466</v>
      </c>
      <c r="S29">
        <v>108</v>
      </c>
      <c r="T29">
        <v>19</v>
      </c>
      <c r="U29">
        <v>28</v>
      </c>
      <c r="V29">
        <f t="shared" si="1"/>
        <v>155</v>
      </c>
      <c r="X29">
        <f t="shared" si="2"/>
        <v>4.3559179448863006E-2</v>
      </c>
      <c r="Y29">
        <f t="shared" si="20"/>
        <v>0.4529779909514815</v>
      </c>
      <c r="Z29">
        <f t="shared" si="21"/>
        <v>-0.75347457749899149</v>
      </c>
      <c r="AA29">
        <f t="shared" si="22"/>
        <v>0.44761671615437137</v>
      </c>
      <c r="AB29">
        <f t="shared" si="3"/>
        <v>0.63656758986118689</v>
      </c>
      <c r="AC29">
        <f t="shared" si="4"/>
        <v>0.35064802204020395</v>
      </c>
      <c r="AD29">
        <f t="shared" si="5"/>
        <v>0.30329165517670731</v>
      </c>
      <c r="AE29">
        <f t="shared" si="6"/>
        <v>-1.1771264728889221</v>
      </c>
      <c r="AF29">
        <f t="shared" si="7"/>
        <v>0.12610569768669677</v>
      </c>
      <c r="AG29">
        <f t="shared" si="8"/>
        <v>-3.3101261665240411E-3</v>
      </c>
      <c r="AH29">
        <f t="shared" si="9"/>
        <v>-2.6368718749999971</v>
      </c>
      <c r="AI29">
        <f t="shared" si="10"/>
        <v>-6.1393022261505337E-2</v>
      </c>
      <c r="AJ29">
        <f t="shared" si="11"/>
        <v>-0.1953565443333613</v>
      </c>
      <c r="AK29">
        <f t="shared" si="12"/>
        <v>-0.15206428996718049</v>
      </c>
      <c r="AL29">
        <f t="shared" si="13"/>
        <v>0</v>
      </c>
      <c r="AM29">
        <f t="shared" si="14"/>
        <v>0</v>
      </c>
      <c r="AN29">
        <f t="shared" si="15"/>
        <v>0</v>
      </c>
      <c r="AO29">
        <f t="shared" si="16"/>
        <v>0</v>
      </c>
      <c r="AP29">
        <f t="shared" si="17"/>
        <v>0</v>
      </c>
      <c r="AQ29">
        <f t="shared" si="18"/>
        <v>0</v>
      </c>
      <c r="AR29">
        <f t="shared" si="19"/>
        <v>0</v>
      </c>
    </row>
    <row r="30" spans="1:44" x14ac:dyDescent="0.25">
      <c r="A30" s="14">
        <v>37894</v>
      </c>
      <c r="B30">
        <v>75.612766960048859</v>
      </c>
      <c r="C30">
        <v>66.969781979790568</v>
      </c>
      <c r="D30">
        <v>104.57345498303602</v>
      </c>
      <c r="E30">
        <v>67.31296933393827</v>
      </c>
      <c r="F30">
        <v>70.26415567744364</v>
      </c>
      <c r="G30">
        <v>81.29251558503266</v>
      </c>
      <c r="H30">
        <v>49.190874969117239</v>
      </c>
      <c r="I30">
        <v>49.812423085229902</v>
      </c>
      <c r="J30">
        <v>75.646460972491596</v>
      </c>
      <c r="K30">
        <v>0.63000871963946403</v>
      </c>
      <c r="L30">
        <v>95.544218181818195</v>
      </c>
      <c r="M30" s="15">
        <f>+'[3]VAR expectations'!C54</f>
        <v>2.4571125053402318</v>
      </c>
      <c r="N30">
        <v>0.109281701994484</v>
      </c>
      <c r="O30">
        <v>4.3959080115475602E-3</v>
      </c>
      <c r="P30">
        <v>324</v>
      </c>
      <c r="Q30">
        <v>55</v>
      </c>
      <c r="R30">
        <v>466</v>
      </c>
      <c r="S30">
        <v>108</v>
      </c>
      <c r="T30">
        <v>19</v>
      </c>
      <c r="U30">
        <v>28</v>
      </c>
      <c r="V30">
        <f t="shared" si="1"/>
        <v>155</v>
      </c>
      <c r="X30">
        <f t="shared" si="2"/>
        <v>0.3150281435924569</v>
      </c>
      <c r="Y30">
        <f t="shared" si="20"/>
        <v>0.4923319510606774</v>
      </c>
      <c r="Z30">
        <f t="shared" si="21"/>
        <v>-0.25147855667398744</v>
      </c>
      <c r="AA30">
        <f t="shared" si="22"/>
        <v>0.56941542177342797</v>
      </c>
      <c r="AB30">
        <f t="shared" si="3"/>
        <v>0.51768872062504556</v>
      </c>
      <c r="AC30">
        <f t="shared" si="4"/>
        <v>-0.63737252389444166</v>
      </c>
      <c r="AD30">
        <f t="shared" si="5"/>
        <v>0.73679014483219873</v>
      </c>
      <c r="AE30">
        <f t="shared" si="6"/>
        <v>0.2933082926056656</v>
      </c>
      <c r="AF30">
        <f t="shared" si="7"/>
        <v>0.29971957974029806</v>
      </c>
      <c r="AG30">
        <f t="shared" si="8"/>
        <v>-3.1987641659159127E-3</v>
      </c>
      <c r="AH30">
        <f t="shared" si="9"/>
        <v>-0.22028181818180315</v>
      </c>
      <c r="AI30">
        <f t="shared" si="10"/>
        <v>6.836633212309895E-2</v>
      </c>
      <c r="AJ30">
        <f t="shared" si="11"/>
        <v>2.9190361605700307E-2</v>
      </c>
      <c r="AK30">
        <f t="shared" si="12"/>
        <v>3.7831886045370057E-2</v>
      </c>
      <c r="AL30">
        <f t="shared" si="13"/>
        <v>0</v>
      </c>
      <c r="AM30">
        <f t="shared" si="14"/>
        <v>0</v>
      </c>
      <c r="AN30">
        <f t="shared" si="15"/>
        <v>0</v>
      </c>
      <c r="AO30">
        <f t="shared" si="16"/>
        <v>0</v>
      </c>
      <c r="AP30">
        <f t="shared" si="17"/>
        <v>0</v>
      </c>
      <c r="AQ30">
        <f t="shared" si="18"/>
        <v>0</v>
      </c>
      <c r="AR30">
        <f t="shared" si="19"/>
        <v>0</v>
      </c>
    </row>
    <row r="31" spans="1:44" x14ac:dyDescent="0.25">
      <c r="A31" s="14">
        <v>37986</v>
      </c>
      <c r="B31">
        <v>75.930389741807929</v>
      </c>
      <c r="C31">
        <v>67.546972720157029</v>
      </c>
      <c r="D31">
        <v>104.00485126915201</v>
      </c>
      <c r="E31">
        <v>67.719275637251357</v>
      </c>
      <c r="F31">
        <v>70.752523645876281</v>
      </c>
      <c r="G31">
        <v>81.390202718947663</v>
      </c>
      <c r="H31">
        <v>49.438759813309993</v>
      </c>
      <c r="I31">
        <v>50.456696042455739</v>
      </c>
      <c r="J31">
        <v>75.926725850656695</v>
      </c>
      <c r="K31">
        <v>0.62604665825440697</v>
      </c>
      <c r="L31">
        <v>97.264069696969699</v>
      </c>
      <c r="M31" s="15">
        <f>+'[3]VAR expectations'!C55</f>
        <v>2.4793436532788289</v>
      </c>
      <c r="N31">
        <v>0.12812529825024099</v>
      </c>
      <c r="O31">
        <v>4.1066675765942702E-2</v>
      </c>
      <c r="P31">
        <v>324</v>
      </c>
      <c r="Q31">
        <v>55</v>
      </c>
      <c r="R31">
        <v>466</v>
      </c>
      <c r="S31">
        <v>108</v>
      </c>
      <c r="T31">
        <v>19</v>
      </c>
      <c r="U31">
        <v>28</v>
      </c>
      <c r="V31">
        <f t="shared" si="1"/>
        <v>155</v>
      </c>
      <c r="X31">
        <f t="shared" si="2"/>
        <v>0.31762278175906999</v>
      </c>
      <c r="Y31">
        <f t="shared" si="20"/>
        <v>0.57719074036646134</v>
      </c>
      <c r="Z31">
        <f t="shared" si="21"/>
        <v>-0.5686037138840021</v>
      </c>
      <c r="AA31">
        <f t="shared" si="22"/>
        <v>0.40630630331308737</v>
      </c>
      <c r="AB31">
        <f t="shared" si="3"/>
        <v>0.48836796843264096</v>
      </c>
      <c r="AC31">
        <f t="shared" si="4"/>
        <v>9.7687133915002278E-2</v>
      </c>
      <c r="AD31">
        <f t="shared" si="5"/>
        <v>0.24788484419275392</v>
      </c>
      <c r="AE31">
        <f t="shared" si="6"/>
        <v>0.64427295722583722</v>
      </c>
      <c r="AF31">
        <f t="shared" si="7"/>
        <v>0.28026487816509871</v>
      </c>
      <c r="AG31">
        <f t="shared" si="8"/>
        <v>-3.9620613850570585E-3</v>
      </c>
      <c r="AH31">
        <f t="shared" si="9"/>
        <v>1.7198515151515039</v>
      </c>
      <c r="AI31">
        <f t="shared" si="10"/>
        <v>0.28176843346516289</v>
      </c>
      <c r="AJ31">
        <f t="shared" si="11"/>
        <v>1.8843596255756989E-2</v>
      </c>
      <c r="AK31">
        <f t="shared" si="12"/>
        <v>3.6670767754395144E-2</v>
      </c>
      <c r="AL31">
        <f t="shared" si="13"/>
        <v>0</v>
      </c>
      <c r="AM31">
        <f t="shared" si="14"/>
        <v>0</v>
      </c>
      <c r="AN31">
        <f t="shared" si="15"/>
        <v>0</v>
      </c>
      <c r="AO31">
        <f t="shared" si="16"/>
        <v>0</v>
      </c>
      <c r="AP31">
        <f t="shared" si="17"/>
        <v>0</v>
      </c>
      <c r="AQ31">
        <f t="shared" si="18"/>
        <v>0</v>
      </c>
      <c r="AR31">
        <f t="shared" si="19"/>
        <v>0</v>
      </c>
    </row>
    <row r="32" spans="1:44" x14ac:dyDescent="0.25">
      <c r="A32" s="14">
        <v>38077</v>
      </c>
      <c r="B32">
        <v>76.200272982905773</v>
      </c>
      <c r="C32">
        <v>68.10626529045453</v>
      </c>
      <c r="D32">
        <v>103.62955172533468</v>
      </c>
      <c r="E32">
        <v>67.701733001774699</v>
      </c>
      <c r="F32">
        <v>70.68062324019364</v>
      </c>
      <c r="G32">
        <v>81.372891223910457</v>
      </c>
      <c r="H32">
        <v>49.677802172771571</v>
      </c>
      <c r="I32">
        <v>51.504084271991964</v>
      </c>
      <c r="J32">
        <v>76.159680364508901</v>
      </c>
      <c r="K32">
        <v>0.61688244432997197</v>
      </c>
      <c r="L32">
        <v>101.570772307692</v>
      </c>
      <c r="M32" s="15">
        <f>+'[3]VAR expectations'!C56</f>
        <v>2.2606623386544604</v>
      </c>
      <c r="N32">
        <v>8.3923273491197103E-2</v>
      </c>
      <c r="O32">
        <v>7.0507431525519401E-2</v>
      </c>
      <c r="P32">
        <v>329</v>
      </c>
      <c r="Q32">
        <v>52</v>
      </c>
      <c r="R32">
        <v>467</v>
      </c>
      <c r="S32">
        <v>106</v>
      </c>
      <c r="T32">
        <v>19</v>
      </c>
      <c r="U32">
        <v>27</v>
      </c>
      <c r="V32">
        <f t="shared" si="1"/>
        <v>152</v>
      </c>
      <c r="X32">
        <f t="shared" si="2"/>
        <v>0.26988324109784401</v>
      </c>
      <c r="Y32">
        <f t="shared" si="20"/>
        <v>0.5592925702975009</v>
      </c>
      <c r="Z32">
        <f t="shared" si="21"/>
        <v>-0.37529954381733432</v>
      </c>
      <c r="AA32">
        <f t="shared" si="22"/>
        <v>-1.7542635476658575E-2</v>
      </c>
      <c r="AB32">
        <f t="shared" si="3"/>
        <v>-7.1900405682640667E-2</v>
      </c>
      <c r="AC32">
        <f t="shared" si="4"/>
        <v>-1.7311495037205304E-2</v>
      </c>
      <c r="AD32">
        <f t="shared" si="5"/>
        <v>0.23904235946157826</v>
      </c>
      <c r="AE32">
        <f t="shared" si="6"/>
        <v>1.0473882295362245</v>
      </c>
      <c r="AF32">
        <f t="shared" si="7"/>
        <v>0.23295451385220645</v>
      </c>
      <c r="AG32">
        <f t="shared" si="8"/>
        <v>-9.1642139244350052E-3</v>
      </c>
      <c r="AH32">
        <f t="shared" si="9"/>
        <v>4.3067026107222972</v>
      </c>
      <c r="AI32">
        <f t="shared" si="10"/>
        <v>-0.2465981641452446</v>
      </c>
      <c r="AJ32">
        <f t="shared" si="11"/>
        <v>-4.420202475904389E-2</v>
      </c>
      <c r="AK32">
        <f t="shared" si="12"/>
        <v>2.9440755759576699E-2</v>
      </c>
      <c r="AL32">
        <f t="shared" si="13"/>
        <v>5</v>
      </c>
      <c r="AM32">
        <f t="shared" si="14"/>
        <v>-3</v>
      </c>
      <c r="AN32">
        <f t="shared" si="15"/>
        <v>1</v>
      </c>
      <c r="AO32">
        <f t="shared" si="16"/>
        <v>-2</v>
      </c>
      <c r="AP32">
        <f t="shared" si="17"/>
        <v>0</v>
      </c>
      <c r="AQ32">
        <f t="shared" si="18"/>
        <v>-1</v>
      </c>
      <c r="AR32">
        <f t="shared" si="19"/>
        <v>-3</v>
      </c>
    </row>
    <row r="33" spans="1:44" x14ac:dyDescent="0.25">
      <c r="A33" s="14">
        <v>38168</v>
      </c>
      <c r="B33">
        <v>76.35914331720403</v>
      </c>
      <c r="C33">
        <v>68.631855809508735</v>
      </c>
      <c r="D33">
        <v>102.877321258834</v>
      </c>
      <c r="E33">
        <v>67.638280882704308</v>
      </c>
      <c r="F33">
        <v>70.476850084807339</v>
      </c>
      <c r="G33">
        <v>81.287191131295103</v>
      </c>
      <c r="H33">
        <v>50.250960584307229</v>
      </c>
      <c r="I33">
        <v>52.490029578442538</v>
      </c>
      <c r="J33">
        <v>76.418239016262504</v>
      </c>
      <c r="K33">
        <v>0.61216051574775598</v>
      </c>
      <c r="L33">
        <v>102.354193846154</v>
      </c>
      <c r="M33" s="15">
        <f>+'[3]VAR expectations'!C57</f>
        <v>2.2219944984907083</v>
      </c>
      <c r="N33">
        <v>0.31536003264232498</v>
      </c>
      <c r="O33">
        <v>0.198013254587315</v>
      </c>
      <c r="P33">
        <v>329</v>
      </c>
      <c r="Q33">
        <v>52</v>
      </c>
      <c r="R33">
        <v>467</v>
      </c>
      <c r="S33">
        <v>106</v>
      </c>
      <c r="T33">
        <v>19</v>
      </c>
      <c r="U33">
        <v>27</v>
      </c>
      <c r="V33">
        <f t="shared" si="1"/>
        <v>152</v>
      </c>
      <c r="X33">
        <f t="shared" si="2"/>
        <v>0.15887033429825692</v>
      </c>
      <c r="Y33">
        <f t="shared" si="20"/>
        <v>0.52559051905420517</v>
      </c>
      <c r="Z33">
        <f t="shared" si="21"/>
        <v>-0.75223046650067715</v>
      </c>
      <c r="AA33">
        <f t="shared" si="22"/>
        <v>-6.3452119070390722E-2</v>
      </c>
      <c r="AB33">
        <f t="shared" si="3"/>
        <v>-0.20377315538630114</v>
      </c>
      <c r="AC33">
        <f t="shared" si="4"/>
        <v>-8.5700092615354606E-2</v>
      </c>
      <c r="AD33">
        <f t="shared" si="5"/>
        <v>0.57315841153565827</v>
      </c>
      <c r="AE33">
        <f t="shared" si="6"/>
        <v>0.98594530645057432</v>
      </c>
      <c r="AF33">
        <f t="shared" si="7"/>
        <v>0.25855865175360293</v>
      </c>
      <c r="AG33">
        <f t="shared" si="8"/>
        <v>-4.721928582215984E-3</v>
      </c>
      <c r="AH33">
        <f t="shared" si="9"/>
        <v>0.78342153846200802</v>
      </c>
      <c r="AI33">
        <f t="shared" si="10"/>
        <v>-0.31510293761064156</v>
      </c>
      <c r="AJ33">
        <f t="shared" si="11"/>
        <v>0.23143675915112788</v>
      </c>
      <c r="AK33">
        <f t="shared" si="12"/>
        <v>0.12750582306179559</v>
      </c>
      <c r="AL33">
        <f t="shared" si="13"/>
        <v>0</v>
      </c>
      <c r="AM33">
        <f t="shared" si="14"/>
        <v>0</v>
      </c>
      <c r="AN33">
        <f t="shared" si="15"/>
        <v>0</v>
      </c>
      <c r="AO33">
        <f t="shared" si="16"/>
        <v>0</v>
      </c>
      <c r="AP33">
        <f t="shared" si="17"/>
        <v>0</v>
      </c>
      <c r="AQ33">
        <f t="shared" si="18"/>
        <v>0</v>
      </c>
      <c r="AR33">
        <f t="shared" si="19"/>
        <v>0</v>
      </c>
    </row>
    <row r="34" spans="1:44" x14ac:dyDescent="0.25">
      <c r="A34" s="14">
        <v>38260</v>
      </c>
      <c r="B34">
        <v>76.562231444892205</v>
      </c>
      <c r="C34">
        <v>69.203743095995534</v>
      </c>
      <c r="D34">
        <v>102.210003687398</v>
      </c>
      <c r="E34">
        <v>67.646192048084202</v>
      </c>
      <c r="F34">
        <v>70.117000340503537</v>
      </c>
      <c r="G34">
        <v>81.074507639907196</v>
      </c>
      <c r="H34">
        <v>50.981515782794624</v>
      </c>
      <c r="I34">
        <v>53.359156399593196</v>
      </c>
      <c r="J34">
        <v>76.596013420986793</v>
      </c>
      <c r="K34">
        <v>0.61479560780718101</v>
      </c>
      <c r="L34">
        <v>102.09841969697</v>
      </c>
      <c r="M34" s="15">
        <f>+'[3]VAR expectations'!C58</f>
        <v>2.3621300730309192</v>
      </c>
      <c r="N34">
        <v>0.36869653428947002</v>
      </c>
      <c r="O34">
        <v>5.6970751238223802E-2</v>
      </c>
      <c r="P34">
        <v>329</v>
      </c>
      <c r="Q34">
        <v>52</v>
      </c>
      <c r="R34">
        <v>467</v>
      </c>
      <c r="S34">
        <v>106</v>
      </c>
      <c r="T34">
        <v>19</v>
      </c>
      <c r="U34">
        <v>27</v>
      </c>
      <c r="V34">
        <f t="shared" si="1"/>
        <v>152</v>
      </c>
      <c r="X34">
        <f t="shared" si="2"/>
        <v>0.20308812768817575</v>
      </c>
      <c r="Y34">
        <f t="shared" si="20"/>
        <v>0.57188728648679898</v>
      </c>
      <c r="Z34">
        <f t="shared" si="21"/>
        <v>-0.66731757143600134</v>
      </c>
      <c r="AA34">
        <f t="shared" si="22"/>
        <v>7.9111653798946691E-3</v>
      </c>
      <c r="AB34">
        <f t="shared" si="3"/>
        <v>-0.35984974430380134</v>
      </c>
      <c r="AC34">
        <f t="shared" si="4"/>
        <v>-0.21268349138790654</v>
      </c>
      <c r="AD34">
        <f t="shared" si="5"/>
        <v>0.73055519848739436</v>
      </c>
      <c r="AE34">
        <f t="shared" si="6"/>
        <v>0.8691268211506582</v>
      </c>
      <c r="AF34">
        <f t="shared" si="7"/>
        <v>0.17777440472428907</v>
      </c>
      <c r="AG34">
        <f t="shared" si="8"/>
        <v>2.635092059425026E-3</v>
      </c>
      <c r="AH34">
        <f t="shared" si="9"/>
        <v>-0.25577414918400621</v>
      </c>
      <c r="AI34">
        <f t="shared" si="10"/>
        <v>-0.25632538856396536</v>
      </c>
      <c r="AJ34">
        <f t="shared" si="11"/>
        <v>5.333650164714504E-2</v>
      </c>
      <c r="AK34">
        <f t="shared" si="12"/>
        <v>-0.14104250334909119</v>
      </c>
      <c r="AL34">
        <f t="shared" si="13"/>
        <v>0</v>
      </c>
      <c r="AM34">
        <f t="shared" si="14"/>
        <v>0</v>
      </c>
      <c r="AN34">
        <f t="shared" si="15"/>
        <v>0</v>
      </c>
      <c r="AO34">
        <f t="shared" si="16"/>
        <v>0</v>
      </c>
      <c r="AP34">
        <f t="shared" si="17"/>
        <v>0</v>
      </c>
      <c r="AQ34">
        <f t="shared" si="18"/>
        <v>0</v>
      </c>
      <c r="AR34">
        <f t="shared" si="19"/>
        <v>0</v>
      </c>
    </row>
    <row r="35" spans="1:44" x14ac:dyDescent="0.25">
      <c r="A35" s="14">
        <v>38352</v>
      </c>
      <c r="B35">
        <v>77.024679842319401</v>
      </c>
      <c r="C35">
        <v>69.904808946467725</v>
      </c>
      <c r="D35">
        <v>101.65395874629166</v>
      </c>
      <c r="E35">
        <v>67.923169332980237</v>
      </c>
      <c r="F35">
        <v>70.398557799152996</v>
      </c>
      <c r="G35">
        <v>81.151471150211634</v>
      </c>
      <c r="H35">
        <v>51.389293344833</v>
      </c>
      <c r="I35">
        <v>55.645647717141969</v>
      </c>
      <c r="J35">
        <v>77.015340908716695</v>
      </c>
      <c r="K35">
        <v>0.62484171870294902</v>
      </c>
      <c r="L35">
        <v>100.312145454545</v>
      </c>
      <c r="M35" s="15">
        <f>+'[3]VAR expectations'!C59</f>
        <v>2.1718892232885554</v>
      </c>
      <c r="N35">
        <v>0.52821538705181603</v>
      </c>
      <c r="O35">
        <v>0.200185341433055</v>
      </c>
      <c r="P35">
        <v>329</v>
      </c>
      <c r="Q35">
        <v>52</v>
      </c>
      <c r="R35">
        <v>467</v>
      </c>
      <c r="S35">
        <v>106</v>
      </c>
      <c r="T35">
        <v>19</v>
      </c>
      <c r="U35">
        <v>27</v>
      </c>
      <c r="V35">
        <f t="shared" si="1"/>
        <v>152</v>
      </c>
      <c r="X35">
        <f t="shared" si="2"/>
        <v>0.46244839742719535</v>
      </c>
      <c r="Y35">
        <f t="shared" si="20"/>
        <v>0.70106585047219028</v>
      </c>
      <c r="Z35">
        <f t="shared" si="21"/>
        <v>-0.55604494110633595</v>
      </c>
      <c r="AA35">
        <f t="shared" si="22"/>
        <v>0.27697728489603435</v>
      </c>
      <c r="AB35">
        <f t="shared" si="3"/>
        <v>0.28155745864945914</v>
      </c>
      <c r="AC35">
        <f t="shared" si="4"/>
        <v>7.6963510304437932E-2</v>
      </c>
      <c r="AD35">
        <f t="shared" si="5"/>
        <v>0.40777756203837612</v>
      </c>
      <c r="AE35">
        <f t="shared" si="6"/>
        <v>2.2864913175487729</v>
      </c>
      <c r="AF35">
        <f t="shared" si="7"/>
        <v>0.4193274877299018</v>
      </c>
      <c r="AG35">
        <f t="shared" si="8"/>
        <v>1.0046110895768012E-2</v>
      </c>
      <c r="AH35">
        <f t="shared" si="9"/>
        <v>-1.7862742424249944</v>
      </c>
      <c r="AI35">
        <f t="shared" si="10"/>
        <v>-0.40495517102843692</v>
      </c>
      <c r="AJ35">
        <f t="shared" si="11"/>
        <v>0.15951885276234601</v>
      </c>
      <c r="AK35">
        <f t="shared" si="12"/>
        <v>0.14321459019483118</v>
      </c>
      <c r="AL35">
        <f t="shared" si="13"/>
        <v>0</v>
      </c>
      <c r="AM35">
        <f t="shared" si="14"/>
        <v>0</v>
      </c>
      <c r="AN35">
        <f t="shared" si="15"/>
        <v>0</v>
      </c>
      <c r="AO35">
        <f t="shared" si="16"/>
        <v>0</v>
      </c>
      <c r="AP35">
        <f t="shared" si="17"/>
        <v>0</v>
      </c>
      <c r="AQ35">
        <f t="shared" si="18"/>
        <v>0</v>
      </c>
      <c r="AR35">
        <f t="shared" si="19"/>
        <v>0</v>
      </c>
    </row>
    <row r="36" spans="1:44" x14ac:dyDescent="0.25">
      <c r="A36" s="14">
        <v>38442</v>
      </c>
      <c r="B36">
        <v>77.519231176107169</v>
      </c>
      <c r="C36">
        <v>70.711753851160836</v>
      </c>
      <c r="D36">
        <v>101.224550821802</v>
      </c>
      <c r="E36">
        <v>68.690840572994531</v>
      </c>
      <c r="F36">
        <v>71.390648871021142</v>
      </c>
      <c r="G36">
        <v>80.604662189294956</v>
      </c>
      <c r="H36">
        <v>52.1517551844384</v>
      </c>
      <c r="I36">
        <v>56.449023556288402</v>
      </c>
      <c r="J36">
        <v>77.473805083463901</v>
      </c>
      <c r="K36">
        <v>0.62789457821978201</v>
      </c>
      <c r="L36">
        <v>100.67795468750001</v>
      </c>
      <c r="M36" s="15">
        <f>+'[3]VAR expectations'!C60</f>
        <v>2.2636382290406152</v>
      </c>
      <c r="N36">
        <v>0.50065150605009701</v>
      </c>
      <c r="O36">
        <v>4.8524115231025303E-2</v>
      </c>
      <c r="P36">
        <v>329</v>
      </c>
      <c r="Q36">
        <v>55</v>
      </c>
      <c r="R36">
        <v>464</v>
      </c>
      <c r="S36">
        <v>106</v>
      </c>
      <c r="T36">
        <v>20</v>
      </c>
      <c r="U36">
        <v>26</v>
      </c>
      <c r="V36">
        <f t="shared" si="1"/>
        <v>152</v>
      </c>
      <c r="X36">
        <f t="shared" si="2"/>
        <v>0.4945513337877685</v>
      </c>
      <c r="Y36">
        <f t="shared" si="20"/>
        <v>0.8069449046931112</v>
      </c>
      <c r="Z36">
        <f t="shared" si="21"/>
        <v>-0.42940792448966647</v>
      </c>
      <c r="AA36">
        <f t="shared" si="22"/>
        <v>0.76767124001429465</v>
      </c>
      <c r="AB36">
        <f t="shared" si="3"/>
        <v>0.99209107186814549</v>
      </c>
      <c r="AC36">
        <f t="shared" si="4"/>
        <v>-0.54680896091667819</v>
      </c>
      <c r="AD36">
        <f t="shared" si="5"/>
        <v>0.76246183960540037</v>
      </c>
      <c r="AE36">
        <f t="shared" si="6"/>
        <v>0.80337583914643318</v>
      </c>
      <c r="AF36">
        <f t="shared" si="7"/>
        <v>0.45846417474720624</v>
      </c>
      <c r="AG36">
        <f t="shared" si="8"/>
        <v>3.0528595168329842E-3</v>
      </c>
      <c r="AH36">
        <f t="shared" si="9"/>
        <v>0.36580923295500156</v>
      </c>
      <c r="AI36">
        <f t="shared" si="10"/>
        <v>-0.1418566341259857</v>
      </c>
      <c r="AJ36">
        <f t="shared" si="11"/>
        <v>-2.7563881001719026E-2</v>
      </c>
      <c r="AK36">
        <f t="shared" si="12"/>
        <v>-0.15166122620202971</v>
      </c>
      <c r="AL36">
        <f t="shared" si="13"/>
        <v>0</v>
      </c>
      <c r="AM36">
        <f t="shared" si="14"/>
        <v>3</v>
      </c>
      <c r="AN36">
        <f t="shared" si="15"/>
        <v>-3</v>
      </c>
      <c r="AO36">
        <f t="shared" si="16"/>
        <v>0</v>
      </c>
      <c r="AP36">
        <f t="shared" si="17"/>
        <v>1</v>
      </c>
      <c r="AQ36">
        <f t="shared" si="18"/>
        <v>-1</v>
      </c>
      <c r="AR36">
        <f t="shared" si="19"/>
        <v>0</v>
      </c>
    </row>
    <row r="37" spans="1:44" x14ac:dyDescent="0.25">
      <c r="A37" s="14">
        <v>38533</v>
      </c>
      <c r="B37">
        <v>77.860319039965134</v>
      </c>
      <c r="C37">
        <v>71.482542510630239</v>
      </c>
      <c r="D37">
        <v>100.61472786661368</v>
      </c>
      <c r="E37">
        <v>68.823685139220927</v>
      </c>
      <c r="F37">
        <v>71.584679044364876</v>
      </c>
      <c r="G37">
        <v>80.155897015147175</v>
      </c>
      <c r="H37">
        <v>52.541890037276467</v>
      </c>
      <c r="I37">
        <v>57.440858337591798</v>
      </c>
      <c r="J37">
        <v>77.926612974031798</v>
      </c>
      <c r="K37">
        <v>0.62404102684160401</v>
      </c>
      <c r="L37">
        <v>101.57767076923101</v>
      </c>
      <c r="M37" s="15">
        <f>+'[3]VAR expectations'!C61</f>
        <v>2.420078349479549</v>
      </c>
      <c r="N37">
        <v>0.50804321100112604</v>
      </c>
      <c r="O37">
        <v>0.204065629477542</v>
      </c>
      <c r="P37">
        <v>329</v>
      </c>
      <c r="Q37">
        <v>55</v>
      </c>
      <c r="R37">
        <v>464</v>
      </c>
      <c r="S37">
        <v>106</v>
      </c>
      <c r="T37">
        <v>20</v>
      </c>
      <c r="U37">
        <v>26</v>
      </c>
      <c r="V37">
        <f t="shared" si="1"/>
        <v>152</v>
      </c>
      <c r="X37">
        <f t="shared" si="2"/>
        <v>0.34108786385796463</v>
      </c>
      <c r="Y37">
        <f t="shared" si="20"/>
        <v>0.77078865946940311</v>
      </c>
      <c r="Z37">
        <f t="shared" si="21"/>
        <v>-0.60982295518832075</v>
      </c>
      <c r="AA37">
        <f t="shared" si="22"/>
        <v>0.13284456622639595</v>
      </c>
      <c r="AB37">
        <f t="shared" si="3"/>
        <v>0.19403017334373374</v>
      </c>
      <c r="AC37">
        <f t="shared" si="4"/>
        <v>-0.4487651741477805</v>
      </c>
      <c r="AD37">
        <f t="shared" si="5"/>
        <v>0.39013485283806659</v>
      </c>
      <c r="AE37">
        <f t="shared" si="6"/>
        <v>0.99183478130339608</v>
      </c>
      <c r="AF37">
        <f t="shared" si="7"/>
        <v>0.45280789056789672</v>
      </c>
      <c r="AG37">
        <f t="shared" si="8"/>
        <v>-3.8535513781779995E-3</v>
      </c>
      <c r="AH37">
        <f t="shared" si="9"/>
        <v>0.89971608173100037</v>
      </c>
      <c r="AI37">
        <f t="shared" si="10"/>
        <v>2.9759784829155755E-2</v>
      </c>
      <c r="AJ37">
        <f t="shared" si="11"/>
        <v>7.3917049510290322E-3</v>
      </c>
      <c r="AK37">
        <f t="shared" si="12"/>
        <v>0.15554151424651669</v>
      </c>
      <c r="AL37">
        <f t="shared" si="13"/>
        <v>0</v>
      </c>
      <c r="AM37">
        <f t="shared" si="14"/>
        <v>0</v>
      </c>
      <c r="AN37">
        <f t="shared" si="15"/>
        <v>0</v>
      </c>
      <c r="AO37">
        <f t="shared" si="16"/>
        <v>0</v>
      </c>
      <c r="AP37">
        <f t="shared" si="17"/>
        <v>0</v>
      </c>
      <c r="AQ37">
        <f t="shared" si="18"/>
        <v>0</v>
      </c>
      <c r="AR37">
        <f t="shared" si="19"/>
        <v>0</v>
      </c>
    </row>
    <row r="38" spans="1:44" x14ac:dyDescent="0.25">
      <c r="A38" s="14">
        <v>38625</v>
      </c>
      <c r="B38">
        <v>78.392641647215498</v>
      </c>
      <c r="C38">
        <v>72.329300982486799</v>
      </c>
      <c r="D38">
        <v>100.07117850201189</v>
      </c>
      <c r="E38">
        <v>68.937238070698058</v>
      </c>
      <c r="F38">
        <v>71.487850246053981</v>
      </c>
      <c r="G38">
        <v>80.839757344550961</v>
      </c>
      <c r="H38">
        <v>52.691778596856601</v>
      </c>
      <c r="I38">
        <v>60.297134294160365</v>
      </c>
      <c r="J38">
        <v>78.429892117686506</v>
      </c>
      <c r="K38">
        <v>0.64005400942808899</v>
      </c>
      <c r="L38">
        <v>99.734880303030295</v>
      </c>
      <c r="M38" s="15">
        <f>+'[3]VAR expectations'!C62</f>
        <v>2.3348466240519783</v>
      </c>
      <c r="N38">
        <v>0.70017615103754105</v>
      </c>
      <c r="O38">
        <v>0.242344274322987</v>
      </c>
      <c r="P38">
        <v>329</v>
      </c>
      <c r="Q38">
        <v>55</v>
      </c>
      <c r="R38">
        <v>464</v>
      </c>
      <c r="S38">
        <v>106</v>
      </c>
      <c r="T38">
        <v>20</v>
      </c>
      <c r="U38">
        <v>26</v>
      </c>
      <c r="V38">
        <f t="shared" si="1"/>
        <v>152</v>
      </c>
      <c r="X38">
        <f t="shared" si="2"/>
        <v>0.5323226072503644</v>
      </c>
      <c r="Y38">
        <f t="shared" si="20"/>
        <v>0.84675847185656039</v>
      </c>
      <c r="Z38">
        <f t="shared" si="21"/>
        <v>-0.54354936460178749</v>
      </c>
      <c r="AA38">
        <f t="shared" si="22"/>
        <v>0.11355293147713041</v>
      </c>
      <c r="AB38">
        <f t="shared" si="3"/>
        <v>-9.6828798310895081E-2</v>
      </c>
      <c r="AC38">
        <f t="shared" si="4"/>
        <v>0.68386032940378527</v>
      </c>
      <c r="AD38">
        <f t="shared" si="5"/>
        <v>0.14988855958013403</v>
      </c>
      <c r="AE38">
        <f t="shared" si="6"/>
        <v>2.8562759565685667</v>
      </c>
      <c r="AF38">
        <f t="shared" si="7"/>
        <v>0.50327914365470861</v>
      </c>
      <c r="AG38">
        <f t="shared" si="8"/>
        <v>1.6012982586484981E-2</v>
      </c>
      <c r="AH38">
        <f t="shared" si="9"/>
        <v>-1.8427904662007109</v>
      </c>
      <c r="AI38">
        <f t="shared" si="10"/>
        <v>7.2653005697854933E-2</v>
      </c>
      <c r="AJ38">
        <f t="shared" si="11"/>
        <v>0.19213294003641501</v>
      </c>
      <c r="AK38">
        <f t="shared" si="12"/>
        <v>3.8278644845444992E-2</v>
      </c>
      <c r="AL38">
        <f t="shared" si="13"/>
        <v>0</v>
      </c>
      <c r="AM38">
        <f t="shared" si="14"/>
        <v>0</v>
      </c>
      <c r="AN38">
        <f t="shared" si="15"/>
        <v>0</v>
      </c>
      <c r="AO38">
        <f t="shared" si="16"/>
        <v>0</v>
      </c>
      <c r="AP38">
        <f t="shared" si="17"/>
        <v>0</v>
      </c>
      <c r="AQ38">
        <f t="shared" si="18"/>
        <v>0</v>
      </c>
      <c r="AR38">
        <f t="shared" si="19"/>
        <v>0</v>
      </c>
    </row>
    <row r="39" spans="1:44" x14ac:dyDescent="0.25">
      <c r="A39" s="14">
        <v>38717</v>
      </c>
      <c r="B39">
        <v>78.6650109310023</v>
      </c>
      <c r="C39">
        <v>72.76231699168676</v>
      </c>
      <c r="D39">
        <v>99.588196020431226</v>
      </c>
      <c r="E39">
        <v>69.148767012309762</v>
      </c>
      <c r="F39">
        <v>71.487766538913363</v>
      </c>
      <c r="G39">
        <v>80.757559259722939</v>
      </c>
      <c r="H39">
        <v>53.78196520630194</v>
      </c>
      <c r="I39">
        <v>62.2130789827755</v>
      </c>
      <c r="J39">
        <v>78.650455282462801</v>
      </c>
      <c r="K39">
        <v>0.64257239123518295</v>
      </c>
      <c r="L39">
        <v>99.510515384615402</v>
      </c>
      <c r="M39" s="15">
        <f>+'[3]VAR expectations'!C63</f>
        <v>2.329046618617225</v>
      </c>
      <c r="N39">
        <v>0.64873933629690095</v>
      </c>
      <c r="O39">
        <v>0.150036034492979</v>
      </c>
      <c r="P39">
        <v>329</v>
      </c>
      <c r="Q39">
        <v>55</v>
      </c>
      <c r="R39">
        <v>464</v>
      </c>
      <c r="S39">
        <v>106</v>
      </c>
      <c r="T39">
        <v>20</v>
      </c>
      <c r="U39">
        <v>26</v>
      </c>
      <c r="V39">
        <f t="shared" si="1"/>
        <v>152</v>
      </c>
      <c r="X39">
        <f t="shared" si="2"/>
        <v>0.27236928378680147</v>
      </c>
      <c r="Y39">
        <f t="shared" si="20"/>
        <v>0.43301600919996019</v>
      </c>
      <c r="Z39">
        <f t="shared" si="21"/>
        <v>-0.48298248158066315</v>
      </c>
      <c r="AA39">
        <f t="shared" si="22"/>
        <v>0.21152894161170366</v>
      </c>
      <c r="AB39">
        <f t="shared" si="3"/>
        <v>-8.3707140618116682E-5</v>
      </c>
      <c r="AC39">
        <f t="shared" si="4"/>
        <v>-8.2198084828021933E-2</v>
      </c>
      <c r="AD39">
        <f t="shared" si="5"/>
        <v>1.0901866094453396</v>
      </c>
      <c r="AE39">
        <f t="shared" si="6"/>
        <v>1.9159446886151343</v>
      </c>
      <c r="AF39">
        <f t="shared" si="7"/>
        <v>0.22056316477629423</v>
      </c>
      <c r="AG39">
        <f t="shared" si="8"/>
        <v>2.5183818070939612E-3</v>
      </c>
      <c r="AH39">
        <f t="shared" si="9"/>
        <v>-0.22436491841489214</v>
      </c>
      <c r="AI39">
        <f t="shared" si="10"/>
        <v>5.2893021621821745E-2</v>
      </c>
      <c r="AJ39">
        <f t="shared" si="11"/>
        <v>-5.1436814740640102E-2</v>
      </c>
      <c r="AK39">
        <f t="shared" si="12"/>
        <v>-9.2308239830007993E-2</v>
      </c>
      <c r="AL39">
        <f t="shared" si="13"/>
        <v>0</v>
      </c>
      <c r="AM39">
        <f t="shared" si="14"/>
        <v>0</v>
      </c>
      <c r="AN39">
        <f t="shared" si="15"/>
        <v>0</v>
      </c>
      <c r="AO39">
        <f t="shared" si="16"/>
        <v>0</v>
      </c>
      <c r="AP39">
        <f t="shared" si="17"/>
        <v>0</v>
      </c>
      <c r="AQ39">
        <f t="shared" si="18"/>
        <v>0</v>
      </c>
      <c r="AR39">
        <f t="shared" si="19"/>
        <v>0</v>
      </c>
    </row>
    <row r="40" spans="1:44" x14ac:dyDescent="0.25">
      <c r="A40" s="14">
        <v>38807</v>
      </c>
      <c r="B40">
        <v>79.028056405096038</v>
      </c>
      <c r="C40">
        <v>73.385241780506931</v>
      </c>
      <c r="D40">
        <v>99.218511677460256</v>
      </c>
      <c r="E40">
        <v>69.456235720820999</v>
      </c>
      <c r="F40">
        <v>71.887123990551444</v>
      </c>
      <c r="G40">
        <v>80.784701223545497</v>
      </c>
      <c r="H40">
        <v>54.031494090685165</v>
      </c>
      <c r="I40">
        <v>63.507502811969232</v>
      </c>
      <c r="J40">
        <v>78.979694161115503</v>
      </c>
      <c r="K40">
        <v>0.652090387217511</v>
      </c>
      <c r="L40">
        <v>98.760283076923102</v>
      </c>
      <c r="M40" s="15">
        <f>+'[3]VAR expectations'!C64</f>
        <v>2.5421835321638784</v>
      </c>
      <c r="N40">
        <v>0.71062376825367302</v>
      </c>
      <c r="O40">
        <v>9.3912785774244806E-2</v>
      </c>
      <c r="P40">
        <v>341</v>
      </c>
      <c r="Q40">
        <v>67</v>
      </c>
      <c r="R40">
        <v>446</v>
      </c>
      <c r="S40">
        <v>102</v>
      </c>
      <c r="T40">
        <v>18</v>
      </c>
      <c r="U40">
        <v>26</v>
      </c>
      <c r="V40">
        <f t="shared" si="1"/>
        <v>146</v>
      </c>
      <c r="X40">
        <f t="shared" si="2"/>
        <v>0.36304547409373811</v>
      </c>
      <c r="Y40">
        <f t="shared" si="20"/>
        <v>0.62292478882017122</v>
      </c>
      <c r="Z40">
        <f t="shared" si="21"/>
        <v>-0.36968434297097019</v>
      </c>
      <c r="AA40">
        <f t="shared" si="22"/>
        <v>0.30746870851123731</v>
      </c>
      <c r="AB40">
        <f t="shared" si="3"/>
        <v>0.39935745163808178</v>
      </c>
      <c r="AC40">
        <f t="shared" si="4"/>
        <v>2.7141963822558068E-2</v>
      </c>
      <c r="AD40">
        <f t="shared" si="5"/>
        <v>0.24952888438322418</v>
      </c>
      <c r="AE40">
        <f t="shared" si="6"/>
        <v>1.2944238291937324</v>
      </c>
      <c r="AF40">
        <f t="shared" si="7"/>
        <v>0.32923887865270274</v>
      </c>
      <c r="AG40">
        <f t="shared" si="8"/>
        <v>9.5179959823280536E-3</v>
      </c>
      <c r="AH40">
        <f t="shared" si="9"/>
        <v>-0.75023230769230054</v>
      </c>
      <c r="AI40">
        <f t="shared" si="10"/>
        <v>0.20380751844655576</v>
      </c>
      <c r="AJ40">
        <f t="shared" si="11"/>
        <v>6.1884431956772068E-2</v>
      </c>
      <c r="AK40">
        <f t="shared" si="12"/>
        <v>-5.6123248718734198E-2</v>
      </c>
      <c r="AL40">
        <f t="shared" si="13"/>
        <v>12</v>
      </c>
      <c r="AM40">
        <f t="shared" si="14"/>
        <v>12</v>
      </c>
      <c r="AN40">
        <f t="shared" si="15"/>
        <v>-18</v>
      </c>
      <c r="AO40">
        <f t="shared" si="16"/>
        <v>-4</v>
      </c>
      <c r="AP40">
        <f t="shared" si="17"/>
        <v>-2</v>
      </c>
      <c r="AQ40">
        <f t="shared" si="18"/>
        <v>0</v>
      </c>
      <c r="AR40">
        <f t="shared" si="19"/>
        <v>-6</v>
      </c>
    </row>
    <row r="41" spans="1:44" x14ac:dyDescent="0.25">
      <c r="A41" s="14">
        <v>38898</v>
      </c>
      <c r="B41">
        <v>79.616100225425328</v>
      </c>
      <c r="C41">
        <v>74.005587617268034</v>
      </c>
      <c r="D41">
        <v>98.648450712308275</v>
      </c>
      <c r="E41">
        <v>69.890091453383164</v>
      </c>
      <c r="F41">
        <v>72.381509189292998</v>
      </c>
      <c r="G41">
        <v>80.348361076617337</v>
      </c>
      <c r="H41">
        <v>54.731568788130495</v>
      </c>
      <c r="I41">
        <v>67.671668071312865</v>
      </c>
      <c r="J41">
        <v>79.688483811502905</v>
      </c>
      <c r="K41">
        <v>0.65617518075692405</v>
      </c>
      <c r="L41">
        <v>100.279141538462</v>
      </c>
      <c r="M41" s="15">
        <f>+'[3]VAR expectations'!C65</f>
        <v>2.3887461732171329</v>
      </c>
      <c r="N41">
        <v>1.0848462424740499</v>
      </c>
      <c r="O41">
        <v>0.58313714236387104</v>
      </c>
      <c r="P41">
        <v>341</v>
      </c>
      <c r="Q41">
        <v>67</v>
      </c>
      <c r="R41">
        <v>446</v>
      </c>
      <c r="S41">
        <v>102</v>
      </c>
      <c r="T41">
        <v>18</v>
      </c>
      <c r="U41">
        <v>26</v>
      </c>
      <c r="V41">
        <f t="shared" si="1"/>
        <v>146</v>
      </c>
      <c r="X41">
        <f t="shared" si="2"/>
        <v>0.5880438203292897</v>
      </c>
      <c r="Y41">
        <f t="shared" si="20"/>
        <v>0.62034583676110344</v>
      </c>
      <c r="Z41">
        <f t="shared" si="21"/>
        <v>-0.57006096515198124</v>
      </c>
      <c r="AA41">
        <f t="shared" si="22"/>
        <v>0.43385573256216503</v>
      </c>
      <c r="AB41">
        <f t="shared" si="3"/>
        <v>0.49438519874155418</v>
      </c>
      <c r="AC41">
        <f t="shared" si="4"/>
        <v>-0.43634014692815981</v>
      </c>
      <c r="AD41">
        <f t="shared" si="5"/>
        <v>0.70007469744533068</v>
      </c>
      <c r="AE41">
        <f t="shared" si="6"/>
        <v>4.1641652593436334</v>
      </c>
      <c r="AF41">
        <f t="shared" si="7"/>
        <v>0.70878965038740205</v>
      </c>
      <c r="AG41">
        <f t="shared" si="8"/>
        <v>4.0847935394130452E-3</v>
      </c>
      <c r="AH41">
        <f t="shared" si="9"/>
        <v>1.5188584615388976</v>
      </c>
      <c r="AI41">
        <f t="shared" si="10"/>
        <v>-7.7920493449514794E-2</v>
      </c>
      <c r="AJ41">
        <f t="shared" si="11"/>
        <v>0.37422247422037691</v>
      </c>
      <c r="AK41">
        <f t="shared" si="12"/>
        <v>0.48922435658962626</v>
      </c>
      <c r="AL41">
        <f t="shared" si="13"/>
        <v>0</v>
      </c>
      <c r="AM41">
        <f t="shared" si="14"/>
        <v>0</v>
      </c>
      <c r="AN41">
        <f t="shared" si="15"/>
        <v>0</v>
      </c>
      <c r="AO41">
        <f t="shared" si="16"/>
        <v>0</v>
      </c>
      <c r="AP41">
        <f t="shared" si="17"/>
        <v>0</v>
      </c>
      <c r="AQ41">
        <f t="shared" si="18"/>
        <v>0</v>
      </c>
      <c r="AR41">
        <f t="shared" si="19"/>
        <v>0</v>
      </c>
    </row>
    <row r="42" spans="1:44" x14ac:dyDescent="0.25">
      <c r="A42" s="14">
        <v>38990</v>
      </c>
      <c r="B42">
        <v>80.274543396524294</v>
      </c>
      <c r="C42">
        <v>74.554497667706627</v>
      </c>
      <c r="D42">
        <v>98.578686661604138</v>
      </c>
      <c r="E42">
        <v>71.285664208466599</v>
      </c>
      <c r="F42">
        <v>73.986476840642638</v>
      </c>
      <c r="G42">
        <v>80.810976586724337</v>
      </c>
      <c r="H42">
        <v>55.632163947862068</v>
      </c>
      <c r="I42">
        <v>70.050693769964226</v>
      </c>
      <c r="J42">
        <v>80.3140859444444</v>
      </c>
      <c r="K42">
        <v>0.65104403115045795</v>
      </c>
      <c r="L42">
        <v>102.332647692308</v>
      </c>
      <c r="M42" s="15">
        <f>+'[3]VAR expectations'!C66</f>
        <v>2.197575219813666</v>
      </c>
      <c r="N42">
        <v>1.0480109248003999</v>
      </c>
      <c r="O42">
        <v>0.20579069700496899</v>
      </c>
      <c r="P42">
        <v>341</v>
      </c>
      <c r="Q42">
        <v>67</v>
      </c>
      <c r="R42">
        <v>446</v>
      </c>
      <c r="S42">
        <v>102</v>
      </c>
      <c r="T42">
        <v>18</v>
      </c>
      <c r="U42">
        <v>26</v>
      </c>
      <c r="V42">
        <f t="shared" si="1"/>
        <v>146</v>
      </c>
      <c r="X42">
        <f t="shared" si="2"/>
        <v>0.65844317109896622</v>
      </c>
      <c r="Y42">
        <f t="shared" si="20"/>
        <v>0.54891005043859309</v>
      </c>
      <c r="Z42">
        <f t="shared" si="21"/>
        <v>-6.9764050704137048E-2</v>
      </c>
      <c r="AA42">
        <f t="shared" si="22"/>
        <v>1.3955727550834354</v>
      </c>
      <c r="AB42">
        <f t="shared" si="3"/>
        <v>1.6049676513496394</v>
      </c>
      <c r="AC42">
        <f t="shared" si="4"/>
        <v>0.46261551010699975</v>
      </c>
      <c r="AD42">
        <f t="shared" si="5"/>
        <v>0.90059515973157289</v>
      </c>
      <c r="AE42">
        <f t="shared" si="6"/>
        <v>2.3790256986513612</v>
      </c>
      <c r="AF42">
        <f t="shared" si="7"/>
        <v>0.62560213294149492</v>
      </c>
      <c r="AG42">
        <f t="shared" si="8"/>
        <v>-5.1311496064661011E-3</v>
      </c>
      <c r="AH42">
        <f t="shared" si="9"/>
        <v>2.0535061538460013</v>
      </c>
      <c r="AI42">
        <f t="shared" si="10"/>
        <v>-0.20242478018634635</v>
      </c>
      <c r="AJ42">
        <f t="shared" si="11"/>
        <v>-3.6835317673650003E-2</v>
      </c>
      <c r="AK42">
        <f t="shared" si="12"/>
        <v>-0.37734644535890205</v>
      </c>
      <c r="AL42">
        <f t="shared" si="13"/>
        <v>0</v>
      </c>
      <c r="AM42">
        <f t="shared" si="14"/>
        <v>0</v>
      </c>
      <c r="AN42">
        <f t="shared" si="15"/>
        <v>0</v>
      </c>
      <c r="AO42">
        <f t="shared" si="16"/>
        <v>0</v>
      </c>
      <c r="AP42">
        <f t="shared" si="17"/>
        <v>0</v>
      </c>
      <c r="AQ42">
        <f t="shared" si="18"/>
        <v>0</v>
      </c>
      <c r="AR42">
        <f t="shared" si="19"/>
        <v>0</v>
      </c>
    </row>
    <row r="43" spans="1:44" x14ac:dyDescent="0.25">
      <c r="A43" s="14">
        <v>39082</v>
      </c>
      <c r="B43">
        <v>80.800427132545607</v>
      </c>
      <c r="C43">
        <v>75.456551080588838</v>
      </c>
      <c r="D43">
        <v>98.55851182358596</v>
      </c>
      <c r="E43">
        <v>72.05791184393081</v>
      </c>
      <c r="F43">
        <v>74.869558595355159</v>
      </c>
      <c r="G43">
        <v>81.596469153893167</v>
      </c>
      <c r="H43">
        <v>56.187332522586701</v>
      </c>
      <c r="I43">
        <v>69.842554979972434</v>
      </c>
      <c r="J43">
        <v>80.7676039528492</v>
      </c>
      <c r="K43">
        <v>0.64418906925003505</v>
      </c>
      <c r="L43">
        <v>103.713430769231</v>
      </c>
      <c r="M43" s="15">
        <f>+'[3]VAR expectations'!C67</f>
        <v>2.507260502799705</v>
      </c>
      <c r="N43">
        <v>0.81313574028850799</v>
      </c>
      <c r="O43">
        <v>-8.0932616320032805E-2</v>
      </c>
      <c r="P43">
        <v>341</v>
      </c>
      <c r="Q43">
        <v>67</v>
      </c>
      <c r="R43">
        <v>446</v>
      </c>
      <c r="S43">
        <v>102</v>
      </c>
      <c r="T43">
        <v>18</v>
      </c>
      <c r="U43">
        <v>26</v>
      </c>
      <c r="V43">
        <f t="shared" si="1"/>
        <v>146</v>
      </c>
      <c r="X43">
        <f t="shared" si="2"/>
        <v>0.52588373602131355</v>
      </c>
      <c r="Y43">
        <f t="shared" si="20"/>
        <v>0.90205341288221064</v>
      </c>
      <c r="Z43">
        <f t="shared" si="21"/>
        <v>-2.017483801817832E-2</v>
      </c>
      <c r="AA43">
        <f t="shared" si="22"/>
        <v>0.77224763546421116</v>
      </c>
      <c r="AB43">
        <f t="shared" si="3"/>
        <v>0.88308175471252071</v>
      </c>
      <c r="AC43">
        <f t="shared" si="4"/>
        <v>0.78549256716883065</v>
      </c>
      <c r="AD43">
        <f t="shared" si="5"/>
        <v>0.55516857472463244</v>
      </c>
      <c r="AE43">
        <f t="shared" si="6"/>
        <v>-0.20813878999179281</v>
      </c>
      <c r="AF43">
        <f t="shared" si="7"/>
        <v>0.45351800840479939</v>
      </c>
      <c r="AG43">
        <f t="shared" si="8"/>
        <v>-6.8549619004228957E-3</v>
      </c>
      <c r="AH43">
        <f t="shared" si="9"/>
        <v>1.3807830769229952</v>
      </c>
      <c r="AI43">
        <f t="shared" si="10"/>
        <v>0.20726050279972075</v>
      </c>
      <c r="AJ43">
        <f t="shared" si="11"/>
        <v>-0.23487518451189193</v>
      </c>
      <c r="AK43">
        <f t="shared" si="12"/>
        <v>-0.28672331332500178</v>
      </c>
      <c r="AL43">
        <f t="shared" si="13"/>
        <v>0</v>
      </c>
      <c r="AM43">
        <f t="shared" si="14"/>
        <v>0</v>
      </c>
      <c r="AN43">
        <f t="shared" si="15"/>
        <v>0</v>
      </c>
      <c r="AO43">
        <f t="shared" si="16"/>
        <v>0</v>
      </c>
      <c r="AP43">
        <f t="shared" si="17"/>
        <v>0</v>
      </c>
      <c r="AQ43">
        <f t="shared" si="18"/>
        <v>0</v>
      </c>
      <c r="AR43">
        <f t="shared" si="19"/>
        <v>0</v>
      </c>
    </row>
    <row r="44" spans="1:44" x14ac:dyDescent="0.25">
      <c r="A44" s="14">
        <v>39172</v>
      </c>
      <c r="B44">
        <v>81.294136618175912</v>
      </c>
      <c r="C44">
        <v>76.094739715081161</v>
      </c>
      <c r="D44">
        <v>98.47129778946919</v>
      </c>
      <c r="E44">
        <v>72.551116044786497</v>
      </c>
      <c r="F44">
        <v>75.238861106674236</v>
      </c>
      <c r="G44">
        <v>81.666506596602034</v>
      </c>
      <c r="H44">
        <v>57.265354626060002</v>
      </c>
      <c r="I44">
        <v>71.130011789566865</v>
      </c>
      <c r="J44">
        <v>81.262667673769101</v>
      </c>
      <c r="K44">
        <v>0.63269312835008995</v>
      </c>
      <c r="L44">
        <v>104.730033846154</v>
      </c>
      <c r="M44" s="15">
        <f>+'[3]VAR expectations'!C68</f>
        <v>2.5370974361013499</v>
      </c>
      <c r="N44">
        <v>0.81545309377751096</v>
      </c>
      <c r="O44">
        <v>0.110154954327973</v>
      </c>
      <c r="P44">
        <v>326</v>
      </c>
      <c r="Q44">
        <v>75</v>
      </c>
      <c r="R44">
        <v>453</v>
      </c>
      <c r="S44">
        <v>103</v>
      </c>
      <c r="T44">
        <v>18</v>
      </c>
      <c r="U44">
        <v>25</v>
      </c>
      <c r="V44">
        <f t="shared" si="1"/>
        <v>146</v>
      </c>
      <c r="X44">
        <f t="shared" si="2"/>
        <v>0.49370948563030481</v>
      </c>
      <c r="Y44">
        <f t="shared" si="20"/>
        <v>0.6381886344923231</v>
      </c>
      <c r="Z44">
        <f t="shared" si="21"/>
        <v>-8.7214034116769312E-2</v>
      </c>
      <c r="AA44">
        <f t="shared" si="22"/>
        <v>0.49320420085568628</v>
      </c>
      <c r="AB44">
        <f t="shared" si="3"/>
        <v>0.3693025113190771</v>
      </c>
      <c r="AC44">
        <f t="shared" si="4"/>
        <v>7.0037442708866138E-2</v>
      </c>
      <c r="AD44">
        <f t="shared" si="5"/>
        <v>1.0780221034733017</v>
      </c>
      <c r="AE44">
        <f t="shared" si="6"/>
        <v>1.2874568095944312</v>
      </c>
      <c r="AF44">
        <f t="shared" si="7"/>
        <v>0.49506372091990158</v>
      </c>
      <c r="AG44">
        <f t="shared" si="8"/>
        <v>-1.1495940899945101E-2</v>
      </c>
      <c r="AH44">
        <f t="shared" si="9"/>
        <v>1.0166030769230048</v>
      </c>
      <c r="AI44">
        <f t="shared" si="10"/>
        <v>0.10376410276798653</v>
      </c>
      <c r="AJ44">
        <f t="shared" si="11"/>
        <v>2.3173534890029712E-3</v>
      </c>
      <c r="AK44">
        <f t="shared" si="12"/>
        <v>0.1910875706480058</v>
      </c>
      <c r="AL44">
        <f t="shared" si="13"/>
        <v>-15</v>
      </c>
      <c r="AM44">
        <f t="shared" si="14"/>
        <v>8</v>
      </c>
      <c r="AN44">
        <f t="shared" si="15"/>
        <v>7</v>
      </c>
      <c r="AO44">
        <f t="shared" si="16"/>
        <v>1</v>
      </c>
      <c r="AP44">
        <f t="shared" si="17"/>
        <v>0</v>
      </c>
      <c r="AQ44">
        <f t="shared" si="18"/>
        <v>-1</v>
      </c>
      <c r="AR44">
        <f t="shared" si="19"/>
        <v>0</v>
      </c>
    </row>
    <row r="45" spans="1:44" x14ac:dyDescent="0.25">
      <c r="A45" s="14">
        <v>39263</v>
      </c>
      <c r="B45">
        <v>81.649031387279209</v>
      </c>
      <c r="C45">
        <v>76.642439912560803</v>
      </c>
      <c r="D45">
        <v>98.272229618024468</v>
      </c>
      <c r="E45">
        <v>73.298449248593599</v>
      </c>
      <c r="F45">
        <v>76.216291536187541</v>
      </c>
      <c r="G45">
        <v>81.349848710347601</v>
      </c>
      <c r="H45">
        <v>57.844587255826099</v>
      </c>
      <c r="I45">
        <v>71.15515842146344</v>
      </c>
      <c r="J45">
        <v>81.726256142183999</v>
      </c>
      <c r="K45">
        <v>0.64008688386534296</v>
      </c>
      <c r="L45">
        <v>104.239373846154</v>
      </c>
      <c r="M45" s="15">
        <f>+'[3]VAR expectations'!C69</f>
        <v>2.6184554615948845</v>
      </c>
      <c r="N45">
        <v>0.37404988473768203</v>
      </c>
      <c r="O45">
        <v>0.14035169197522099</v>
      </c>
      <c r="P45">
        <v>326</v>
      </c>
      <c r="Q45">
        <v>75</v>
      </c>
      <c r="R45">
        <v>453</v>
      </c>
      <c r="S45">
        <v>103</v>
      </c>
      <c r="T45">
        <v>18</v>
      </c>
      <c r="U45">
        <v>25</v>
      </c>
      <c r="V45">
        <f t="shared" si="1"/>
        <v>146</v>
      </c>
      <c r="X45">
        <f t="shared" si="2"/>
        <v>0.35489476910329643</v>
      </c>
      <c r="Y45">
        <f t="shared" si="20"/>
        <v>0.54770019747964227</v>
      </c>
      <c r="Z45">
        <f t="shared" si="21"/>
        <v>-0.199068171444722</v>
      </c>
      <c r="AA45">
        <f t="shared" si="22"/>
        <v>0.74733320380710211</v>
      </c>
      <c r="AB45">
        <f t="shared" si="3"/>
        <v>0.97743042951330494</v>
      </c>
      <c r="AC45">
        <f t="shared" si="4"/>
        <v>-0.3166578862544327</v>
      </c>
      <c r="AD45">
        <f t="shared" si="5"/>
        <v>0.57923262976609635</v>
      </c>
      <c r="AE45">
        <f t="shared" si="6"/>
        <v>2.51466318965754E-2</v>
      </c>
      <c r="AF45">
        <f t="shared" si="7"/>
        <v>0.46358846841489765</v>
      </c>
      <c r="AG45">
        <f t="shared" si="8"/>
        <v>7.3937555152530088E-3</v>
      </c>
      <c r="AH45">
        <f t="shared" si="9"/>
        <v>-0.49066000000000543</v>
      </c>
      <c r="AI45">
        <f t="shared" si="10"/>
        <v>8.5122128261542418E-2</v>
      </c>
      <c r="AJ45">
        <f t="shared" si="11"/>
        <v>-0.44140320903982894</v>
      </c>
      <c r="AK45">
        <f t="shared" si="12"/>
        <v>3.0196737647247993E-2</v>
      </c>
      <c r="AL45">
        <f t="shared" si="13"/>
        <v>0</v>
      </c>
      <c r="AM45">
        <f t="shared" si="14"/>
        <v>0</v>
      </c>
      <c r="AN45">
        <f t="shared" si="15"/>
        <v>0</v>
      </c>
      <c r="AO45">
        <f t="shared" si="16"/>
        <v>0</v>
      </c>
      <c r="AP45">
        <f t="shared" si="17"/>
        <v>0</v>
      </c>
      <c r="AQ45">
        <f t="shared" si="18"/>
        <v>0</v>
      </c>
      <c r="AR45">
        <f t="shared" si="19"/>
        <v>0</v>
      </c>
    </row>
    <row r="46" spans="1:44" x14ac:dyDescent="0.25">
      <c r="A46" s="14">
        <v>39355</v>
      </c>
      <c r="B46">
        <v>81.704607649355637</v>
      </c>
      <c r="C46">
        <v>77.223121066424127</v>
      </c>
      <c r="D46">
        <v>97.540757784927692</v>
      </c>
      <c r="E46">
        <v>73.551211882680761</v>
      </c>
      <c r="F46">
        <v>76.301462693589997</v>
      </c>
      <c r="G46">
        <v>81.728890813466364</v>
      </c>
      <c r="H46">
        <v>58.326849903898335</v>
      </c>
      <c r="I46">
        <v>70.482016023792468</v>
      </c>
      <c r="J46">
        <v>81.7387605418172</v>
      </c>
      <c r="K46">
        <v>0.64067203317101096</v>
      </c>
      <c r="L46">
        <v>104.41271846153801</v>
      </c>
      <c r="M46" s="15">
        <f>+'[3]VAR expectations'!C70</f>
        <v>2.5768443943169923</v>
      </c>
      <c r="N46">
        <v>4.4323022748277999E-2</v>
      </c>
      <c r="O46">
        <v>-0.11833065960497099</v>
      </c>
      <c r="P46">
        <v>326</v>
      </c>
      <c r="Q46">
        <v>75</v>
      </c>
      <c r="R46">
        <v>453</v>
      </c>
      <c r="S46">
        <v>103</v>
      </c>
      <c r="T46">
        <v>18</v>
      </c>
      <c r="U46">
        <v>25</v>
      </c>
      <c r="V46">
        <f t="shared" si="1"/>
        <v>146</v>
      </c>
      <c r="X46">
        <f t="shared" si="2"/>
        <v>5.5576262076428407E-2</v>
      </c>
      <c r="Y46">
        <f t="shared" si="20"/>
        <v>0.58068115386332408</v>
      </c>
      <c r="Z46">
        <f t="shared" si="21"/>
        <v>-0.73147183309677644</v>
      </c>
      <c r="AA46">
        <f t="shared" si="22"/>
        <v>0.25276263408716204</v>
      </c>
      <c r="AB46">
        <f t="shared" si="3"/>
        <v>8.5171157402456288E-2</v>
      </c>
      <c r="AC46">
        <f t="shared" si="4"/>
        <v>0.37904210311876341</v>
      </c>
      <c r="AD46">
        <f t="shared" si="5"/>
        <v>0.48226264807223629</v>
      </c>
      <c r="AE46">
        <f t="shared" si="6"/>
        <v>-0.67314239767097206</v>
      </c>
      <c r="AF46">
        <f t="shared" si="7"/>
        <v>1.2504399633201047E-2</v>
      </c>
      <c r="AG46">
        <f t="shared" si="8"/>
        <v>5.8514930566799794E-4</v>
      </c>
      <c r="AH46">
        <f t="shared" si="9"/>
        <v>0.17334461538401058</v>
      </c>
      <c r="AI46">
        <f t="shared" si="10"/>
        <v>0.11017772765031086</v>
      </c>
      <c r="AJ46">
        <f t="shared" si="11"/>
        <v>-0.32972686198940404</v>
      </c>
      <c r="AK46">
        <f t="shared" si="12"/>
        <v>-0.25868235158019198</v>
      </c>
      <c r="AL46">
        <f t="shared" si="13"/>
        <v>0</v>
      </c>
      <c r="AM46">
        <f t="shared" si="14"/>
        <v>0</v>
      </c>
      <c r="AN46">
        <f t="shared" si="15"/>
        <v>0</v>
      </c>
      <c r="AO46">
        <f t="shared" si="16"/>
        <v>0</v>
      </c>
      <c r="AP46">
        <f t="shared" si="17"/>
        <v>0</v>
      </c>
      <c r="AQ46">
        <f t="shared" si="18"/>
        <v>0</v>
      </c>
      <c r="AR46">
        <f t="shared" si="19"/>
        <v>0</v>
      </c>
    </row>
    <row r="47" spans="1:44" x14ac:dyDescent="0.25">
      <c r="A47" s="14">
        <v>39447</v>
      </c>
      <c r="B47">
        <v>82.511309278758574</v>
      </c>
      <c r="C47">
        <v>77.976239910448101</v>
      </c>
      <c r="D47">
        <v>97.458073236449025</v>
      </c>
      <c r="E47">
        <v>75.219909973620261</v>
      </c>
      <c r="F47">
        <v>78.59689595892236</v>
      </c>
      <c r="G47">
        <v>81.927567146864604</v>
      </c>
      <c r="H47">
        <v>58.8590870525178</v>
      </c>
      <c r="I47">
        <v>73.07789982975801</v>
      </c>
      <c r="J47">
        <v>82.455030827616596</v>
      </c>
      <c r="K47">
        <v>0.65730996679913101</v>
      </c>
      <c r="L47">
        <v>101.594292424242</v>
      </c>
      <c r="M47" s="15">
        <f>+'[3]VAR expectations'!C71</f>
        <v>2.4054948631666009</v>
      </c>
      <c r="N47">
        <v>0.33094281461280101</v>
      </c>
      <c r="O47">
        <v>0.207260368558223</v>
      </c>
      <c r="P47">
        <v>326</v>
      </c>
      <c r="Q47">
        <v>75</v>
      </c>
      <c r="R47">
        <v>453</v>
      </c>
      <c r="S47">
        <v>103</v>
      </c>
      <c r="T47">
        <v>18</v>
      </c>
      <c r="U47">
        <v>25</v>
      </c>
      <c r="V47">
        <f t="shared" si="1"/>
        <v>146</v>
      </c>
      <c r="X47">
        <f t="shared" si="2"/>
        <v>0.80670162940293721</v>
      </c>
      <c r="Y47">
        <f t="shared" si="20"/>
        <v>0.75311884402397311</v>
      </c>
      <c r="Z47">
        <f t="shared" si="21"/>
        <v>-8.2684548478667352E-2</v>
      </c>
      <c r="AA47">
        <f t="shared" si="22"/>
        <v>1.6686980909395004</v>
      </c>
      <c r="AB47">
        <f t="shared" si="3"/>
        <v>2.2954332653323632</v>
      </c>
      <c r="AC47">
        <f t="shared" si="4"/>
        <v>0.19867633339823954</v>
      </c>
      <c r="AD47">
        <f t="shared" si="5"/>
        <v>0.53223714861946547</v>
      </c>
      <c r="AE47">
        <f t="shared" si="6"/>
        <v>2.595883805965542</v>
      </c>
      <c r="AF47">
        <f t="shared" si="7"/>
        <v>0.71627028579939633</v>
      </c>
      <c r="AG47">
        <f t="shared" si="8"/>
        <v>1.663793362812005E-2</v>
      </c>
      <c r="AH47">
        <f t="shared" si="9"/>
        <v>-2.8184260372960068</v>
      </c>
      <c r="AI47">
        <f t="shared" si="10"/>
        <v>-9.4505136833397785E-2</v>
      </c>
      <c r="AJ47">
        <f t="shared" si="11"/>
        <v>0.28661979186452302</v>
      </c>
      <c r="AK47">
        <f t="shared" si="12"/>
        <v>0.32559102816319396</v>
      </c>
      <c r="AL47">
        <f t="shared" si="13"/>
        <v>0</v>
      </c>
      <c r="AM47">
        <f t="shared" si="14"/>
        <v>0</v>
      </c>
      <c r="AN47">
        <f t="shared" si="15"/>
        <v>0</v>
      </c>
      <c r="AO47">
        <f t="shared" si="16"/>
        <v>0</v>
      </c>
      <c r="AP47">
        <f t="shared" si="17"/>
        <v>0</v>
      </c>
      <c r="AQ47">
        <f t="shared" si="18"/>
        <v>0</v>
      </c>
      <c r="AR47">
        <f t="shared" si="19"/>
        <v>0</v>
      </c>
    </row>
    <row r="48" spans="1:44" x14ac:dyDescent="0.25">
      <c r="A48" s="14">
        <v>39538</v>
      </c>
      <c r="B48">
        <v>83.213165062111045</v>
      </c>
      <c r="C48">
        <v>78.585583459078208</v>
      </c>
      <c r="D48">
        <v>96.951612827693836</v>
      </c>
      <c r="E48">
        <v>75.989538679255261</v>
      </c>
      <c r="F48">
        <v>79.533800497150992</v>
      </c>
      <c r="G48">
        <v>81.958761243828363</v>
      </c>
      <c r="H48">
        <v>59.544386405336837</v>
      </c>
      <c r="I48">
        <v>77.885301025533423</v>
      </c>
      <c r="J48">
        <v>83.221731491025807</v>
      </c>
      <c r="K48">
        <v>0.68564477605056495</v>
      </c>
      <c r="L48">
        <v>95.934953846153803</v>
      </c>
      <c r="M48" s="15">
        <f>+'[3]VAR expectations'!C72</f>
        <v>2.3903185646503933</v>
      </c>
      <c r="N48">
        <v>0.70956108465802203</v>
      </c>
      <c r="O48">
        <v>0.46567345359179702</v>
      </c>
      <c r="P48">
        <v>323</v>
      </c>
      <c r="Q48">
        <v>73</v>
      </c>
      <c r="R48">
        <v>453</v>
      </c>
      <c r="S48">
        <v>109</v>
      </c>
      <c r="T48">
        <v>18</v>
      </c>
      <c r="U48">
        <v>24</v>
      </c>
      <c r="V48">
        <f t="shared" si="1"/>
        <v>151</v>
      </c>
      <c r="X48">
        <f t="shared" si="2"/>
        <v>0.70185578335247101</v>
      </c>
      <c r="Y48">
        <f t="shared" si="20"/>
        <v>0.60934354863010753</v>
      </c>
      <c r="Z48">
        <f t="shared" si="21"/>
        <v>-0.5064604087551885</v>
      </c>
      <c r="AA48">
        <f t="shared" si="22"/>
        <v>0.76962870563500019</v>
      </c>
      <c r="AB48">
        <f t="shared" si="3"/>
        <v>0.93690453822863162</v>
      </c>
      <c r="AC48">
        <f t="shared" si="4"/>
        <v>3.1194096963758966E-2</v>
      </c>
      <c r="AD48">
        <f t="shared" si="5"/>
        <v>0.68529935281903676</v>
      </c>
      <c r="AE48">
        <f t="shared" si="6"/>
        <v>4.8074011957754124</v>
      </c>
      <c r="AF48">
        <f t="shared" si="7"/>
        <v>0.76670066340921039</v>
      </c>
      <c r="AG48">
        <f t="shared" si="8"/>
        <v>2.8334809251433946E-2</v>
      </c>
      <c r="AH48">
        <f t="shared" si="9"/>
        <v>-5.659338578088196</v>
      </c>
      <c r="AI48">
        <f t="shared" si="10"/>
        <v>-0.30968143534959314</v>
      </c>
      <c r="AJ48">
        <f t="shared" si="11"/>
        <v>0.37861827004522103</v>
      </c>
      <c r="AK48">
        <f t="shared" si="12"/>
        <v>0.25841308503357402</v>
      </c>
      <c r="AL48">
        <f t="shared" si="13"/>
        <v>-3</v>
      </c>
      <c r="AM48">
        <f t="shared" si="14"/>
        <v>-2</v>
      </c>
      <c r="AN48">
        <f t="shared" si="15"/>
        <v>0</v>
      </c>
      <c r="AO48">
        <f t="shared" si="16"/>
        <v>6</v>
      </c>
      <c r="AP48">
        <f t="shared" si="17"/>
        <v>0</v>
      </c>
      <c r="AQ48">
        <f t="shared" si="18"/>
        <v>-1</v>
      </c>
      <c r="AR48">
        <f t="shared" si="19"/>
        <v>5</v>
      </c>
    </row>
    <row r="49" spans="1:44" x14ac:dyDescent="0.25">
      <c r="A49" s="14">
        <v>39629</v>
      </c>
      <c r="B49">
        <v>84.399628691859334</v>
      </c>
      <c r="C49">
        <v>79.538236456857987</v>
      </c>
      <c r="D49">
        <v>96.709639020967742</v>
      </c>
      <c r="E49">
        <v>78.381976088304796</v>
      </c>
      <c r="F49">
        <v>82.317852052663767</v>
      </c>
      <c r="G49">
        <v>84.883187080121772</v>
      </c>
      <c r="H49">
        <v>60.342090857511202</v>
      </c>
      <c r="I49">
        <v>82.676147502636397</v>
      </c>
      <c r="J49">
        <v>84.4783985597211</v>
      </c>
      <c r="K49">
        <v>0.71013328179353397</v>
      </c>
      <c r="L49">
        <v>93.071035384615399</v>
      </c>
      <c r="M49" s="15">
        <f>+'[3]VAR expectations'!C73</f>
        <v>2.2621936183541234</v>
      </c>
      <c r="N49">
        <v>1.1528273888926699</v>
      </c>
      <c r="O49">
        <v>0.57749494659596201</v>
      </c>
      <c r="P49">
        <v>323</v>
      </c>
      <c r="Q49">
        <v>73</v>
      </c>
      <c r="R49">
        <v>453</v>
      </c>
      <c r="S49">
        <v>109</v>
      </c>
      <c r="T49">
        <v>18</v>
      </c>
      <c r="U49">
        <v>24</v>
      </c>
      <c r="V49">
        <f t="shared" si="1"/>
        <v>151</v>
      </c>
      <c r="X49">
        <f t="shared" si="2"/>
        <v>1.1864636297482889</v>
      </c>
      <c r="Y49">
        <f t="shared" si="20"/>
        <v>0.9526529977797793</v>
      </c>
      <c r="Z49">
        <f t="shared" si="21"/>
        <v>-0.2419738067260937</v>
      </c>
      <c r="AA49">
        <f t="shared" si="22"/>
        <v>2.3924374090495348</v>
      </c>
      <c r="AB49">
        <f t="shared" si="3"/>
        <v>2.7840515555127752</v>
      </c>
      <c r="AC49">
        <f t="shared" si="4"/>
        <v>2.924425836293409</v>
      </c>
      <c r="AD49">
        <f t="shared" si="5"/>
        <v>0.79770445217436503</v>
      </c>
      <c r="AE49">
        <f t="shared" si="6"/>
        <v>4.7908464771029742</v>
      </c>
      <c r="AF49">
        <f t="shared" si="7"/>
        <v>1.2566670686952932</v>
      </c>
      <c r="AG49">
        <f t="shared" si="8"/>
        <v>2.4488505742969013E-2</v>
      </c>
      <c r="AH49">
        <f t="shared" si="9"/>
        <v>-2.8639184615384039</v>
      </c>
      <c r="AI49">
        <f t="shared" si="10"/>
        <v>-1.0611397149792214</v>
      </c>
      <c r="AJ49">
        <f t="shared" si="11"/>
        <v>0.44326630423464786</v>
      </c>
      <c r="AK49">
        <f t="shared" si="12"/>
        <v>0.111821493004165</v>
      </c>
      <c r="AL49">
        <f t="shared" si="13"/>
        <v>0</v>
      </c>
      <c r="AM49">
        <f t="shared" si="14"/>
        <v>0</v>
      </c>
      <c r="AN49">
        <f t="shared" si="15"/>
        <v>0</v>
      </c>
      <c r="AO49">
        <f t="shared" si="16"/>
        <v>0</v>
      </c>
      <c r="AP49">
        <f t="shared" si="17"/>
        <v>0</v>
      </c>
      <c r="AQ49">
        <f t="shared" si="18"/>
        <v>0</v>
      </c>
      <c r="AR49">
        <f t="shared" si="19"/>
        <v>0</v>
      </c>
    </row>
    <row r="50" spans="1:44" x14ac:dyDescent="0.25">
      <c r="A50" s="14">
        <v>39721</v>
      </c>
      <c r="B50">
        <v>85.622629523416208</v>
      </c>
      <c r="C50">
        <v>80.567896111396422</v>
      </c>
      <c r="D50">
        <v>96.458973787625538</v>
      </c>
      <c r="E50">
        <v>80.821169443942864</v>
      </c>
      <c r="F50">
        <v>85.573695749653211</v>
      </c>
      <c r="G50">
        <v>85.076922336049037</v>
      </c>
      <c r="H50">
        <v>60.969200088634068</v>
      </c>
      <c r="I50">
        <v>87.767599664419478</v>
      </c>
      <c r="J50">
        <v>85.633335277083802</v>
      </c>
      <c r="K50">
        <v>0.73340169529048804</v>
      </c>
      <c r="L50">
        <v>91.695078787878799</v>
      </c>
      <c r="M50" s="15">
        <f>+'[3]VAR expectations'!C74</f>
        <v>2.2761535969954032</v>
      </c>
      <c r="N50">
        <v>1.7249383242570699</v>
      </c>
      <c r="O50">
        <v>0.41477957846817098</v>
      </c>
      <c r="P50">
        <v>323</v>
      </c>
      <c r="Q50">
        <v>73</v>
      </c>
      <c r="R50">
        <v>453</v>
      </c>
      <c r="S50">
        <v>109</v>
      </c>
      <c r="T50">
        <v>18</v>
      </c>
      <c r="U50">
        <v>24</v>
      </c>
      <c r="V50">
        <f t="shared" si="1"/>
        <v>151</v>
      </c>
      <c r="X50">
        <f t="shared" si="2"/>
        <v>1.2230008315568739</v>
      </c>
      <c r="Y50">
        <f t="shared" si="20"/>
        <v>1.0296596545384347</v>
      </c>
      <c r="Z50">
        <f t="shared" si="21"/>
        <v>-0.25066523334220392</v>
      </c>
      <c r="AA50">
        <f t="shared" si="22"/>
        <v>2.4391933556380678</v>
      </c>
      <c r="AB50">
        <f t="shared" si="3"/>
        <v>3.2558436969894444</v>
      </c>
      <c r="AC50">
        <f t="shared" si="4"/>
        <v>0.19373525592726537</v>
      </c>
      <c r="AD50">
        <f t="shared" si="5"/>
        <v>0.62710923112286565</v>
      </c>
      <c r="AE50">
        <f t="shared" si="6"/>
        <v>5.0914521617830815</v>
      </c>
      <c r="AF50">
        <f t="shared" si="7"/>
        <v>1.1549367173627019</v>
      </c>
      <c r="AG50">
        <f t="shared" si="8"/>
        <v>2.3268413496954077E-2</v>
      </c>
      <c r="AH50">
        <f t="shared" si="9"/>
        <v>-1.3759565967366001</v>
      </c>
      <c r="AI50">
        <f t="shared" si="10"/>
        <v>-1.8505130696713303</v>
      </c>
      <c r="AJ50">
        <f t="shared" si="11"/>
        <v>0.57211093536440005</v>
      </c>
      <c r="AK50">
        <f t="shared" si="12"/>
        <v>-0.16271536812779103</v>
      </c>
      <c r="AL50">
        <f t="shared" si="13"/>
        <v>0</v>
      </c>
      <c r="AM50">
        <f t="shared" si="14"/>
        <v>0</v>
      </c>
      <c r="AN50">
        <f t="shared" si="15"/>
        <v>0</v>
      </c>
      <c r="AO50">
        <f t="shared" si="16"/>
        <v>0</v>
      </c>
      <c r="AP50">
        <f t="shared" si="17"/>
        <v>0</v>
      </c>
      <c r="AQ50">
        <f t="shared" si="18"/>
        <v>0</v>
      </c>
      <c r="AR50">
        <f t="shared" si="19"/>
        <v>0</v>
      </c>
    </row>
    <row r="51" spans="1:44" x14ac:dyDescent="0.25">
      <c r="A51" s="14">
        <v>39813</v>
      </c>
      <c r="B51">
        <v>85.715849377221033</v>
      </c>
      <c r="C51">
        <v>81.447767693574562</v>
      </c>
      <c r="D51">
        <v>95.356926302146803</v>
      </c>
      <c r="E51">
        <v>81.793418547474204</v>
      </c>
      <c r="F51">
        <v>86.792930875848811</v>
      </c>
      <c r="G51">
        <v>85.181242076336545</v>
      </c>
      <c r="H51">
        <v>61.653547758067361</v>
      </c>
      <c r="I51">
        <v>85.991098588507043</v>
      </c>
      <c r="J51">
        <v>85.640873534576798</v>
      </c>
      <c r="K51">
        <v>0.72747031121115702</v>
      </c>
      <c r="L51">
        <v>83.942380303030305</v>
      </c>
      <c r="M51" s="15">
        <f>+'[3]VAR expectations'!C75</f>
        <v>2.3383760137173226</v>
      </c>
      <c r="N51">
        <v>1.2851169715736199</v>
      </c>
      <c r="O51">
        <v>-0.25671941715742802</v>
      </c>
      <c r="P51">
        <v>323</v>
      </c>
      <c r="Q51">
        <v>73</v>
      </c>
      <c r="R51">
        <v>453</v>
      </c>
      <c r="S51">
        <v>109</v>
      </c>
      <c r="T51">
        <v>18</v>
      </c>
      <c r="U51">
        <v>24</v>
      </c>
      <c r="V51">
        <f t="shared" si="1"/>
        <v>151</v>
      </c>
      <c r="X51">
        <f t="shared" si="2"/>
        <v>9.3219853804825448E-2</v>
      </c>
      <c r="Y51">
        <f t="shared" si="20"/>
        <v>0.87987158217813999</v>
      </c>
      <c r="Z51">
        <f t="shared" si="21"/>
        <v>-1.1020474854787352</v>
      </c>
      <c r="AA51">
        <f t="shared" si="22"/>
        <v>0.97224910353133964</v>
      </c>
      <c r="AB51">
        <f t="shared" si="3"/>
        <v>1.2192351261955992</v>
      </c>
      <c r="AC51">
        <f t="shared" si="4"/>
        <v>0.10431974028750801</v>
      </c>
      <c r="AD51">
        <f t="shared" si="5"/>
        <v>0.6843476694332935</v>
      </c>
      <c r="AE51">
        <f t="shared" si="6"/>
        <v>-1.7765010759124351</v>
      </c>
      <c r="AF51">
        <f t="shared" si="7"/>
        <v>7.5382574929960811E-3</v>
      </c>
      <c r="AG51">
        <f t="shared" si="8"/>
        <v>-5.9313840793310257E-3</v>
      </c>
      <c r="AH51">
        <f t="shared" si="9"/>
        <v>-7.7526984848484943</v>
      </c>
      <c r="AI51">
        <f t="shared" si="10"/>
        <v>-2.0020829234806605</v>
      </c>
      <c r="AJ51">
        <f t="shared" si="11"/>
        <v>-0.43982135268345002</v>
      </c>
      <c r="AK51">
        <f t="shared" si="12"/>
        <v>-0.671498995625599</v>
      </c>
      <c r="AL51">
        <f t="shared" si="13"/>
        <v>0</v>
      </c>
      <c r="AM51">
        <f t="shared" si="14"/>
        <v>0</v>
      </c>
      <c r="AN51">
        <f t="shared" si="15"/>
        <v>0</v>
      </c>
      <c r="AO51">
        <f t="shared" si="16"/>
        <v>0</v>
      </c>
      <c r="AP51">
        <f t="shared" si="17"/>
        <v>0</v>
      </c>
      <c r="AQ51">
        <f t="shared" si="18"/>
        <v>0</v>
      </c>
      <c r="AR51">
        <f t="shared" si="19"/>
        <v>0</v>
      </c>
    </row>
    <row r="52" spans="1:44" x14ac:dyDescent="0.25">
      <c r="A52" s="14">
        <v>39903</v>
      </c>
      <c r="B52">
        <v>85.677461988931228</v>
      </c>
      <c r="C52">
        <v>81.837362894259925</v>
      </c>
      <c r="D52">
        <v>94.827625367678976</v>
      </c>
      <c r="E52">
        <v>83.009858942090389</v>
      </c>
      <c r="F52">
        <v>87.99238482121784</v>
      </c>
      <c r="G52">
        <v>87.197951546616977</v>
      </c>
      <c r="H52">
        <v>62.259307413325836</v>
      </c>
      <c r="I52">
        <v>82.010216221786067</v>
      </c>
      <c r="J52">
        <v>85.727729818347797</v>
      </c>
      <c r="K52">
        <v>0.73092000531804802</v>
      </c>
      <c r="L52">
        <v>77.790968750000005</v>
      </c>
      <c r="M52" s="15">
        <f>+'[3]VAR expectations'!C76</f>
        <v>2.4666666666666477</v>
      </c>
      <c r="N52">
        <v>0.49581996628150798</v>
      </c>
      <c r="O52">
        <v>-0.32614814317173602</v>
      </c>
      <c r="P52">
        <v>312</v>
      </c>
      <c r="Q52">
        <v>80</v>
      </c>
      <c r="R52">
        <v>446</v>
      </c>
      <c r="S52">
        <v>118</v>
      </c>
      <c r="T52">
        <v>21</v>
      </c>
      <c r="U52">
        <v>23</v>
      </c>
      <c r="V52">
        <f t="shared" si="1"/>
        <v>162</v>
      </c>
      <c r="X52">
        <f t="shared" si="2"/>
        <v>-3.8387388289805813E-2</v>
      </c>
      <c r="Y52">
        <f t="shared" si="20"/>
        <v>0.38959520068536335</v>
      </c>
      <c r="Z52">
        <f t="shared" si="21"/>
        <v>-0.52930093446782678</v>
      </c>
      <c r="AA52">
        <f t="shared" si="22"/>
        <v>1.2164403946161855</v>
      </c>
      <c r="AB52">
        <f t="shared" si="3"/>
        <v>1.1994539453690294</v>
      </c>
      <c r="AC52">
        <f t="shared" si="4"/>
        <v>2.016709470280432</v>
      </c>
      <c r="AD52">
        <f t="shared" si="5"/>
        <v>0.60575965525847408</v>
      </c>
      <c r="AE52">
        <f t="shared" si="6"/>
        <v>-3.9808823667209765</v>
      </c>
      <c r="AF52">
        <f t="shared" si="7"/>
        <v>8.6856283770998743E-2</v>
      </c>
      <c r="AG52">
        <f t="shared" si="8"/>
        <v>3.4496941068909992E-3</v>
      </c>
      <c r="AH52">
        <f t="shared" si="9"/>
        <v>-6.1514115530303002</v>
      </c>
      <c r="AI52">
        <f t="shared" si="10"/>
        <v>0.92251236399601888</v>
      </c>
      <c r="AJ52">
        <f t="shared" si="11"/>
        <v>-0.789297005292112</v>
      </c>
      <c r="AK52">
        <f t="shared" si="12"/>
        <v>-6.9428726014307995E-2</v>
      </c>
      <c r="AL52">
        <f t="shared" si="13"/>
        <v>-11</v>
      </c>
      <c r="AM52">
        <f t="shared" si="14"/>
        <v>7</v>
      </c>
      <c r="AN52">
        <f t="shared" si="15"/>
        <v>-7</v>
      </c>
      <c r="AO52">
        <f t="shared" si="16"/>
        <v>9</v>
      </c>
      <c r="AP52">
        <f t="shared" si="17"/>
        <v>3</v>
      </c>
      <c r="AQ52">
        <f t="shared" si="18"/>
        <v>-1</v>
      </c>
      <c r="AR52">
        <f t="shared" si="19"/>
        <v>11</v>
      </c>
    </row>
    <row r="53" spans="1:44" x14ac:dyDescent="0.25">
      <c r="A53" s="14">
        <v>39994</v>
      </c>
      <c r="B53">
        <v>86.15976755532354</v>
      </c>
      <c r="C53">
        <v>82.270942096016583</v>
      </c>
      <c r="D53">
        <v>95.654937823592505</v>
      </c>
      <c r="E53">
        <v>83.220861295653535</v>
      </c>
      <c r="F53">
        <v>88.308924452653969</v>
      </c>
      <c r="G53">
        <v>87.210677618102508</v>
      </c>
      <c r="H53">
        <v>62.310963197896491</v>
      </c>
      <c r="I53">
        <v>82.036383837974157</v>
      </c>
      <c r="J53">
        <v>86.234754047421404</v>
      </c>
      <c r="K53">
        <v>0.71601344282857504</v>
      </c>
      <c r="L53">
        <v>81.3092738461538</v>
      </c>
      <c r="M53" s="15">
        <f>+'[3]VAR expectations'!C77</f>
        <v>2.4000000000000123</v>
      </c>
      <c r="N53">
        <v>-3.3463491076020598E-3</v>
      </c>
      <c r="O53">
        <v>6.5202411569874996E-2</v>
      </c>
      <c r="P53">
        <v>312</v>
      </c>
      <c r="Q53">
        <v>80</v>
      </c>
      <c r="R53">
        <v>446</v>
      </c>
      <c r="S53">
        <v>118</v>
      </c>
      <c r="T53">
        <v>21</v>
      </c>
      <c r="U53">
        <v>23</v>
      </c>
      <c r="V53">
        <f t="shared" si="1"/>
        <v>162</v>
      </c>
      <c r="X53">
        <f t="shared" si="2"/>
        <v>0.48230556639231281</v>
      </c>
      <c r="Y53">
        <f t="shared" si="20"/>
        <v>0.43357920175665754</v>
      </c>
      <c r="Z53">
        <f t="shared" si="21"/>
        <v>0.82731245591352831</v>
      </c>
      <c r="AA53">
        <f t="shared" si="22"/>
        <v>0.21100235356314556</v>
      </c>
      <c r="AB53">
        <f t="shared" si="3"/>
        <v>0.31653963143612884</v>
      </c>
      <c r="AC53">
        <f t="shared" si="4"/>
        <v>1.2726071485531065E-2</v>
      </c>
      <c r="AD53">
        <f t="shared" si="5"/>
        <v>5.1655784570655783E-2</v>
      </c>
      <c r="AE53">
        <f t="shared" si="6"/>
        <v>2.6167616188089937E-2</v>
      </c>
      <c r="AF53">
        <f t="shared" si="7"/>
        <v>0.50702422907360756</v>
      </c>
      <c r="AG53">
        <f t="shared" si="8"/>
        <v>-1.4906562489472974E-2</v>
      </c>
      <c r="AH53">
        <f t="shared" si="9"/>
        <v>3.5183050961537958</v>
      </c>
      <c r="AI53">
        <f t="shared" si="10"/>
        <v>0.91788359788361995</v>
      </c>
      <c r="AJ53">
        <f t="shared" si="11"/>
        <v>-0.49916631538911005</v>
      </c>
      <c r="AK53">
        <f t="shared" si="12"/>
        <v>0.39135055474161101</v>
      </c>
      <c r="AL53">
        <f t="shared" si="13"/>
        <v>0</v>
      </c>
      <c r="AM53">
        <f t="shared" si="14"/>
        <v>0</v>
      </c>
      <c r="AN53">
        <f t="shared" si="15"/>
        <v>0</v>
      </c>
      <c r="AO53">
        <f t="shared" si="16"/>
        <v>0</v>
      </c>
      <c r="AP53">
        <f t="shared" si="17"/>
        <v>0</v>
      </c>
      <c r="AQ53">
        <f t="shared" si="18"/>
        <v>0</v>
      </c>
      <c r="AR53">
        <f t="shared" si="19"/>
        <v>0</v>
      </c>
    </row>
    <row r="54" spans="1:44" x14ac:dyDescent="0.25">
      <c r="A54" s="14">
        <v>40086</v>
      </c>
      <c r="B54">
        <v>86.924358866209801</v>
      </c>
      <c r="C54">
        <v>82.818965560018796</v>
      </c>
      <c r="D54">
        <v>96.748856693679144</v>
      </c>
      <c r="E54">
        <v>83.273957539010269</v>
      </c>
      <c r="F54">
        <v>87.773256644266795</v>
      </c>
      <c r="G54">
        <v>88.565655919881635</v>
      </c>
      <c r="H54">
        <v>63.382794957694408</v>
      </c>
      <c r="I54">
        <v>84.43822912724265</v>
      </c>
      <c r="J54">
        <v>86.903555326754898</v>
      </c>
      <c r="K54">
        <v>0.71104869772248203</v>
      </c>
      <c r="L54">
        <v>82.911893939393906</v>
      </c>
      <c r="M54" s="15">
        <f>+'[3]VAR expectations'!C78</f>
        <v>2.2999999999999843</v>
      </c>
      <c r="N54">
        <v>-0.246943476236648</v>
      </c>
      <c r="O54">
        <v>0.18136360737922499</v>
      </c>
      <c r="P54">
        <v>312</v>
      </c>
      <c r="Q54">
        <v>80</v>
      </c>
      <c r="R54">
        <v>446</v>
      </c>
      <c r="S54">
        <v>118</v>
      </c>
      <c r="T54">
        <v>21</v>
      </c>
      <c r="U54">
        <v>23</v>
      </c>
      <c r="V54">
        <f t="shared" si="1"/>
        <v>162</v>
      </c>
      <c r="X54">
        <f t="shared" si="2"/>
        <v>0.76459131088626009</v>
      </c>
      <c r="Y54">
        <f t="shared" si="20"/>
        <v>0.54802346400221325</v>
      </c>
      <c r="Z54">
        <f t="shared" si="21"/>
        <v>1.0939188700866396</v>
      </c>
      <c r="AA54">
        <f t="shared" si="22"/>
        <v>5.3096243356733908E-2</v>
      </c>
      <c r="AB54">
        <f t="shared" si="3"/>
        <v>-0.5356678083871742</v>
      </c>
      <c r="AC54">
        <f t="shared" si="4"/>
        <v>1.354978301779127</v>
      </c>
      <c r="AD54">
        <f t="shared" si="5"/>
        <v>1.0718317597979166</v>
      </c>
      <c r="AE54">
        <f t="shared" si="6"/>
        <v>2.4018452892684934</v>
      </c>
      <c r="AF54">
        <f t="shared" si="7"/>
        <v>0.66880127933349343</v>
      </c>
      <c r="AG54">
        <f t="shared" si="8"/>
        <v>-4.9647451060930159E-3</v>
      </c>
      <c r="AH54">
        <f t="shared" si="9"/>
        <v>1.6026200932401053</v>
      </c>
      <c r="AI54">
        <f t="shared" si="10"/>
        <v>0.4839216767593757</v>
      </c>
      <c r="AJ54">
        <f t="shared" si="11"/>
        <v>-0.24359712712904594</v>
      </c>
      <c r="AK54">
        <f t="shared" si="12"/>
        <v>0.11616119580935</v>
      </c>
      <c r="AL54">
        <f t="shared" si="13"/>
        <v>0</v>
      </c>
      <c r="AM54">
        <f t="shared" si="14"/>
        <v>0</v>
      </c>
      <c r="AN54">
        <f t="shared" si="15"/>
        <v>0</v>
      </c>
      <c r="AO54">
        <f t="shared" si="16"/>
        <v>0</v>
      </c>
      <c r="AP54">
        <f t="shared" si="17"/>
        <v>0</v>
      </c>
      <c r="AQ54">
        <f t="shared" si="18"/>
        <v>0</v>
      </c>
      <c r="AR54">
        <f t="shared" si="19"/>
        <v>0</v>
      </c>
    </row>
    <row r="55" spans="1:44" x14ac:dyDescent="0.25">
      <c r="A55" s="14">
        <v>40178</v>
      </c>
      <c r="B55">
        <v>87.534280115684567</v>
      </c>
      <c r="C55">
        <v>83.410496500833645</v>
      </c>
      <c r="D55">
        <v>97.120889173976664</v>
      </c>
      <c r="E55">
        <v>83.844235616954464</v>
      </c>
      <c r="F55">
        <v>88.32590778326967</v>
      </c>
      <c r="G55">
        <v>89.28787021115356</v>
      </c>
      <c r="H55">
        <v>64.12562627513833</v>
      </c>
      <c r="I55">
        <v>86.397389894562437</v>
      </c>
      <c r="J55">
        <v>87.453767874372005</v>
      </c>
      <c r="K55">
        <v>0.718035511271781</v>
      </c>
      <c r="L55">
        <v>80.353062121212105</v>
      </c>
      <c r="M55" s="15">
        <f>+'[3]VAR expectations'!C79</f>
        <v>2.4333333333333633</v>
      </c>
      <c r="N55">
        <v>0.101321891194596</v>
      </c>
      <c r="O55">
        <v>0.13445341671153399</v>
      </c>
      <c r="P55">
        <v>312</v>
      </c>
      <c r="Q55">
        <v>80</v>
      </c>
      <c r="R55">
        <v>446</v>
      </c>
      <c r="S55">
        <v>118</v>
      </c>
      <c r="T55">
        <v>21</v>
      </c>
      <c r="U55">
        <v>23</v>
      </c>
      <c r="V55">
        <f t="shared" si="1"/>
        <v>162</v>
      </c>
      <c r="X55">
        <f t="shared" si="2"/>
        <v>0.60992124947476611</v>
      </c>
      <c r="Y55">
        <f t="shared" si="20"/>
        <v>0.5915309408148488</v>
      </c>
      <c r="Z55">
        <f t="shared" si="21"/>
        <v>0.3720324802975199</v>
      </c>
      <c r="AA55">
        <f t="shared" si="22"/>
        <v>0.57027807794419516</v>
      </c>
      <c r="AB55">
        <f t="shared" si="3"/>
        <v>0.55265113900287588</v>
      </c>
      <c r="AC55">
        <f t="shared" si="4"/>
        <v>0.72221429127192494</v>
      </c>
      <c r="AD55">
        <f t="shared" si="5"/>
        <v>0.7428313174439225</v>
      </c>
      <c r="AE55">
        <f t="shared" si="6"/>
        <v>1.9591607673197871</v>
      </c>
      <c r="AF55">
        <f t="shared" si="7"/>
        <v>0.55021254761710736</v>
      </c>
      <c r="AG55">
        <f t="shared" si="8"/>
        <v>6.9868135492989758E-3</v>
      </c>
      <c r="AH55">
        <f t="shared" si="9"/>
        <v>-2.5588318181818011</v>
      </c>
      <c r="AI55">
        <f t="shared" si="10"/>
        <v>0.56231713073779455</v>
      </c>
      <c r="AJ55">
        <f t="shared" si="11"/>
        <v>0.34826536743124403</v>
      </c>
      <c r="AK55">
        <f t="shared" si="12"/>
        <v>-4.6910190667691004E-2</v>
      </c>
      <c r="AL55">
        <f t="shared" si="13"/>
        <v>0</v>
      </c>
      <c r="AM55">
        <f t="shared" si="14"/>
        <v>0</v>
      </c>
      <c r="AN55">
        <f t="shared" si="15"/>
        <v>0</v>
      </c>
      <c r="AO55">
        <f t="shared" si="16"/>
        <v>0</v>
      </c>
      <c r="AP55">
        <f t="shared" si="17"/>
        <v>0</v>
      </c>
      <c r="AQ55">
        <f t="shared" si="18"/>
        <v>0</v>
      </c>
      <c r="AR55">
        <f t="shared" si="19"/>
        <v>0</v>
      </c>
    </row>
    <row r="56" spans="1:44" x14ac:dyDescent="0.25">
      <c r="A56" s="14">
        <v>40268</v>
      </c>
      <c r="B56">
        <v>88.431032272878838</v>
      </c>
      <c r="C56">
        <v>84.379845312412996</v>
      </c>
      <c r="D56">
        <v>97.46249220497026</v>
      </c>
      <c r="E56">
        <v>85.139204142394036</v>
      </c>
      <c r="F56">
        <v>89.453891235916998</v>
      </c>
      <c r="G56">
        <v>89.55948122598636</v>
      </c>
      <c r="H56">
        <v>66.656144582256971</v>
      </c>
      <c r="I56">
        <v>87.699409046380325</v>
      </c>
      <c r="J56">
        <v>88.514134771042393</v>
      </c>
      <c r="K56">
        <v>0.73762646098512996</v>
      </c>
      <c r="L56">
        <v>79.543812500000001</v>
      </c>
      <c r="M56" s="15">
        <f>+'[3]VAR expectations'!C80</f>
        <v>2.5333333333333421</v>
      </c>
      <c r="N56">
        <v>0.50255924177984002</v>
      </c>
      <c r="O56">
        <v>0.18762675130171899</v>
      </c>
      <c r="P56">
        <v>313</v>
      </c>
      <c r="Q56">
        <v>88</v>
      </c>
      <c r="R56">
        <v>451</v>
      </c>
      <c r="S56">
        <v>108</v>
      </c>
      <c r="T56">
        <v>18</v>
      </c>
      <c r="U56">
        <v>22</v>
      </c>
      <c r="V56">
        <f t="shared" si="1"/>
        <v>148</v>
      </c>
      <c r="X56">
        <f t="shared" si="2"/>
        <v>0.89675215719427115</v>
      </c>
      <c r="Y56">
        <f t="shared" si="20"/>
        <v>0.96934881157935138</v>
      </c>
      <c r="Z56">
        <f t="shared" si="21"/>
        <v>0.34160303099359624</v>
      </c>
      <c r="AA56">
        <f t="shared" si="22"/>
        <v>1.2949685254395717</v>
      </c>
      <c r="AB56">
        <f t="shared" si="3"/>
        <v>1.127983452647328</v>
      </c>
      <c r="AC56">
        <f t="shared" si="4"/>
        <v>0.27161101483279992</v>
      </c>
      <c r="AD56">
        <f t="shared" si="5"/>
        <v>2.5305183071186406</v>
      </c>
      <c r="AE56">
        <f t="shared" si="6"/>
        <v>1.3020191518178876</v>
      </c>
      <c r="AF56">
        <f t="shared" si="7"/>
        <v>1.0603668966703879</v>
      </c>
      <c r="AG56">
        <f t="shared" si="8"/>
        <v>1.959094971334896E-2</v>
      </c>
      <c r="AH56">
        <f t="shared" si="9"/>
        <v>-0.80924962121210342</v>
      </c>
      <c r="AI56">
        <f t="shared" si="10"/>
        <v>0.52578470824946999</v>
      </c>
      <c r="AJ56">
        <f t="shared" si="11"/>
        <v>0.40123735058524401</v>
      </c>
      <c r="AK56">
        <f t="shared" si="12"/>
        <v>5.3173334590185001E-2</v>
      </c>
      <c r="AL56">
        <f t="shared" si="13"/>
        <v>1</v>
      </c>
      <c r="AM56">
        <f t="shared" si="14"/>
        <v>8</v>
      </c>
      <c r="AN56">
        <f t="shared" si="15"/>
        <v>5</v>
      </c>
      <c r="AO56">
        <f t="shared" si="16"/>
        <v>-10</v>
      </c>
      <c r="AP56">
        <f t="shared" si="17"/>
        <v>-3</v>
      </c>
      <c r="AQ56">
        <f t="shared" si="18"/>
        <v>-1</v>
      </c>
      <c r="AR56">
        <f t="shared" si="19"/>
        <v>-14</v>
      </c>
    </row>
    <row r="57" spans="1:44" x14ac:dyDescent="0.25">
      <c r="A57" s="14">
        <v>40359</v>
      </c>
      <c r="B57">
        <v>89.149935009377074</v>
      </c>
      <c r="C57">
        <v>85.197668340993346</v>
      </c>
      <c r="D57">
        <v>97.794868419101633</v>
      </c>
      <c r="E57">
        <v>85.883704596755891</v>
      </c>
      <c r="F57">
        <v>90.264506993479202</v>
      </c>
      <c r="G57">
        <v>90.181221743676701</v>
      </c>
      <c r="H57">
        <v>67.322785272699434</v>
      </c>
      <c r="I57">
        <v>88.993371323519867</v>
      </c>
      <c r="J57">
        <v>89.209095175361497</v>
      </c>
      <c r="K57">
        <v>0.74845947139534197</v>
      </c>
      <c r="L57">
        <v>79.899689230769198</v>
      </c>
      <c r="M57" s="15">
        <f>+'[3]VAR expectations'!C81</f>
        <v>2.4666666666666814</v>
      </c>
      <c r="N57">
        <v>0.58031803605650401</v>
      </c>
      <c r="O57">
        <v>0.158164675972188</v>
      </c>
      <c r="P57">
        <v>313</v>
      </c>
      <c r="Q57">
        <v>88</v>
      </c>
      <c r="R57">
        <v>451</v>
      </c>
      <c r="S57">
        <v>108</v>
      </c>
      <c r="T57">
        <v>18</v>
      </c>
      <c r="U57">
        <v>22</v>
      </c>
      <c r="V57">
        <f t="shared" si="1"/>
        <v>148</v>
      </c>
      <c r="X57">
        <f t="shared" si="2"/>
        <v>0.71890273649823655</v>
      </c>
      <c r="Y57">
        <f t="shared" si="20"/>
        <v>0.81782302858034939</v>
      </c>
      <c r="Z57">
        <f t="shared" si="21"/>
        <v>0.33237621413137219</v>
      </c>
      <c r="AA57">
        <f t="shared" si="22"/>
        <v>0.74450045436185519</v>
      </c>
      <c r="AB57">
        <f t="shared" si="3"/>
        <v>0.8106157575622035</v>
      </c>
      <c r="AC57">
        <f t="shared" si="4"/>
        <v>0.62174051769034122</v>
      </c>
      <c r="AD57">
        <f t="shared" si="5"/>
        <v>0.66664069044246332</v>
      </c>
      <c r="AE57">
        <f t="shared" si="6"/>
        <v>1.293962277139542</v>
      </c>
      <c r="AF57">
        <f t="shared" si="7"/>
        <v>0.69496040431910444</v>
      </c>
      <c r="AG57">
        <f t="shared" si="8"/>
        <v>1.0833010410212007E-2</v>
      </c>
      <c r="AH57">
        <f t="shared" si="9"/>
        <v>0.35587673076919657</v>
      </c>
      <c r="AI57">
        <f t="shared" si="10"/>
        <v>0.16527662326807047</v>
      </c>
      <c r="AJ57">
        <f t="shared" si="11"/>
        <v>7.7758794276663989E-2</v>
      </c>
      <c r="AK57">
        <f t="shared" si="12"/>
        <v>-2.946207532953099E-2</v>
      </c>
      <c r="AL57">
        <f t="shared" si="13"/>
        <v>0</v>
      </c>
      <c r="AM57">
        <f t="shared" si="14"/>
        <v>0</v>
      </c>
      <c r="AN57">
        <f t="shared" si="15"/>
        <v>0</v>
      </c>
      <c r="AO57">
        <f t="shared" si="16"/>
        <v>0</v>
      </c>
      <c r="AP57">
        <f t="shared" si="17"/>
        <v>0</v>
      </c>
      <c r="AQ57">
        <f t="shared" si="18"/>
        <v>0</v>
      </c>
      <c r="AR57">
        <f t="shared" si="19"/>
        <v>0</v>
      </c>
    </row>
    <row r="58" spans="1:44" x14ac:dyDescent="0.25">
      <c r="A58" s="14">
        <v>40451</v>
      </c>
      <c r="B58">
        <v>89.638294686830889</v>
      </c>
      <c r="C58">
        <v>85.933661989550004</v>
      </c>
      <c r="D58">
        <v>97.975058796536885</v>
      </c>
      <c r="E58">
        <v>86.951847807603031</v>
      </c>
      <c r="F58">
        <v>91.446251491513593</v>
      </c>
      <c r="G58">
        <v>90.86338632288313</v>
      </c>
      <c r="H58">
        <v>68.001566778590345</v>
      </c>
      <c r="I58">
        <v>88.087504676968365</v>
      </c>
      <c r="J58">
        <v>89.597693247304207</v>
      </c>
      <c r="K58">
        <v>0.74234749464842498</v>
      </c>
      <c r="L58">
        <v>81.7654454545455</v>
      </c>
      <c r="M58" s="15">
        <f>+'[3]VAR expectations'!C82</f>
        <v>2.4999999999999987</v>
      </c>
      <c r="N58">
        <v>0.26076684740058198</v>
      </c>
      <c r="O58">
        <v>-0.12701395323713599</v>
      </c>
      <c r="P58">
        <v>313</v>
      </c>
      <c r="Q58">
        <v>88</v>
      </c>
      <c r="R58">
        <v>451</v>
      </c>
      <c r="S58">
        <v>108</v>
      </c>
      <c r="T58">
        <v>18</v>
      </c>
      <c r="U58">
        <v>22</v>
      </c>
      <c r="V58">
        <f t="shared" si="1"/>
        <v>148</v>
      </c>
      <c r="X58">
        <f t="shared" si="2"/>
        <v>0.48835967745381481</v>
      </c>
      <c r="Y58">
        <f t="shared" si="20"/>
        <v>0.73599364855665783</v>
      </c>
      <c r="Z58">
        <f t="shared" si="21"/>
        <v>0.18019037743525246</v>
      </c>
      <c r="AA58">
        <f t="shared" si="22"/>
        <v>1.0681432108471398</v>
      </c>
      <c r="AB58">
        <f t="shared" si="3"/>
        <v>1.1817444980343907</v>
      </c>
      <c r="AC58">
        <f t="shared" si="4"/>
        <v>0.68216457920642881</v>
      </c>
      <c r="AD58">
        <f t="shared" si="5"/>
        <v>0.67878150589091035</v>
      </c>
      <c r="AE58">
        <f t="shared" si="6"/>
        <v>-0.90586664655150173</v>
      </c>
      <c r="AF58">
        <f t="shared" si="7"/>
        <v>0.38859807194270957</v>
      </c>
      <c r="AG58">
        <f t="shared" si="8"/>
        <v>-6.1119767469169917E-3</v>
      </c>
      <c r="AH58">
        <f t="shared" si="9"/>
        <v>1.8657562237763017</v>
      </c>
      <c r="AI58">
        <f t="shared" si="10"/>
        <v>-0.15058865640595753</v>
      </c>
      <c r="AJ58">
        <f t="shared" si="11"/>
        <v>-0.31955118865592202</v>
      </c>
      <c r="AK58">
        <f t="shared" si="12"/>
        <v>-0.28517862920932402</v>
      </c>
      <c r="AL58">
        <f t="shared" si="13"/>
        <v>0</v>
      </c>
      <c r="AM58">
        <f t="shared" si="14"/>
        <v>0</v>
      </c>
      <c r="AN58">
        <f t="shared" si="15"/>
        <v>0</v>
      </c>
      <c r="AO58">
        <f t="shared" si="16"/>
        <v>0</v>
      </c>
      <c r="AP58">
        <f t="shared" si="17"/>
        <v>0</v>
      </c>
      <c r="AQ58">
        <f t="shared" si="18"/>
        <v>0</v>
      </c>
      <c r="AR58">
        <f t="shared" si="19"/>
        <v>0</v>
      </c>
    </row>
    <row r="59" spans="1:44" x14ac:dyDescent="0.25">
      <c r="A59" s="14">
        <v>40543</v>
      </c>
      <c r="B59">
        <v>90.489806177236133</v>
      </c>
      <c r="C59">
        <v>86.591552448257588</v>
      </c>
      <c r="D59">
        <v>98.369291646594647</v>
      </c>
      <c r="E59">
        <v>88.591673818649085</v>
      </c>
      <c r="F59">
        <v>93.13460881510359</v>
      </c>
      <c r="G59">
        <v>92.78220916680867</v>
      </c>
      <c r="H59">
        <v>69.334173598667135</v>
      </c>
      <c r="I59">
        <v>90.420116042050893</v>
      </c>
      <c r="J59">
        <v>90.4101607728266</v>
      </c>
      <c r="K59">
        <v>0.75542882863199101</v>
      </c>
      <c r="L59">
        <v>80.312759090909097</v>
      </c>
      <c r="M59" s="15">
        <f>+'[3]VAR expectations'!C83</f>
        <v>2.6999999999999864</v>
      </c>
      <c r="N59">
        <v>0.32099091782760703</v>
      </c>
      <c r="O59">
        <v>0.19462453007871</v>
      </c>
      <c r="P59">
        <v>313</v>
      </c>
      <c r="Q59">
        <v>88</v>
      </c>
      <c r="R59">
        <v>451</v>
      </c>
      <c r="S59">
        <v>108</v>
      </c>
      <c r="T59">
        <v>18</v>
      </c>
      <c r="U59">
        <v>22</v>
      </c>
      <c r="V59">
        <f t="shared" si="1"/>
        <v>148</v>
      </c>
      <c r="X59">
        <f t="shared" si="2"/>
        <v>0.85151149040524388</v>
      </c>
      <c r="Y59">
        <f t="shared" si="20"/>
        <v>0.657890458707584</v>
      </c>
      <c r="Z59">
        <f t="shared" si="21"/>
        <v>0.39423285005776165</v>
      </c>
      <c r="AA59">
        <f t="shared" si="22"/>
        <v>1.6398260110460541</v>
      </c>
      <c r="AB59">
        <f t="shared" si="3"/>
        <v>1.6883573235899973</v>
      </c>
      <c r="AC59">
        <f t="shared" si="4"/>
        <v>1.9188228439255397</v>
      </c>
      <c r="AD59">
        <f t="shared" si="5"/>
        <v>1.3326068200767907</v>
      </c>
      <c r="AE59">
        <f t="shared" si="6"/>
        <v>2.3326113650825278</v>
      </c>
      <c r="AF59">
        <f t="shared" si="7"/>
        <v>0.81246752552239343</v>
      </c>
      <c r="AG59">
        <f t="shared" si="8"/>
        <v>1.3081333983566035E-2</v>
      </c>
      <c r="AH59">
        <f t="shared" si="9"/>
        <v>-1.4526863636364027</v>
      </c>
      <c r="AI59">
        <f t="shared" si="10"/>
        <v>-0.13523462648465134</v>
      </c>
      <c r="AJ59">
        <f t="shared" si="11"/>
        <v>6.0224070427025045E-2</v>
      </c>
      <c r="AK59">
        <f t="shared" si="12"/>
        <v>0.32163848331584599</v>
      </c>
      <c r="AL59">
        <f t="shared" si="13"/>
        <v>0</v>
      </c>
      <c r="AM59">
        <f t="shared" si="14"/>
        <v>0</v>
      </c>
      <c r="AN59">
        <f t="shared" si="15"/>
        <v>0</v>
      </c>
      <c r="AO59">
        <f t="shared" si="16"/>
        <v>0</v>
      </c>
      <c r="AP59">
        <f t="shared" si="17"/>
        <v>0</v>
      </c>
      <c r="AQ59">
        <f t="shared" si="18"/>
        <v>0</v>
      </c>
      <c r="AR59">
        <f t="shared" si="19"/>
        <v>0</v>
      </c>
    </row>
    <row r="60" spans="1:44" x14ac:dyDescent="0.25">
      <c r="A60" s="14">
        <v>40633</v>
      </c>
      <c r="B60">
        <v>92.028246006294424</v>
      </c>
      <c r="C60">
        <v>87.912967080105943</v>
      </c>
      <c r="D60">
        <v>99.170306398765774</v>
      </c>
      <c r="E60">
        <v>90.012389630124503</v>
      </c>
      <c r="F60">
        <v>94.438459915867682</v>
      </c>
      <c r="G60">
        <v>93.157862915665092</v>
      </c>
      <c r="H60">
        <v>71.802037138736935</v>
      </c>
      <c r="I60">
        <v>95.633425670901943</v>
      </c>
      <c r="J60">
        <v>92.119747796089499</v>
      </c>
      <c r="K60">
        <v>0.77480731613046805</v>
      </c>
      <c r="L60">
        <v>80.801396874999995</v>
      </c>
      <c r="M60" s="15">
        <f>+'[3]VAR expectations'!C84</f>
        <v>3.3233333333333448</v>
      </c>
      <c r="N60">
        <v>0.70267001409044105</v>
      </c>
      <c r="O60">
        <v>0.56007002109159698</v>
      </c>
      <c r="P60">
        <v>314</v>
      </c>
      <c r="Q60">
        <v>87</v>
      </c>
      <c r="R60">
        <v>439</v>
      </c>
      <c r="S60">
        <v>118</v>
      </c>
      <c r="T60">
        <v>19</v>
      </c>
      <c r="U60">
        <v>23</v>
      </c>
      <c r="V60">
        <f t="shared" si="1"/>
        <v>160</v>
      </c>
      <c r="X60">
        <f t="shared" si="2"/>
        <v>1.5384398290582908</v>
      </c>
      <c r="Y60">
        <f t="shared" si="20"/>
        <v>1.3214146318483557</v>
      </c>
      <c r="Z60">
        <f t="shared" si="21"/>
        <v>0.8010147521711275</v>
      </c>
      <c r="AA60">
        <f t="shared" si="22"/>
        <v>1.4207158114754179</v>
      </c>
      <c r="AB60">
        <f t="shared" si="3"/>
        <v>1.3038511007640921</v>
      </c>
      <c r="AC60">
        <f t="shared" si="4"/>
        <v>0.375653748856422</v>
      </c>
      <c r="AD60">
        <f t="shared" si="5"/>
        <v>2.4678635400697999</v>
      </c>
      <c r="AE60">
        <f t="shared" si="6"/>
        <v>5.2133096288510501</v>
      </c>
      <c r="AF60">
        <f t="shared" si="7"/>
        <v>1.7095870232628982</v>
      </c>
      <c r="AG60">
        <f t="shared" si="8"/>
        <v>1.9378487498477037E-2</v>
      </c>
      <c r="AH60">
        <f t="shared" si="9"/>
        <v>0.48863778409089775</v>
      </c>
      <c r="AI60">
        <f t="shared" si="10"/>
        <v>5.1819722050498118E-2</v>
      </c>
      <c r="AJ60">
        <f t="shared" si="11"/>
        <v>0.38167909626283403</v>
      </c>
      <c r="AK60">
        <f t="shared" si="12"/>
        <v>0.36544549101288698</v>
      </c>
      <c r="AL60">
        <f t="shared" si="13"/>
        <v>1</v>
      </c>
      <c r="AM60">
        <f t="shared" si="14"/>
        <v>-1</v>
      </c>
      <c r="AN60">
        <f t="shared" si="15"/>
        <v>-12</v>
      </c>
      <c r="AO60">
        <f t="shared" si="16"/>
        <v>10</v>
      </c>
      <c r="AP60">
        <f t="shared" si="17"/>
        <v>1</v>
      </c>
      <c r="AQ60">
        <f t="shared" si="18"/>
        <v>1</v>
      </c>
      <c r="AR60">
        <f t="shared" si="19"/>
        <v>12</v>
      </c>
    </row>
    <row r="61" spans="1:44" x14ac:dyDescent="0.25">
      <c r="A61" s="14">
        <v>40724</v>
      </c>
      <c r="B61">
        <v>93.071536943024171</v>
      </c>
      <c r="C61">
        <v>89.053937918689897</v>
      </c>
      <c r="D61">
        <v>99.269248788610994</v>
      </c>
      <c r="E61">
        <v>91.677961394101132</v>
      </c>
      <c r="F61">
        <v>95.451423700043904</v>
      </c>
      <c r="G61">
        <v>96.631551388411069</v>
      </c>
      <c r="H61">
        <v>74.990931545672041</v>
      </c>
      <c r="I61">
        <v>98.19389255267329</v>
      </c>
      <c r="J61">
        <v>93.115155211009593</v>
      </c>
      <c r="K61">
        <v>0.79250308454060703</v>
      </c>
      <c r="L61">
        <v>79.449792307692306</v>
      </c>
      <c r="M61" s="15">
        <f>+'[3]VAR expectations'!C85</f>
        <v>4.1266666666667335</v>
      </c>
      <c r="N61">
        <v>0.76852261598709404</v>
      </c>
      <c r="O61">
        <v>0.23219285039294399</v>
      </c>
      <c r="P61">
        <v>314</v>
      </c>
      <c r="Q61">
        <v>87</v>
      </c>
      <c r="R61">
        <v>439</v>
      </c>
      <c r="S61">
        <v>118</v>
      </c>
      <c r="T61">
        <v>19</v>
      </c>
      <c r="U61">
        <v>23</v>
      </c>
      <c r="V61">
        <f t="shared" si="1"/>
        <v>160</v>
      </c>
      <c r="X61">
        <f t="shared" si="2"/>
        <v>1.0432909367297469</v>
      </c>
      <c r="Y61">
        <f t="shared" si="20"/>
        <v>1.1409708385839537</v>
      </c>
      <c r="Z61">
        <f t="shared" si="21"/>
        <v>9.8942389845220191E-2</v>
      </c>
      <c r="AA61">
        <f t="shared" si="22"/>
        <v>1.6655717639766294</v>
      </c>
      <c r="AB61">
        <f t="shared" si="3"/>
        <v>1.0129637841762218</v>
      </c>
      <c r="AC61">
        <f t="shared" si="4"/>
        <v>3.4736884727459767</v>
      </c>
      <c r="AD61">
        <f t="shared" si="5"/>
        <v>3.1888944069351055</v>
      </c>
      <c r="AE61">
        <f t="shared" si="6"/>
        <v>2.5604668817713474</v>
      </c>
      <c r="AF61">
        <f t="shared" si="7"/>
        <v>0.99540741492009488</v>
      </c>
      <c r="AG61">
        <f t="shared" si="8"/>
        <v>1.7695768410138979E-2</v>
      </c>
      <c r="AH61">
        <f t="shared" si="9"/>
        <v>-1.3516045673076889</v>
      </c>
      <c r="AI61">
        <f t="shared" si="10"/>
        <v>0.58469641710933429</v>
      </c>
      <c r="AJ61">
        <f t="shared" si="11"/>
        <v>6.5852601896652985E-2</v>
      </c>
      <c r="AK61">
        <f t="shared" si="12"/>
        <v>-0.32787717069865296</v>
      </c>
      <c r="AL61">
        <f t="shared" si="13"/>
        <v>0</v>
      </c>
      <c r="AM61">
        <f t="shared" si="14"/>
        <v>0</v>
      </c>
      <c r="AN61">
        <f t="shared" si="15"/>
        <v>0</v>
      </c>
      <c r="AO61">
        <f t="shared" si="16"/>
        <v>0</v>
      </c>
      <c r="AP61">
        <f t="shared" si="17"/>
        <v>0</v>
      </c>
      <c r="AQ61">
        <f t="shared" si="18"/>
        <v>0</v>
      </c>
      <c r="AR61">
        <f t="shared" si="19"/>
        <v>0</v>
      </c>
    </row>
    <row r="62" spans="1:44" x14ac:dyDescent="0.25">
      <c r="A62" s="14">
        <v>40816</v>
      </c>
      <c r="B62">
        <v>93.884444201758356</v>
      </c>
      <c r="C62">
        <v>89.712905874510099</v>
      </c>
      <c r="D62">
        <v>99.557418846227847</v>
      </c>
      <c r="E62">
        <v>93.237254463578665</v>
      </c>
      <c r="F62">
        <v>97.154981546404201</v>
      </c>
      <c r="G62">
        <v>97.117781804489667</v>
      </c>
      <c r="H62">
        <v>76.509668870506928</v>
      </c>
      <c r="I62">
        <v>100.16051669288386</v>
      </c>
      <c r="J62">
        <v>93.838228902574699</v>
      </c>
      <c r="K62">
        <v>0.80330078884896206</v>
      </c>
      <c r="L62">
        <v>79.238960606060601</v>
      </c>
      <c r="M62" s="15">
        <f>+'[3]VAR expectations'!C86</f>
        <v>4.3404589371979831</v>
      </c>
      <c r="N62">
        <v>1.05498669861284</v>
      </c>
      <c r="O62">
        <v>0.15487507420452101</v>
      </c>
      <c r="P62">
        <v>314</v>
      </c>
      <c r="Q62">
        <v>87</v>
      </c>
      <c r="R62">
        <v>439</v>
      </c>
      <c r="S62">
        <v>118</v>
      </c>
      <c r="T62">
        <v>19</v>
      </c>
      <c r="U62">
        <v>23</v>
      </c>
      <c r="V62">
        <f t="shared" si="1"/>
        <v>160</v>
      </c>
      <c r="X62">
        <f t="shared" si="2"/>
        <v>0.81290725873418523</v>
      </c>
      <c r="Y62">
        <f t="shared" si="20"/>
        <v>0.65896795582020218</v>
      </c>
      <c r="Z62">
        <f t="shared" si="21"/>
        <v>0.28817005761685266</v>
      </c>
      <c r="AA62">
        <f t="shared" si="22"/>
        <v>1.5592930694775333</v>
      </c>
      <c r="AB62">
        <f t="shared" si="3"/>
        <v>1.7035578463602974</v>
      </c>
      <c r="AC62">
        <f t="shared" si="4"/>
        <v>0.48623041607859818</v>
      </c>
      <c r="AD62">
        <f t="shared" si="5"/>
        <v>1.5187373248348877</v>
      </c>
      <c r="AE62">
        <f t="shared" si="6"/>
        <v>1.9666241402105697</v>
      </c>
      <c r="AF62">
        <f t="shared" si="7"/>
        <v>0.72307369156510504</v>
      </c>
      <c r="AG62">
        <f t="shared" si="8"/>
        <v>1.0797704308355027E-2</v>
      </c>
      <c r="AH62">
        <f t="shared" si="9"/>
        <v>-0.2108317016317045</v>
      </c>
      <c r="AI62">
        <f t="shared" si="10"/>
        <v>0.96524643305510915</v>
      </c>
      <c r="AJ62">
        <f t="shared" si="11"/>
        <v>0.28646408262574596</v>
      </c>
      <c r="AK62">
        <f t="shared" si="12"/>
        <v>-7.7317776188422976E-2</v>
      </c>
      <c r="AL62">
        <f t="shared" si="13"/>
        <v>0</v>
      </c>
      <c r="AM62">
        <f t="shared" si="14"/>
        <v>0</v>
      </c>
      <c r="AN62">
        <f t="shared" si="15"/>
        <v>0</v>
      </c>
      <c r="AO62">
        <f t="shared" si="16"/>
        <v>0</v>
      </c>
      <c r="AP62">
        <f t="shared" si="17"/>
        <v>0</v>
      </c>
      <c r="AQ62">
        <f t="shared" si="18"/>
        <v>0</v>
      </c>
      <c r="AR62">
        <f t="shared" si="19"/>
        <v>0</v>
      </c>
    </row>
    <row r="63" spans="1:44" x14ac:dyDescent="0.25">
      <c r="A63" s="14">
        <v>40908</v>
      </c>
      <c r="B63">
        <v>94.672700791711677</v>
      </c>
      <c r="C63">
        <v>90.273256422834663</v>
      </c>
      <c r="D63">
        <v>99.989179662138312</v>
      </c>
      <c r="E63">
        <v>93.532438518691151</v>
      </c>
      <c r="F63">
        <v>97.130995935006737</v>
      </c>
      <c r="G63">
        <v>97.517220688463397</v>
      </c>
      <c r="H63">
        <v>77.87668627081456</v>
      </c>
      <c r="I63">
        <v>104.67349034756099</v>
      </c>
      <c r="J63">
        <v>94.600470014285307</v>
      </c>
      <c r="K63">
        <v>0.79692550841968202</v>
      </c>
      <c r="L63">
        <v>80.333807692307701</v>
      </c>
      <c r="M63" s="15">
        <f>+'[3]VAR expectations'!C87</f>
        <v>1.5441543026706288</v>
      </c>
      <c r="N63">
        <v>1.24898176101869</v>
      </c>
      <c r="O63">
        <v>0.381362520234932</v>
      </c>
      <c r="P63">
        <v>314</v>
      </c>
      <c r="Q63">
        <v>87</v>
      </c>
      <c r="R63">
        <v>439</v>
      </c>
      <c r="S63">
        <v>118</v>
      </c>
      <c r="T63">
        <v>19</v>
      </c>
      <c r="U63">
        <v>23</v>
      </c>
      <c r="V63">
        <f t="shared" si="1"/>
        <v>160</v>
      </c>
      <c r="X63">
        <f t="shared" si="2"/>
        <v>0.78825658995332049</v>
      </c>
      <c r="Y63">
        <f t="shared" si="20"/>
        <v>0.5603505483245641</v>
      </c>
      <c r="Z63">
        <f t="shared" si="21"/>
        <v>0.43176081591046511</v>
      </c>
      <c r="AA63">
        <f t="shared" si="22"/>
        <v>0.29518405511248602</v>
      </c>
      <c r="AB63">
        <f t="shared" si="3"/>
        <v>-2.3985611397463913E-2</v>
      </c>
      <c r="AC63">
        <f t="shared" si="4"/>
        <v>0.39943888397372973</v>
      </c>
      <c r="AD63">
        <f t="shared" si="5"/>
        <v>1.3670174003076312</v>
      </c>
      <c r="AE63">
        <f t="shared" si="6"/>
        <v>4.5129736546771255</v>
      </c>
      <c r="AF63">
        <f t="shared" si="7"/>
        <v>0.76224111171060827</v>
      </c>
      <c r="AG63">
        <f t="shared" si="8"/>
        <v>-6.3752804292800391E-3</v>
      </c>
      <c r="AH63">
        <f t="shared" si="9"/>
        <v>1.0948470862470998</v>
      </c>
      <c r="AI63">
        <f t="shared" si="10"/>
        <v>-1.9457262445439678</v>
      </c>
      <c r="AJ63">
        <f t="shared" si="11"/>
        <v>0.19399506240584996</v>
      </c>
      <c r="AK63">
        <f t="shared" si="12"/>
        <v>0.22648744603041099</v>
      </c>
      <c r="AL63">
        <f t="shared" si="13"/>
        <v>0</v>
      </c>
      <c r="AM63">
        <f t="shared" si="14"/>
        <v>0</v>
      </c>
      <c r="AN63">
        <f t="shared" si="15"/>
        <v>0</v>
      </c>
      <c r="AO63">
        <f t="shared" si="16"/>
        <v>0</v>
      </c>
      <c r="AP63">
        <f t="shared" si="17"/>
        <v>0</v>
      </c>
      <c r="AQ63">
        <f t="shared" si="18"/>
        <v>0</v>
      </c>
      <c r="AR63">
        <f t="shared" si="19"/>
        <v>0</v>
      </c>
    </row>
    <row r="64" spans="1:44" x14ac:dyDescent="0.25">
      <c r="A64" s="14">
        <v>40999</v>
      </c>
      <c r="B64">
        <v>95.220828533021802</v>
      </c>
      <c r="C64">
        <v>90.990465446417076</v>
      </c>
      <c r="D64">
        <v>100.26857414915668</v>
      </c>
      <c r="E64">
        <v>94.339792643349242</v>
      </c>
      <c r="F64">
        <v>98.059610435736786</v>
      </c>
      <c r="G64">
        <v>98.45528822952933</v>
      </c>
      <c r="H64">
        <v>78.297775842712142</v>
      </c>
      <c r="I64">
        <v>104.58844196118766</v>
      </c>
      <c r="J64">
        <v>95.296594834362097</v>
      </c>
      <c r="K64">
        <v>0.79036304883250197</v>
      </c>
      <c r="L64">
        <v>81.185307692307703</v>
      </c>
      <c r="M64" s="15">
        <f>+'[3]VAR expectations'!C88</f>
        <v>1.4821164021163924</v>
      </c>
      <c r="N64">
        <v>0.82772171266241201</v>
      </c>
      <c r="O64">
        <v>5.6173276616820499E-2</v>
      </c>
      <c r="P64">
        <v>299</v>
      </c>
      <c r="Q64">
        <v>102</v>
      </c>
      <c r="R64">
        <v>445</v>
      </c>
      <c r="S64">
        <v>112</v>
      </c>
      <c r="T64">
        <v>18</v>
      </c>
      <c r="U64">
        <v>24</v>
      </c>
      <c r="V64">
        <f t="shared" si="1"/>
        <v>154</v>
      </c>
      <c r="X64">
        <f t="shared" si="2"/>
        <v>0.54812774131012532</v>
      </c>
      <c r="Y64">
        <f t="shared" si="20"/>
        <v>0.7172090235824129</v>
      </c>
      <c r="Z64">
        <f t="shared" si="21"/>
        <v>0.27939448701836511</v>
      </c>
      <c r="AA64">
        <f t="shared" si="22"/>
        <v>0.8073541246580902</v>
      </c>
      <c r="AB64">
        <f t="shared" si="3"/>
        <v>0.92861450073004903</v>
      </c>
      <c r="AC64">
        <f t="shared" si="4"/>
        <v>0.9380675410659336</v>
      </c>
      <c r="AD64">
        <f t="shared" si="5"/>
        <v>0.421089571897582</v>
      </c>
      <c r="AE64">
        <f t="shared" si="6"/>
        <v>-8.5048386373330231E-2</v>
      </c>
      <c r="AF64">
        <f t="shared" si="7"/>
        <v>0.69612482007678977</v>
      </c>
      <c r="AG64">
        <f t="shared" si="8"/>
        <v>-6.5624595871800473E-3</v>
      </c>
      <c r="AH64">
        <f t="shared" si="9"/>
        <v>0.85150000000000148</v>
      </c>
      <c r="AI64">
        <f t="shared" si="10"/>
        <v>-1.7392533622141235</v>
      </c>
      <c r="AJ64">
        <f t="shared" si="11"/>
        <v>-0.42126004835627795</v>
      </c>
      <c r="AK64">
        <f t="shared" si="12"/>
        <v>-0.32518924361811152</v>
      </c>
      <c r="AL64">
        <f t="shared" si="13"/>
        <v>-15</v>
      </c>
      <c r="AM64">
        <f t="shared" si="14"/>
        <v>15</v>
      </c>
      <c r="AN64">
        <f t="shared" si="15"/>
        <v>6</v>
      </c>
      <c r="AO64">
        <f t="shared" si="16"/>
        <v>-6</v>
      </c>
      <c r="AP64">
        <f t="shared" si="17"/>
        <v>-1</v>
      </c>
      <c r="AQ64">
        <f t="shared" si="18"/>
        <v>1</v>
      </c>
      <c r="AR64">
        <f t="shared" si="19"/>
        <v>-6</v>
      </c>
    </row>
    <row r="65" spans="1:44" x14ac:dyDescent="0.25">
      <c r="A65" s="14">
        <v>41090</v>
      </c>
      <c r="B65">
        <v>95.661801589235736</v>
      </c>
      <c r="C65">
        <v>91.874666961234553</v>
      </c>
      <c r="D65">
        <v>99.992916527829777</v>
      </c>
      <c r="E65">
        <v>95.203023909993405</v>
      </c>
      <c r="F65">
        <v>98.600128903658003</v>
      </c>
      <c r="G65">
        <v>98.344902271854878</v>
      </c>
      <c r="H65">
        <v>80.928781127316668</v>
      </c>
      <c r="I65">
        <v>104.38451787906634</v>
      </c>
      <c r="J65">
        <v>95.693244690360004</v>
      </c>
      <c r="K65">
        <v>0.78233241965256906</v>
      </c>
      <c r="L65">
        <v>83.181383076923098</v>
      </c>
      <c r="M65" s="15">
        <f>+'[3]VAR expectations'!C89</f>
        <v>1.8160783232406086</v>
      </c>
      <c r="N65">
        <v>0.54554070595886694</v>
      </c>
      <c r="O65">
        <v>-4.3636593431138501E-2</v>
      </c>
      <c r="P65">
        <v>299</v>
      </c>
      <c r="Q65">
        <v>102</v>
      </c>
      <c r="R65">
        <v>445</v>
      </c>
      <c r="S65">
        <v>112</v>
      </c>
      <c r="T65">
        <v>18</v>
      </c>
      <c r="U65">
        <v>24</v>
      </c>
      <c r="V65">
        <f t="shared" si="1"/>
        <v>154</v>
      </c>
      <c r="X65">
        <f t="shared" si="2"/>
        <v>0.44097305621393446</v>
      </c>
      <c r="Y65">
        <f t="shared" si="20"/>
        <v>0.88420151481747666</v>
      </c>
      <c r="Z65">
        <f t="shared" si="21"/>
        <v>-0.27565762132689997</v>
      </c>
      <c r="AA65">
        <f t="shared" si="22"/>
        <v>0.8632312666441635</v>
      </c>
      <c r="AB65">
        <f t="shared" si="3"/>
        <v>0.54051846792121694</v>
      </c>
      <c r="AC65">
        <f t="shared" si="4"/>
        <v>-0.11038595767445258</v>
      </c>
      <c r="AD65">
        <f t="shared" si="5"/>
        <v>2.6310052846045267</v>
      </c>
      <c r="AE65">
        <f t="shared" si="6"/>
        <v>-0.20392408212131841</v>
      </c>
      <c r="AF65">
        <f t="shared" si="7"/>
        <v>0.39664985599790725</v>
      </c>
      <c r="AG65">
        <f t="shared" si="8"/>
        <v>-8.0306291799329133E-3</v>
      </c>
      <c r="AH65">
        <f t="shared" si="9"/>
        <v>1.9960753846153949</v>
      </c>
      <c r="AI65">
        <f t="shared" si="10"/>
        <v>-0.85720303527493469</v>
      </c>
      <c r="AJ65">
        <f t="shared" si="11"/>
        <v>-0.28218100670354507</v>
      </c>
      <c r="AK65">
        <f t="shared" si="12"/>
        <v>-9.9809870047958993E-2</v>
      </c>
      <c r="AL65">
        <f t="shared" si="13"/>
        <v>0</v>
      </c>
      <c r="AM65">
        <f t="shared" si="14"/>
        <v>0</v>
      </c>
      <c r="AN65">
        <f t="shared" si="15"/>
        <v>0</v>
      </c>
      <c r="AO65">
        <f t="shared" si="16"/>
        <v>0</v>
      </c>
      <c r="AP65">
        <f t="shared" si="17"/>
        <v>0</v>
      </c>
      <c r="AQ65">
        <f t="shared" si="18"/>
        <v>0</v>
      </c>
      <c r="AR65">
        <f t="shared" si="19"/>
        <v>0</v>
      </c>
    </row>
    <row r="66" spans="1:44" x14ac:dyDescent="0.25">
      <c r="A66" s="14">
        <v>41182</v>
      </c>
      <c r="B66">
        <v>96.159757106247127</v>
      </c>
      <c r="C66">
        <v>92.663276461154041</v>
      </c>
      <c r="D66">
        <v>100.06941067775598</v>
      </c>
      <c r="E66">
        <v>96.120000892621292</v>
      </c>
      <c r="F66">
        <v>99.226062487439506</v>
      </c>
      <c r="G66">
        <v>98.889261550535934</v>
      </c>
      <c r="H66">
        <v>82.976582341582699</v>
      </c>
      <c r="I66">
        <v>103.68401053509801</v>
      </c>
      <c r="J66">
        <v>96.132770683416496</v>
      </c>
      <c r="K66">
        <v>0.77949894334766001</v>
      </c>
      <c r="L66">
        <v>84.087635384615396</v>
      </c>
      <c r="M66" s="15">
        <f>+'[3]VAR expectations'!C90</f>
        <v>1.8710162025955688</v>
      </c>
      <c r="N66">
        <v>0.31575128789910001</v>
      </c>
      <c r="O66">
        <v>-7.0602534907149003E-2</v>
      </c>
      <c r="P66">
        <v>299</v>
      </c>
      <c r="Q66">
        <v>102</v>
      </c>
      <c r="R66">
        <v>445</v>
      </c>
      <c r="S66">
        <v>112</v>
      </c>
      <c r="T66">
        <v>18</v>
      </c>
      <c r="U66">
        <v>24</v>
      </c>
      <c r="V66">
        <f t="shared" ref="V66:V129" si="23">+S66+T66+U66</f>
        <v>154</v>
      </c>
      <c r="X66">
        <f t="shared" ref="X66:X129" si="24">B66-B204</f>
        <v>0.49795551701139118</v>
      </c>
      <c r="Y66">
        <f t="shared" si="20"/>
        <v>0.78860949991948814</v>
      </c>
      <c r="Z66">
        <f t="shared" si="21"/>
        <v>7.6494149926205068E-2</v>
      </c>
      <c r="AA66">
        <f t="shared" si="22"/>
        <v>0.91697698262788663</v>
      </c>
      <c r="AB66">
        <f t="shared" si="3"/>
        <v>0.62593358378150299</v>
      </c>
      <c r="AC66">
        <f t="shared" si="4"/>
        <v>0.54435927868105694</v>
      </c>
      <c r="AD66">
        <f t="shared" si="5"/>
        <v>2.0478012142660305</v>
      </c>
      <c r="AE66">
        <f t="shared" si="6"/>
        <v>-0.70050734396832581</v>
      </c>
      <c r="AF66">
        <f t="shared" si="7"/>
        <v>0.43952599305649187</v>
      </c>
      <c r="AG66">
        <f t="shared" si="8"/>
        <v>-2.8334763049090439E-3</v>
      </c>
      <c r="AH66">
        <f t="shared" si="9"/>
        <v>0.90625230769229859</v>
      </c>
      <c r="AI66">
        <f t="shared" si="10"/>
        <v>-0.8617910799727464</v>
      </c>
      <c r="AJ66">
        <f t="shared" si="11"/>
        <v>-0.22978941805976694</v>
      </c>
      <c r="AK66">
        <f t="shared" si="12"/>
        <v>-2.6965941476010502E-2</v>
      </c>
      <c r="AL66">
        <f t="shared" si="13"/>
        <v>0</v>
      </c>
      <c r="AM66">
        <f t="shared" si="14"/>
        <v>0</v>
      </c>
      <c r="AN66">
        <f t="shared" si="15"/>
        <v>0</v>
      </c>
      <c r="AO66">
        <f t="shared" si="16"/>
        <v>0</v>
      </c>
      <c r="AP66">
        <f t="shared" si="17"/>
        <v>0</v>
      </c>
      <c r="AQ66">
        <f t="shared" si="18"/>
        <v>0</v>
      </c>
      <c r="AR66">
        <f t="shared" si="19"/>
        <v>0</v>
      </c>
    </row>
    <row r="67" spans="1:44" x14ac:dyDescent="0.25">
      <c r="A67" s="14">
        <v>41274</v>
      </c>
      <c r="B67">
        <v>97.162654247917999</v>
      </c>
      <c r="C67">
        <v>93.826523338900373</v>
      </c>
      <c r="D67">
        <v>100.41599137190799</v>
      </c>
      <c r="E67">
        <v>97.577218272869018</v>
      </c>
      <c r="F67">
        <v>100.720386662997</v>
      </c>
      <c r="G67">
        <v>99.479593443291932</v>
      </c>
      <c r="H67">
        <v>84.635244859279169</v>
      </c>
      <c r="I67">
        <v>105.58557801242399</v>
      </c>
      <c r="J67">
        <v>97.110964269244803</v>
      </c>
      <c r="K67">
        <v>0.78154662829000898</v>
      </c>
      <c r="L67">
        <v>83.635050000000007</v>
      </c>
      <c r="M67" s="15">
        <f>+'[3]VAR expectations'!C91</f>
        <v>2.0075486250838721</v>
      </c>
      <c r="N67">
        <v>0.104563536497584</v>
      </c>
      <c r="O67">
        <v>0.17002043948124901</v>
      </c>
      <c r="P67">
        <v>299</v>
      </c>
      <c r="Q67">
        <v>102</v>
      </c>
      <c r="R67">
        <v>445</v>
      </c>
      <c r="S67">
        <v>112</v>
      </c>
      <c r="T67">
        <v>18</v>
      </c>
      <c r="U67">
        <v>24</v>
      </c>
      <c r="V67">
        <f t="shared" si="23"/>
        <v>154</v>
      </c>
      <c r="X67">
        <f t="shared" si="24"/>
        <v>1.0028971416708714</v>
      </c>
      <c r="Y67">
        <f t="shared" si="20"/>
        <v>1.1632468777463316</v>
      </c>
      <c r="Z67">
        <f t="shared" si="21"/>
        <v>0.34658069415200998</v>
      </c>
      <c r="AA67">
        <f t="shared" si="22"/>
        <v>1.4572173802477266</v>
      </c>
      <c r="AB67">
        <f t="shared" si="3"/>
        <v>1.4943241755574945</v>
      </c>
      <c r="AC67">
        <f t="shared" si="4"/>
        <v>0.59033189275599796</v>
      </c>
      <c r="AD67">
        <f t="shared" si="5"/>
        <v>1.6586625176964702</v>
      </c>
      <c r="AE67">
        <f t="shared" si="6"/>
        <v>1.9015674773259832</v>
      </c>
      <c r="AF67">
        <f t="shared" si="7"/>
        <v>0.97819358582830773</v>
      </c>
      <c r="AG67">
        <f t="shared" si="8"/>
        <v>2.0476849423489707E-3</v>
      </c>
      <c r="AH67">
        <f t="shared" si="9"/>
        <v>-0.45258538461538933</v>
      </c>
      <c r="AI67">
        <f t="shared" si="10"/>
        <v>-0.62632836715278817</v>
      </c>
      <c r="AJ67">
        <f t="shared" si="11"/>
        <v>-0.21118775140151602</v>
      </c>
      <c r="AK67">
        <f t="shared" si="12"/>
        <v>0.24062297438839803</v>
      </c>
      <c r="AL67">
        <f t="shared" si="13"/>
        <v>0</v>
      </c>
      <c r="AM67">
        <f t="shared" si="14"/>
        <v>0</v>
      </c>
      <c r="AN67">
        <f t="shared" si="15"/>
        <v>0</v>
      </c>
      <c r="AO67">
        <f t="shared" si="16"/>
        <v>0</v>
      </c>
      <c r="AP67">
        <f t="shared" si="17"/>
        <v>0</v>
      </c>
      <c r="AQ67">
        <f t="shared" si="18"/>
        <v>0</v>
      </c>
      <c r="AR67">
        <f t="shared" si="19"/>
        <v>0</v>
      </c>
    </row>
    <row r="68" spans="1:44" x14ac:dyDescent="0.25">
      <c r="A68" s="14">
        <v>41364</v>
      </c>
      <c r="B68">
        <v>97.878204369286664</v>
      </c>
      <c r="C68">
        <v>94.497713062964138</v>
      </c>
      <c r="D68">
        <v>100.25492351994366</v>
      </c>
      <c r="E68">
        <v>98.933189023488126</v>
      </c>
      <c r="F68">
        <v>101.831219987024</v>
      </c>
      <c r="G68">
        <v>101.77752488879499</v>
      </c>
      <c r="H68">
        <v>85.719780021004397</v>
      </c>
      <c r="I68">
        <v>108.31118169835234</v>
      </c>
      <c r="J68">
        <v>97.925488465259704</v>
      </c>
      <c r="K68">
        <v>0.79884478823621796</v>
      </c>
      <c r="L68">
        <v>80.442884375000006</v>
      </c>
      <c r="M68" s="15">
        <f>+'[3]VAR expectations'!C92</f>
        <v>2.301390043398611</v>
      </c>
      <c r="N68">
        <v>0.324024369524822</v>
      </c>
      <c r="O68">
        <v>0.241460052475615</v>
      </c>
      <c r="P68">
        <v>296</v>
      </c>
      <c r="Q68">
        <v>88</v>
      </c>
      <c r="R68">
        <v>466</v>
      </c>
      <c r="S68">
        <v>106</v>
      </c>
      <c r="T68">
        <v>20</v>
      </c>
      <c r="U68">
        <v>24</v>
      </c>
      <c r="V68">
        <f t="shared" si="23"/>
        <v>150</v>
      </c>
      <c r="X68">
        <f t="shared" si="24"/>
        <v>0.7155501213686648</v>
      </c>
      <c r="Y68">
        <f t="shared" si="20"/>
        <v>0.67118972406376542</v>
      </c>
      <c r="Z68">
        <f t="shared" si="21"/>
        <v>-0.16106785196433293</v>
      </c>
      <c r="AA68">
        <f t="shared" si="22"/>
        <v>1.3559707506191074</v>
      </c>
      <c r="AB68">
        <f t="shared" si="3"/>
        <v>1.1108333240269985</v>
      </c>
      <c r="AC68">
        <f t="shared" si="4"/>
        <v>2.2979314455030533</v>
      </c>
      <c r="AD68">
        <f t="shared" si="5"/>
        <v>1.0845351617252277</v>
      </c>
      <c r="AE68">
        <f t="shared" si="6"/>
        <v>2.7256036859283483</v>
      </c>
      <c r="AF68">
        <f t="shared" si="7"/>
        <v>0.81452419601490078</v>
      </c>
      <c r="AG68">
        <f t="shared" si="8"/>
        <v>1.729815994620898E-2</v>
      </c>
      <c r="AH68">
        <f t="shared" si="9"/>
        <v>-3.1921656250000012</v>
      </c>
      <c r="AI68">
        <f t="shared" si="10"/>
        <v>-0.53815927583036416</v>
      </c>
      <c r="AJ68">
        <f t="shared" si="11"/>
        <v>0.21946083302723801</v>
      </c>
      <c r="AK68">
        <f t="shared" si="12"/>
        <v>7.1439612994365992E-2</v>
      </c>
      <c r="AL68">
        <f t="shared" si="13"/>
        <v>-3</v>
      </c>
      <c r="AM68">
        <f t="shared" si="14"/>
        <v>-14</v>
      </c>
      <c r="AN68">
        <f t="shared" si="15"/>
        <v>21</v>
      </c>
      <c r="AO68">
        <f t="shared" si="16"/>
        <v>-6</v>
      </c>
      <c r="AP68">
        <f t="shared" si="17"/>
        <v>2</v>
      </c>
      <c r="AQ68">
        <f t="shared" si="18"/>
        <v>0</v>
      </c>
      <c r="AR68">
        <f t="shared" si="19"/>
        <v>-4</v>
      </c>
    </row>
    <row r="69" spans="1:44" x14ac:dyDescent="0.25">
      <c r="A69" s="14">
        <v>41455</v>
      </c>
      <c r="B69">
        <v>98.251378473589838</v>
      </c>
      <c r="C69">
        <v>95.046476257027862</v>
      </c>
      <c r="D69">
        <v>100.27978237194566</v>
      </c>
      <c r="E69">
        <v>99.859685215060438</v>
      </c>
      <c r="F69">
        <v>102.75500391936266</v>
      </c>
      <c r="G69">
        <v>101.836289917104</v>
      </c>
      <c r="H69">
        <v>87.210873548229799</v>
      </c>
      <c r="I69">
        <v>107.83201654009734</v>
      </c>
      <c r="J69">
        <v>98.272753366828596</v>
      </c>
      <c r="K69">
        <v>0.79167951163778205</v>
      </c>
      <c r="L69">
        <v>80.515092307692299</v>
      </c>
      <c r="M69" s="15">
        <f>+'[3]VAR expectations'!C93</f>
        <v>2.6505886564059562</v>
      </c>
      <c r="N69">
        <v>0.31364041349556798</v>
      </c>
      <c r="O69">
        <v>-4.6266301499783898E-2</v>
      </c>
      <c r="P69">
        <v>296</v>
      </c>
      <c r="Q69">
        <v>88</v>
      </c>
      <c r="R69">
        <v>466</v>
      </c>
      <c r="S69">
        <v>106</v>
      </c>
      <c r="T69">
        <v>20</v>
      </c>
      <c r="U69">
        <v>24</v>
      </c>
      <c r="V69">
        <f t="shared" si="23"/>
        <v>150</v>
      </c>
      <c r="X69">
        <f t="shared" si="24"/>
        <v>0.37317410430317466</v>
      </c>
      <c r="Y69">
        <f t="shared" si="20"/>
        <v>0.54876319406372431</v>
      </c>
      <c r="Z69">
        <f t="shared" si="21"/>
        <v>2.4858852001997889E-2</v>
      </c>
      <c r="AA69">
        <f t="shared" si="22"/>
        <v>0.926496191572312</v>
      </c>
      <c r="AB69">
        <f t="shared" si="3"/>
        <v>0.92378393233866518</v>
      </c>
      <c r="AC69">
        <f t="shared" si="4"/>
        <v>5.8765028309011313E-2</v>
      </c>
      <c r="AD69">
        <f t="shared" si="5"/>
        <v>1.4910935272254022</v>
      </c>
      <c r="AE69">
        <f t="shared" si="6"/>
        <v>-0.47916515825500028</v>
      </c>
      <c r="AF69">
        <f t="shared" si="7"/>
        <v>0.34726490156889156</v>
      </c>
      <c r="AG69">
        <f t="shared" si="8"/>
        <v>-7.1652765984359101E-3</v>
      </c>
      <c r="AH69">
        <f t="shared" si="9"/>
        <v>7.2207932692293753E-2</v>
      </c>
      <c r="AI69">
        <f t="shared" si="10"/>
        <v>-0.1478507880938511</v>
      </c>
      <c r="AJ69">
        <f t="shared" si="11"/>
        <v>-1.0383956029254016E-2</v>
      </c>
      <c r="AK69">
        <f t="shared" si="12"/>
        <v>-0.28772635397539892</v>
      </c>
      <c r="AL69">
        <f t="shared" si="13"/>
        <v>0</v>
      </c>
      <c r="AM69">
        <f t="shared" si="14"/>
        <v>0</v>
      </c>
      <c r="AN69">
        <f t="shared" si="15"/>
        <v>0</v>
      </c>
      <c r="AO69">
        <f t="shared" si="16"/>
        <v>0</v>
      </c>
      <c r="AP69">
        <f t="shared" si="17"/>
        <v>0</v>
      </c>
      <c r="AQ69">
        <f t="shared" si="18"/>
        <v>0</v>
      </c>
      <c r="AR69">
        <f>V69-V207</f>
        <v>0</v>
      </c>
    </row>
    <row r="70" spans="1:44" x14ac:dyDescent="0.25">
      <c r="A70" s="14">
        <v>41547</v>
      </c>
      <c r="B70">
        <v>98.752854591939908</v>
      </c>
      <c r="C70">
        <v>95.572863782293311</v>
      </c>
      <c r="D70">
        <v>100.44629317566866</v>
      </c>
      <c r="E70">
        <v>100.64149809400267</v>
      </c>
      <c r="F70">
        <v>103.29671967476033</v>
      </c>
      <c r="G70">
        <v>102.71419074656801</v>
      </c>
      <c r="H70">
        <v>88.583060290652668</v>
      </c>
      <c r="I70">
        <v>108.30898115607933</v>
      </c>
      <c r="J70">
        <v>98.742078767920106</v>
      </c>
      <c r="K70">
        <v>0.79239358474646304</v>
      </c>
      <c r="L70">
        <v>81.208398484848502</v>
      </c>
      <c r="M70" s="15">
        <f>+'[3]VAR expectations'!C94</f>
        <v>2.8352346264846378</v>
      </c>
      <c r="N70">
        <v>0.43632015937909602</v>
      </c>
      <c r="O70">
        <v>5.0228150077548703E-2</v>
      </c>
      <c r="P70">
        <v>296</v>
      </c>
      <c r="Q70">
        <v>88</v>
      </c>
      <c r="R70">
        <v>466</v>
      </c>
      <c r="S70">
        <v>106</v>
      </c>
      <c r="T70">
        <v>20</v>
      </c>
      <c r="U70">
        <v>24</v>
      </c>
      <c r="V70">
        <f t="shared" si="23"/>
        <v>150</v>
      </c>
      <c r="X70">
        <f t="shared" si="24"/>
        <v>0.50147611835006956</v>
      </c>
      <c r="Y70">
        <f t="shared" si="20"/>
        <v>0.52638752526544863</v>
      </c>
      <c r="Z70">
        <f t="shared" si="21"/>
        <v>0.16651080372299987</v>
      </c>
      <c r="AA70">
        <f t="shared" si="22"/>
        <v>0.78181287894223317</v>
      </c>
      <c r="AB70">
        <f t="shared" si="3"/>
        <v>0.54171575539766081</v>
      </c>
      <c r="AC70">
        <f t="shared" si="4"/>
        <v>0.87790082946401071</v>
      </c>
      <c r="AD70">
        <f t="shared" si="5"/>
        <v>1.3721867424228691</v>
      </c>
      <c r="AE70">
        <f t="shared" si="6"/>
        <v>0.47696461598198425</v>
      </c>
      <c r="AF70">
        <f t="shared" si="7"/>
        <v>0.46932540109150978</v>
      </c>
      <c r="AG70">
        <f t="shared" si="8"/>
        <v>7.1407310868099039E-4</v>
      </c>
      <c r="AH70">
        <f t="shared" si="9"/>
        <v>0.69330617715620235</v>
      </c>
      <c r="AI70">
        <f t="shared" si="10"/>
        <v>0.28881580927630646</v>
      </c>
      <c r="AJ70">
        <f t="shared" si="11"/>
        <v>0.12267974588352804</v>
      </c>
      <c r="AK70">
        <f t="shared" si="12"/>
        <v>9.6494451577332607E-2</v>
      </c>
      <c r="AL70">
        <f t="shared" si="13"/>
        <v>0</v>
      </c>
      <c r="AM70">
        <f t="shared" si="14"/>
        <v>0</v>
      </c>
      <c r="AN70">
        <f t="shared" si="15"/>
        <v>0</v>
      </c>
      <c r="AO70">
        <f t="shared" si="16"/>
        <v>0</v>
      </c>
      <c r="AP70">
        <f t="shared" si="17"/>
        <v>0</v>
      </c>
      <c r="AQ70">
        <f t="shared" si="18"/>
        <v>0</v>
      </c>
      <c r="AR70">
        <f t="shared" si="19"/>
        <v>0</v>
      </c>
    </row>
    <row r="71" spans="1:44" x14ac:dyDescent="0.25">
      <c r="A71" s="14">
        <v>41639</v>
      </c>
      <c r="B71">
        <v>99.16645698771913</v>
      </c>
      <c r="C71">
        <v>96.228078680329631</v>
      </c>
      <c r="D71">
        <v>100.78376977819967</v>
      </c>
      <c r="E71">
        <v>101.17449901115033</v>
      </c>
      <c r="F71">
        <v>103.58088696547502</v>
      </c>
      <c r="G71">
        <v>102.56867208326467</v>
      </c>
      <c r="H71">
        <v>90.447371162377706</v>
      </c>
      <c r="I71">
        <v>107.92752093511767</v>
      </c>
      <c r="J71">
        <v>99.137279807018302</v>
      </c>
      <c r="K71">
        <v>0.77685805948687903</v>
      </c>
      <c r="L71">
        <v>83.550871212121194</v>
      </c>
      <c r="M71" s="15">
        <f>+'[3]VAR expectations'!C95</f>
        <v>3.2715136112828467</v>
      </c>
      <c r="N71">
        <v>0.22219070211023301</v>
      </c>
      <c r="O71">
        <v>-3.9462920803342003E-2</v>
      </c>
      <c r="P71">
        <v>296</v>
      </c>
      <c r="Q71">
        <v>88</v>
      </c>
      <c r="R71">
        <v>466</v>
      </c>
      <c r="S71">
        <v>106</v>
      </c>
      <c r="T71">
        <v>20</v>
      </c>
      <c r="U71">
        <v>24</v>
      </c>
      <c r="V71">
        <f t="shared" si="23"/>
        <v>150</v>
      </c>
      <c r="X71">
        <f t="shared" si="24"/>
        <v>0.41360239577922187</v>
      </c>
      <c r="Y71">
        <f t="shared" si="20"/>
        <v>0.65521489803631994</v>
      </c>
      <c r="Z71">
        <f t="shared" si="21"/>
        <v>0.3374766025310123</v>
      </c>
      <c r="AA71">
        <f t="shared" si="22"/>
        <v>0.5330009171476604</v>
      </c>
      <c r="AB71">
        <f t="shared" si="3"/>
        <v>0.28416729071469149</v>
      </c>
      <c r="AC71">
        <f t="shared" si="4"/>
        <v>-0.14551866330333496</v>
      </c>
      <c r="AD71">
        <f t="shared" si="5"/>
        <v>1.8643108717250385</v>
      </c>
      <c r="AE71">
        <f t="shared" si="6"/>
        <v>-0.38146022096165666</v>
      </c>
      <c r="AF71">
        <f t="shared" si="7"/>
        <v>0.39520103909819682</v>
      </c>
      <c r="AG71">
        <f t="shared" si="8"/>
        <v>-1.5535525259584015E-2</v>
      </c>
      <c r="AH71">
        <f t="shared" si="9"/>
        <v>2.3424727272726926</v>
      </c>
      <c r="AI71">
        <f t="shared" si="10"/>
        <v>0.69669200827751743</v>
      </c>
      <c r="AJ71">
        <f t="shared" si="11"/>
        <v>-0.21412945726886301</v>
      </c>
      <c r="AK71">
        <f t="shared" si="12"/>
        <v>-8.9691070880890705E-2</v>
      </c>
      <c r="AL71">
        <f t="shared" si="13"/>
        <v>0</v>
      </c>
      <c r="AM71">
        <f t="shared" si="14"/>
        <v>0</v>
      </c>
      <c r="AN71">
        <f t="shared" si="15"/>
        <v>0</v>
      </c>
      <c r="AO71">
        <f t="shared" si="16"/>
        <v>0</v>
      </c>
      <c r="AP71">
        <f t="shared" si="17"/>
        <v>0</v>
      </c>
      <c r="AQ71">
        <f t="shared" si="18"/>
        <v>0</v>
      </c>
      <c r="AR71">
        <f t="shared" si="19"/>
        <v>0</v>
      </c>
    </row>
    <row r="72" spans="1:44" x14ac:dyDescent="0.25">
      <c r="A72" s="14">
        <v>41729</v>
      </c>
      <c r="B72">
        <v>99.615965019554665</v>
      </c>
      <c r="C72">
        <v>96.761795187350572</v>
      </c>
      <c r="D72">
        <v>100.74134078545767</v>
      </c>
      <c r="E72">
        <v>101.51263395869665</v>
      </c>
      <c r="F72">
        <v>103.69940747537733</v>
      </c>
      <c r="G72">
        <v>102.60369891342134</v>
      </c>
      <c r="H72">
        <v>91.971291673900566</v>
      </c>
      <c r="I72">
        <v>109.70553215533168</v>
      </c>
      <c r="J72">
        <v>99.631583657680906</v>
      </c>
      <c r="K72">
        <v>0.77005639191864195</v>
      </c>
      <c r="L72">
        <v>85.572229687499998</v>
      </c>
      <c r="M72" s="15">
        <f>+'[3]VAR expectations'!C96</f>
        <v>3.5419702495573993</v>
      </c>
      <c r="N72">
        <v>9.8094031068240703E-2</v>
      </c>
      <c r="O72">
        <v>0.118953558534671</v>
      </c>
      <c r="P72">
        <v>303</v>
      </c>
      <c r="Q72">
        <v>80</v>
      </c>
      <c r="R72">
        <v>460</v>
      </c>
      <c r="S72">
        <v>112</v>
      </c>
      <c r="T72">
        <v>20</v>
      </c>
      <c r="U72">
        <v>25</v>
      </c>
      <c r="V72">
        <f t="shared" si="23"/>
        <v>157</v>
      </c>
      <c r="X72">
        <f t="shared" si="24"/>
        <v>0.44950803183553489</v>
      </c>
      <c r="Y72">
        <f t="shared" si="20"/>
        <v>0.53371650702094087</v>
      </c>
      <c r="Z72">
        <f t="shared" si="21"/>
        <v>-4.2428992742003402E-2</v>
      </c>
      <c r="AA72">
        <f t="shared" si="22"/>
        <v>0.33813494754632245</v>
      </c>
      <c r="AB72">
        <f t="shared" si="3"/>
        <v>0.11852050990231078</v>
      </c>
      <c r="AC72">
        <f t="shared" si="4"/>
        <v>3.5026830156667188E-2</v>
      </c>
      <c r="AD72">
        <f t="shared" si="5"/>
        <v>1.52392051152286</v>
      </c>
      <c r="AE72">
        <f t="shared" si="6"/>
        <v>1.7780112202140117</v>
      </c>
      <c r="AF72">
        <f t="shared" si="7"/>
        <v>0.49430385066260385</v>
      </c>
      <c r="AG72">
        <f t="shared" si="8"/>
        <v>-6.8016675682370797E-3</v>
      </c>
      <c r="AH72">
        <f t="shared" si="9"/>
        <v>2.0213584753788041</v>
      </c>
      <c r="AI72">
        <f t="shared" si="10"/>
        <v>0.71004473492026277</v>
      </c>
      <c r="AJ72">
        <f t="shared" si="11"/>
        <v>-0.1240966710419923</v>
      </c>
      <c r="AK72">
        <f t="shared" si="12"/>
        <v>0.15841647933801301</v>
      </c>
      <c r="AL72">
        <f t="shared" si="13"/>
        <v>7</v>
      </c>
      <c r="AM72">
        <f t="shared" si="14"/>
        <v>-8</v>
      </c>
      <c r="AN72">
        <f t="shared" si="15"/>
        <v>-6</v>
      </c>
      <c r="AO72">
        <f t="shared" si="16"/>
        <v>6</v>
      </c>
      <c r="AP72">
        <f t="shared" si="17"/>
        <v>0</v>
      </c>
      <c r="AQ72">
        <f t="shared" si="18"/>
        <v>1</v>
      </c>
      <c r="AR72">
        <f t="shared" si="19"/>
        <v>7</v>
      </c>
    </row>
    <row r="73" spans="1:44" x14ac:dyDescent="0.25">
      <c r="A73" s="14">
        <v>41820</v>
      </c>
      <c r="B73">
        <v>99.965838125717156</v>
      </c>
      <c r="C73">
        <v>97.447287714361963</v>
      </c>
      <c r="D73">
        <v>101.19548548535266</v>
      </c>
      <c r="E73">
        <v>101.10270726469498</v>
      </c>
      <c r="F73">
        <v>102.71213136249001</v>
      </c>
      <c r="G73">
        <v>102.60684242225399</v>
      </c>
      <c r="H73">
        <v>93.613842075338894</v>
      </c>
      <c r="I73">
        <v>108.99814611378167</v>
      </c>
      <c r="J73">
        <v>99.977142779752299</v>
      </c>
      <c r="K73">
        <v>0.76186138184852603</v>
      </c>
      <c r="L73">
        <v>86.910458461538497</v>
      </c>
      <c r="M73" s="15">
        <f>+'[3]VAR expectations'!C97</f>
        <v>3.375212504142874</v>
      </c>
      <c r="N73">
        <v>0.10587156808661601</v>
      </c>
      <c r="O73">
        <v>-3.9039395433083303E-2</v>
      </c>
      <c r="P73">
        <v>303</v>
      </c>
      <c r="Q73">
        <v>80</v>
      </c>
      <c r="R73">
        <v>460</v>
      </c>
      <c r="S73">
        <v>112</v>
      </c>
      <c r="T73">
        <v>20</v>
      </c>
      <c r="U73">
        <v>25</v>
      </c>
      <c r="V73">
        <f t="shared" si="23"/>
        <v>157</v>
      </c>
      <c r="X73">
        <f t="shared" si="24"/>
        <v>0.3498731061624909</v>
      </c>
      <c r="Y73">
        <f t="shared" si="20"/>
        <v>0.68549252701139096</v>
      </c>
      <c r="Z73">
        <f t="shared" si="21"/>
        <v>0.45414469989499651</v>
      </c>
      <c r="AA73">
        <f t="shared" si="22"/>
        <v>-0.40992669400166903</v>
      </c>
      <c r="AB73">
        <f t="shared" si="3"/>
        <v>-0.98727611288731509</v>
      </c>
      <c r="AC73">
        <f t="shared" si="4"/>
        <v>3.1435088326503546E-3</v>
      </c>
      <c r="AD73">
        <f t="shared" si="5"/>
        <v>1.6425504014383279</v>
      </c>
      <c r="AE73">
        <f t="shared" si="6"/>
        <v>-0.70738604155000928</v>
      </c>
      <c r="AF73">
        <f t="shared" si="7"/>
        <v>0.34555912207139272</v>
      </c>
      <c r="AG73">
        <f t="shared" si="8"/>
        <v>-8.1950100701159156E-3</v>
      </c>
      <c r="AH73">
        <f t="shared" si="9"/>
        <v>1.3382287740384982</v>
      </c>
      <c r="AI73">
        <f t="shared" si="10"/>
        <v>1.1458872105911269</v>
      </c>
      <c r="AJ73">
        <f t="shared" si="11"/>
        <v>7.7775370183753023E-3</v>
      </c>
      <c r="AK73">
        <f t="shared" si="12"/>
        <v>-0.15799295396775431</v>
      </c>
      <c r="AL73">
        <f t="shared" si="13"/>
        <v>0</v>
      </c>
      <c r="AM73">
        <f t="shared" si="14"/>
        <v>0</v>
      </c>
      <c r="AN73">
        <f t="shared" si="15"/>
        <v>0</v>
      </c>
      <c r="AO73">
        <f t="shared" si="16"/>
        <v>0</v>
      </c>
      <c r="AP73">
        <f t="shared" si="17"/>
        <v>0</v>
      </c>
      <c r="AQ73">
        <f t="shared" si="18"/>
        <v>0</v>
      </c>
      <c r="AR73">
        <f t="shared" si="19"/>
        <v>0</v>
      </c>
    </row>
    <row r="74" spans="1:44" x14ac:dyDescent="0.25">
      <c r="A74" s="14">
        <v>41912</v>
      </c>
      <c r="B74">
        <v>100.15677739650266</v>
      </c>
      <c r="C74">
        <v>97.959458747727567</v>
      </c>
      <c r="D74">
        <v>101.00929650617768</v>
      </c>
      <c r="E74">
        <v>101.19990884372199</v>
      </c>
      <c r="F74">
        <v>102.32972761473133</v>
      </c>
      <c r="G74">
        <v>102.08085754246467</v>
      </c>
      <c r="H74">
        <v>95.727338342374765</v>
      </c>
      <c r="I74">
        <v>108.44621183848399</v>
      </c>
      <c r="J74">
        <v>100.162977213931</v>
      </c>
      <c r="K74">
        <v>0.75226035278899805</v>
      </c>
      <c r="L74">
        <v>88.037404545454507</v>
      </c>
      <c r="M74" s="15">
        <f>+'[3]VAR expectations'!C98</f>
        <v>3.4898805472145966</v>
      </c>
      <c r="N74">
        <v>3.7153210251410003E-2</v>
      </c>
      <c r="O74">
        <v>-1.7614852146566599E-2</v>
      </c>
      <c r="P74">
        <v>303</v>
      </c>
      <c r="Q74">
        <v>80</v>
      </c>
      <c r="R74">
        <v>460</v>
      </c>
      <c r="S74">
        <v>112</v>
      </c>
      <c r="T74">
        <v>20</v>
      </c>
      <c r="U74">
        <v>25</v>
      </c>
      <c r="V74">
        <f t="shared" si="23"/>
        <v>157</v>
      </c>
      <c r="X74">
        <f t="shared" si="24"/>
        <v>0.19093927078550621</v>
      </c>
      <c r="Y74">
        <f t="shared" si="20"/>
        <v>0.51217103336560399</v>
      </c>
      <c r="Z74">
        <f t="shared" si="21"/>
        <v>-0.186188979174986</v>
      </c>
      <c r="AA74">
        <f t="shared" si="22"/>
        <v>9.7201579027000662E-2</v>
      </c>
      <c r="AB74">
        <f t="shared" ref="AB74:AB133" si="25">F74-F212</f>
        <v>-0.38240374775868702</v>
      </c>
      <c r="AC74">
        <f t="shared" ref="AC74:AC133" si="26">G74-G212</f>
        <v>-0.52598487978931985</v>
      </c>
      <c r="AD74">
        <f t="shared" ref="AD74:AD133" si="27">H74-H212</f>
        <v>2.1134962670358703</v>
      </c>
      <c r="AE74">
        <f t="shared" ref="AE74:AE133" si="28">I74-I212</f>
        <v>-0.55193427529768258</v>
      </c>
      <c r="AF74">
        <f t="shared" ref="AF74:AF133" si="29">J74-J212</f>
        <v>0.18583443417870171</v>
      </c>
      <c r="AG74">
        <f t="shared" ref="AG74:AG133" si="30">K74-K212</f>
        <v>-9.6010290595279768E-3</v>
      </c>
      <c r="AH74">
        <f t="shared" ref="AH74:AH133" si="31">L74-L212</f>
        <v>1.1269460839160104</v>
      </c>
      <c r="AI74">
        <f t="shared" ref="AI74:AI133" si="32">M74-M212</f>
        <v>1.4329563160427736</v>
      </c>
      <c r="AJ74">
        <f t="shared" ref="AJ74:AJ133" si="33">N74-N212</f>
        <v>-6.8718357835205995E-2</v>
      </c>
      <c r="AK74">
        <f t="shared" ref="AK74:AK133" si="34">O74-O212</f>
        <v>2.1424543286516703E-2</v>
      </c>
      <c r="AL74">
        <f t="shared" ref="AL74:AL133" si="35">P74-P212</f>
        <v>0</v>
      </c>
      <c r="AM74">
        <f t="shared" ref="AM74:AM133" si="36">Q74-Q212</f>
        <v>0</v>
      </c>
      <c r="AN74">
        <f t="shared" ref="AN74:AN133" si="37">R74-R212</f>
        <v>0</v>
      </c>
      <c r="AO74">
        <f t="shared" ref="AO74:AO133" si="38">S74-S212</f>
        <v>0</v>
      </c>
      <c r="AP74">
        <f t="shared" ref="AP74:AP133" si="39">T74-T212</f>
        <v>0</v>
      </c>
      <c r="AQ74">
        <f t="shared" ref="AQ74:AQ133" si="40">U74-U212</f>
        <v>0</v>
      </c>
      <c r="AR74">
        <f t="shared" ref="AR74:AR133" si="41">V74-V212</f>
        <v>0</v>
      </c>
    </row>
    <row r="75" spans="1:44" x14ac:dyDescent="0.25">
      <c r="A75" s="14">
        <v>42004</v>
      </c>
      <c r="B75">
        <v>100.07191441089135</v>
      </c>
      <c r="C75">
        <v>98.543422853539013</v>
      </c>
      <c r="D75">
        <v>100.49867292423799</v>
      </c>
      <c r="E75">
        <v>101.34937351147433</v>
      </c>
      <c r="F75">
        <v>101.90270688934201</v>
      </c>
      <c r="G75">
        <v>102.878615332145</v>
      </c>
      <c r="H75">
        <v>97.585296483620894</v>
      </c>
      <c r="I75">
        <v>105.70751267500732</v>
      </c>
      <c r="J75">
        <v>100.062422966814</v>
      </c>
      <c r="K75">
        <v>0.74632537520411302</v>
      </c>
      <c r="L75">
        <v>87.311537878787902</v>
      </c>
      <c r="M75" s="15">
        <f>+'[3]VAR expectations'!C99</f>
        <v>3.2213697643305159</v>
      </c>
      <c r="N75">
        <v>-0.13202299430424599</v>
      </c>
      <c r="O75">
        <v>-0.210741219358592</v>
      </c>
      <c r="P75">
        <v>303</v>
      </c>
      <c r="Q75">
        <v>80</v>
      </c>
      <c r="R75">
        <v>460</v>
      </c>
      <c r="S75">
        <v>112</v>
      </c>
      <c r="T75">
        <v>20</v>
      </c>
      <c r="U75">
        <v>25</v>
      </c>
      <c r="V75">
        <f t="shared" si="23"/>
        <v>157</v>
      </c>
      <c r="X75">
        <f t="shared" si="24"/>
        <v>-8.4862985611309227E-2</v>
      </c>
      <c r="Y75">
        <f t="shared" ref="Y75:Y133" si="42">C75-C213</f>
        <v>0.58396410581144664</v>
      </c>
      <c r="Z75">
        <f t="shared" ref="Z75:Z133" si="43">D75-D213</f>
        <v>-0.51062358193968294</v>
      </c>
      <c r="AA75">
        <f t="shared" ref="AA75:AA133" si="44">E75-E213</f>
        <v>0.14946466775234057</v>
      </c>
      <c r="AB75">
        <f t="shared" si="25"/>
        <v>-0.42702072538931191</v>
      </c>
      <c r="AC75">
        <f t="shared" si="26"/>
        <v>0.79775778968033251</v>
      </c>
      <c r="AD75">
        <f t="shared" si="27"/>
        <v>1.8579581412461295</v>
      </c>
      <c r="AE75">
        <f t="shared" si="28"/>
        <v>-2.7386991634766673</v>
      </c>
      <c r="AF75">
        <f t="shared" si="29"/>
        <v>-0.10055424711700311</v>
      </c>
      <c r="AG75">
        <f t="shared" si="30"/>
        <v>-5.9349775848850372E-3</v>
      </c>
      <c r="AH75">
        <f t="shared" si="31"/>
        <v>-0.72586666666660449</v>
      </c>
      <c r="AI75">
        <f t="shared" si="32"/>
        <v>1.0964968405691606</v>
      </c>
      <c r="AJ75">
        <f t="shared" si="33"/>
        <v>-0.16917620455565599</v>
      </c>
      <c r="AK75">
        <f t="shared" si="34"/>
        <v>-0.19312636721202539</v>
      </c>
      <c r="AL75">
        <f t="shared" si="35"/>
        <v>0</v>
      </c>
      <c r="AM75">
        <f t="shared" si="36"/>
        <v>0</v>
      </c>
      <c r="AN75">
        <f t="shared" si="37"/>
        <v>0</v>
      </c>
      <c r="AO75">
        <f t="shared" si="38"/>
        <v>0</v>
      </c>
      <c r="AP75">
        <f t="shared" si="39"/>
        <v>0</v>
      </c>
      <c r="AQ75">
        <f t="shared" si="40"/>
        <v>0</v>
      </c>
      <c r="AR75">
        <f t="shared" si="41"/>
        <v>0</v>
      </c>
    </row>
    <row r="76" spans="1:44" x14ac:dyDescent="0.25">
      <c r="A76" s="14">
        <v>42094</v>
      </c>
      <c r="B76">
        <v>99.755632787090562</v>
      </c>
      <c r="C76">
        <v>99.111039798440231</v>
      </c>
      <c r="D76">
        <v>100.21652259142411</v>
      </c>
      <c r="E76">
        <v>100.36849154654267</v>
      </c>
      <c r="F76">
        <v>100.68630581811134</v>
      </c>
      <c r="G76">
        <v>100.86594542534101</v>
      </c>
      <c r="H76">
        <v>98.714854790735032</v>
      </c>
      <c r="I76">
        <v>100.82974492430633</v>
      </c>
      <c r="J76">
        <v>99.740973780307399</v>
      </c>
      <c r="K76">
        <v>0.72680000070606599</v>
      </c>
      <c r="L76">
        <v>89.392121875000001</v>
      </c>
      <c r="M76" s="15">
        <f>+'[3]VAR expectations'!C100</f>
        <v>2.6732813585155433</v>
      </c>
      <c r="N76">
        <v>-0.67043039392008297</v>
      </c>
      <c r="O76">
        <v>-0.39290195513478698</v>
      </c>
      <c r="P76">
        <v>303</v>
      </c>
      <c r="Q76">
        <v>76</v>
      </c>
      <c r="R76">
        <v>468</v>
      </c>
      <c r="S76">
        <v>110</v>
      </c>
      <c r="T76">
        <v>19</v>
      </c>
      <c r="U76">
        <v>24</v>
      </c>
      <c r="V76">
        <f t="shared" si="23"/>
        <v>153</v>
      </c>
      <c r="X76">
        <f t="shared" si="24"/>
        <v>-0.31628162380079061</v>
      </c>
      <c r="Y76">
        <f t="shared" si="42"/>
        <v>0.56761694490121783</v>
      </c>
      <c r="Z76">
        <f t="shared" si="43"/>
        <v>-0.28215033281388457</v>
      </c>
      <c r="AA76">
        <f t="shared" si="44"/>
        <v>-0.98088196493165469</v>
      </c>
      <c r="AB76">
        <f t="shared" si="25"/>
        <v>-1.2164010712306776</v>
      </c>
      <c r="AC76">
        <f t="shared" si="26"/>
        <v>-2.0126699068039926</v>
      </c>
      <c r="AD76">
        <f t="shared" si="27"/>
        <v>1.129558307114138</v>
      </c>
      <c r="AE76">
        <f t="shared" si="28"/>
        <v>-4.8777677507009969</v>
      </c>
      <c r="AF76">
        <f t="shared" si="29"/>
        <v>-0.32144918650659804</v>
      </c>
      <c r="AG76">
        <f t="shared" si="30"/>
        <v>-1.9525374498047032E-2</v>
      </c>
      <c r="AH76">
        <f t="shared" si="31"/>
        <v>2.0805839962120984</v>
      </c>
      <c r="AI76">
        <f t="shared" si="32"/>
        <v>0.96972143425974111</v>
      </c>
      <c r="AJ76">
        <f t="shared" si="33"/>
        <v>-0.53840739961583695</v>
      </c>
      <c r="AK76">
        <f t="shared" si="34"/>
        <v>-0.18216073577619499</v>
      </c>
      <c r="AL76">
        <f t="shared" si="35"/>
        <v>0</v>
      </c>
      <c r="AM76">
        <f t="shared" si="36"/>
        <v>-4</v>
      </c>
      <c r="AN76">
        <f t="shared" si="37"/>
        <v>8</v>
      </c>
      <c r="AO76">
        <f t="shared" si="38"/>
        <v>-2</v>
      </c>
      <c r="AP76">
        <f t="shared" si="39"/>
        <v>-1</v>
      </c>
      <c r="AQ76">
        <f t="shared" si="40"/>
        <v>-1</v>
      </c>
      <c r="AR76">
        <f t="shared" si="41"/>
        <v>-4</v>
      </c>
    </row>
    <row r="77" spans="1:44" x14ac:dyDescent="0.25">
      <c r="A77" s="14">
        <v>42185</v>
      </c>
      <c r="B77">
        <v>99.962623598589502</v>
      </c>
      <c r="C77">
        <v>99.576148438704664</v>
      </c>
      <c r="D77">
        <v>100.00497941655489</v>
      </c>
      <c r="E77">
        <v>100.17230383339533</v>
      </c>
      <c r="F77">
        <v>100.35619812088034</v>
      </c>
      <c r="G77">
        <v>100.54274488878302</v>
      </c>
      <c r="H77">
        <v>99.287739181330423</v>
      </c>
      <c r="I77">
        <v>101.88314359924034</v>
      </c>
      <c r="J77">
        <v>99.9740506397914</v>
      </c>
      <c r="K77">
        <v>0.72070090592318703</v>
      </c>
      <c r="L77">
        <v>91.205161538461496</v>
      </c>
      <c r="M77" s="15">
        <f>+'[3]VAR expectations'!C101</f>
        <v>2.7328072825683152</v>
      </c>
      <c r="N77">
        <v>-0.50994347456409705</v>
      </c>
      <c r="O77">
        <v>0.11255125087073201</v>
      </c>
      <c r="P77">
        <v>303</v>
      </c>
      <c r="Q77">
        <v>76</v>
      </c>
      <c r="R77">
        <v>468</v>
      </c>
      <c r="S77">
        <v>110</v>
      </c>
      <c r="T77">
        <v>19</v>
      </c>
      <c r="U77">
        <v>24</v>
      </c>
      <c r="V77">
        <f t="shared" si="23"/>
        <v>153</v>
      </c>
      <c r="X77">
        <f t="shared" si="24"/>
        <v>0.20699081149894027</v>
      </c>
      <c r="Y77">
        <f t="shared" si="42"/>
        <v>0.46510864026443244</v>
      </c>
      <c r="Z77">
        <f t="shared" si="43"/>
        <v>-0.21154317486922025</v>
      </c>
      <c r="AA77">
        <f t="shared" si="44"/>
        <v>-0.19618771314733863</v>
      </c>
      <c r="AB77">
        <f t="shared" si="25"/>
        <v>-0.33010769723099997</v>
      </c>
      <c r="AC77">
        <f t="shared" si="26"/>
        <v>-0.32320053655799086</v>
      </c>
      <c r="AD77">
        <f t="shared" si="27"/>
        <v>0.57288439059539087</v>
      </c>
      <c r="AE77">
        <f t="shared" si="28"/>
        <v>1.0533986749340158</v>
      </c>
      <c r="AF77">
        <f t="shared" si="29"/>
        <v>0.23307685948400092</v>
      </c>
      <c r="AG77">
        <f t="shared" si="30"/>
        <v>-6.0990947828789555E-3</v>
      </c>
      <c r="AH77">
        <f t="shared" si="31"/>
        <v>1.8130396634614954</v>
      </c>
      <c r="AI77">
        <f t="shared" si="32"/>
        <v>1.5510435177305089</v>
      </c>
      <c r="AJ77">
        <f t="shared" si="33"/>
        <v>0.16048691935598591</v>
      </c>
      <c r="AK77">
        <f t="shared" si="34"/>
        <v>0.50545320600551902</v>
      </c>
      <c r="AL77">
        <f t="shared" si="35"/>
        <v>0</v>
      </c>
      <c r="AM77">
        <f t="shared" si="36"/>
        <v>0</v>
      </c>
      <c r="AN77">
        <f t="shared" si="37"/>
        <v>0</v>
      </c>
      <c r="AO77">
        <f t="shared" si="38"/>
        <v>0</v>
      </c>
      <c r="AP77">
        <f t="shared" si="39"/>
        <v>0</v>
      </c>
      <c r="AQ77">
        <f t="shared" si="40"/>
        <v>0</v>
      </c>
      <c r="AR77">
        <f t="shared" si="41"/>
        <v>0</v>
      </c>
    </row>
    <row r="78" spans="1:44" x14ac:dyDescent="0.25">
      <c r="A78" s="14">
        <v>42277</v>
      </c>
      <c r="B78">
        <v>100.13001772567468</v>
      </c>
      <c r="C78">
        <v>100.26240995605899</v>
      </c>
      <c r="D78">
        <v>100.00264360420393</v>
      </c>
      <c r="E78">
        <v>99.895477823443045</v>
      </c>
      <c r="F78">
        <v>99.79550176561402</v>
      </c>
      <c r="G78">
        <v>99.805491883149145</v>
      </c>
      <c r="H78">
        <v>100.32517757628733</v>
      </c>
      <c r="I78">
        <v>99.959338478605204</v>
      </c>
      <c r="J78">
        <v>100.14053571658999</v>
      </c>
      <c r="K78">
        <v>0.71483241580357104</v>
      </c>
      <c r="L78">
        <v>92.868804545454594</v>
      </c>
      <c r="M78" s="15">
        <f>+'[3]VAR expectations'!C102</f>
        <v>2.6338769922366603</v>
      </c>
      <c r="N78">
        <v>-0.60863214371339502</v>
      </c>
      <c r="O78">
        <v>-0.116694425304383</v>
      </c>
      <c r="P78">
        <v>303</v>
      </c>
      <c r="Q78">
        <v>76</v>
      </c>
      <c r="R78">
        <v>468</v>
      </c>
      <c r="S78">
        <v>110</v>
      </c>
      <c r="T78">
        <v>19</v>
      </c>
      <c r="U78">
        <v>24</v>
      </c>
      <c r="V78">
        <f t="shared" si="23"/>
        <v>153</v>
      </c>
      <c r="X78">
        <f t="shared" si="24"/>
        <v>0.1673941270851742</v>
      </c>
      <c r="Y78">
        <f t="shared" si="42"/>
        <v>0.68626151735432472</v>
      </c>
      <c r="Z78">
        <f t="shared" si="43"/>
        <v>-2.3358123509638062E-3</v>
      </c>
      <c r="AA78">
        <f t="shared" si="44"/>
        <v>-0.27682600995228768</v>
      </c>
      <c r="AB78">
        <f t="shared" si="25"/>
        <v>-0.560696355266316</v>
      </c>
      <c r="AC78">
        <f t="shared" si="26"/>
        <v>-0.73725300563387464</v>
      </c>
      <c r="AD78">
        <f t="shared" si="27"/>
        <v>1.0374383949569079</v>
      </c>
      <c r="AE78">
        <f t="shared" si="28"/>
        <v>-1.9238051206351372</v>
      </c>
      <c r="AF78">
        <f t="shared" si="29"/>
        <v>0.16648507679859392</v>
      </c>
      <c r="AG78">
        <f t="shared" si="30"/>
        <v>-5.8684901196159878E-3</v>
      </c>
      <c r="AH78">
        <f t="shared" si="31"/>
        <v>1.6636430069930981</v>
      </c>
      <c r="AI78">
        <f t="shared" si="32"/>
        <v>1.4390808235189119</v>
      </c>
      <c r="AJ78">
        <f t="shared" si="33"/>
        <v>-9.868866914929797E-2</v>
      </c>
      <c r="AK78">
        <f t="shared" si="34"/>
        <v>-0.22924567617511499</v>
      </c>
      <c r="AL78">
        <f t="shared" si="35"/>
        <v>0</v>
      </c>
      <c r="AM78">
        <f t="shared" si="36"/>
        <v>0</v>
      </c>
      <c r="AN78">
        <f t="shared" si="37"/>
        <v>0</v>
      </c>
      <c r="AO78">
        <f t="shared" si="38"/>
        <v>0</v>
      </c>
      <c r="AP78">
        <f t="shared" si="39"/>
        <v>0</v>
      </c>
      <c r="AQ78">
        <f t="shared" si="40"/>
        <v>0</v>
      </c>
      <c r="AR78">
        <f t="shared" si="41"/>
        <v>0</v>
      </c>
    </row>
    <row r="79" spans="1:44" x14ac:dyDescent="0.25">
      <c r="A79" s="14">
        <v>42369</v>
      </c>
      <c r="B79">
        <v>100.13180041585167</v>
      </c>
      <c r="C79">
        <v>101.03828066760633</v>
      </c>
      <c r="D79">
        <v>99.774836953145766</v>
      </c>
      <c r="E79">
        <v>99.558799446286272</v>
      </c>
      <c r="F79">
        <v>99.150770780724528</v>
      </c>
      <c r="G79">
        <v>98.665856625776954</v>
      </c>
      <c r="H79">
        <v>101.75459475617431</v>
      </c>
      <c r="I79">
        <v>97.165613855363333</v>
      </c>
      <c r="J79">
        <v>100.14443986331101</v>
      </c>
      <c r="K79">
        <v>0.70507772014187198</v>
      </c>
      <c r="L79">
        <v>92.134557575757597</v>
      </c>
      <c r="M79" s="15">
        <f>+'[3]VAR expectations'!C103</f>
        <v>2.8395493192289751</v>
      </c>
      <c r="N79">
        <v>-0.61794357561025104</v>
      </c>
      <c r="O79">
        <v>-0.218829887052228</v>
      </c>
      <c r="P79">
        <v>303</v>
      </c>
      <c r="Q79">
        <v>76</v>
      </c>
      <c r="R79">
        <v>468</v>
      </c>
      <c r="S79">
        <v>110</v>
      </c>
      <c r="T79">
        <v>19</v>
      </c>
      <c r="U79">
        <v>24</v>
      </c>
      <c r="V79">
        <f t="shared" si="23"/>
        <v>153</v>
      </c>
      <c r="X79">
        <f t="shared" si="24"/>
        <v>1.7826901769950609E-3</v>
      </c>
      <c r="Y79">
        <f t="shared" si="42"/>
        <v>0.77587071154734133</v>
      </c>
      <c r="Z79">
        <f t="shared" si="43"/>
        <v>-0.22780665105815956</v>
      </c>
      <c r="AA79">
        <f t="shared" si="44"/>
        <v>-0.33667837715677251</v>
      </c>
      <c r="AB79">
        <f t="shared" si="25"/>
        <v>-0.64473098488949176</v>
      </c>
      <c r="AC79">
        <f t="shared" si="26"/>
        <v>-1.1396352573721913</v>
      </c>
      <c r="AD79">
        <f t="shared" si="27"/>
        <v>1.4294171798869826</v>
      </c>
      <c r="AE79">
        <f t="shared" si="28"/>
        <v>-2.7937246232418715</v>
      </c>
      <c r="AF79">
        <f t="shared" si="29"/>
        <v>3.9041467210125802E-3</v>
      </c>
      <c r="AG79">
        <f t="shared" si="30"/>
        <v>-9.7546956616990643E-3</v>
      </c>
      <c r="AH79">
        <f t="shared" si="31"/>
        <v>-0.7342469696969971</v>
      </c>
      <c r="AI79">
        <f t="shared" si="32"/>
        <v>1.3727085687340177</v>
      </c>
      <c r="AJ79">
        <f t="shared" si="33"/>
        <v>-9.311431896856015E-3</v>
      </c>
      <c r="AK79">
        <f t="shared" si="34"/>
        <v>-0.102135461747845</v>
      </c>
      <c r="AL79">
        <f t="shared" si="35"/>
        <v>0</v>
      </c>
      <c r="AM79">
        <f t="shared" si="36"/>
        <v>0</v>
      </c>
      <c r="AN79">
        <f t="shared" si="37"/>
        <v>0</v>
      </c>
      <c r="AO79">
        <f t="shared" si="38"/>
        <v>0</v>
      </c>
      <c r="AP79">
        <f t="shared" si="39"/>
        <v>0</v>
      </c>
      <c r="AQ79">
        <f t="shared" si="40"/>
        <v>0</v>
      </c>
      <c r="AR79">
        <f t="shared" si="41"/>
        <v>0</v>
      </c>
    </row>
    <row r="80" spans="1:44" x14ac:dyDescent="0.25">
      <c r="A80" s="14">
        <v>42460</v>
      </c>
      <c r="B80">
        <v>100.133489818812</v>
      </c>
      <c r="C80">
        <v>101.63112738985866</v>
      </c>
      <c r="D80">
        <v>99.608929671352641</v>
      </c>
      <c r="E80">
        <v>98.872707165271251</v>
      </c>
      <c r="F80">
        <v>98.164825487484862</v>
      </c>
      <c r="G80">
        <v>97.542297449576765</v>
      </c>
      <c r="H80">
        <v>102.86857682741932</v>
      </c>
      <c r="I80">
        <v>95.365136992549097</v>
      </c>
      <c r="J80">
        <v>100.093931219314</v>
      </c>
      <c r="K80">
        <v>0.72125814315421499</v>
      </c>
      <c r="L80">
        <v>86.998107692307698</v>
      </c>
      <c r="M80" s="15">
        <f>+'[3]VAR expectations'!C104</f>
        <v>2.7984394444998073</v>
      </c>
      <c r="N80">
        <v>-0.425228377492884</v>
      </c>
      <c r="O80">
        <v>-0.196273681624174</v>
      </c>
      <c r="P80">
        <v>305</v>
      </c>
      <c r="Q80">
        <v>67</v>
      </c>
      <c r="R80">
        <v>483</v>
      </c>
      <c r="S80">
        <v>103</v>
      </c>
      <c r="T80">
        <v>19</v>
      </c>
      <c r="U80">
        <v>23</v>
      </c>
      <c r="V80">
        <f t="shared" si="23"/>
        <v>145</v>
      </c>
      <c r="X80">
        <f t="shared" si="24"/>
        <v>1.6894029603236049E-3</v>
      </c>
      <c r="Y80">
        <f t="shared" si="42"/>
        <v>0.59284672225233237</v>
      </c>
      <c r="Z80">
        <f t="shared" si="43"/>
        <v>-0.16590728179312464</v>
      </c>
      <c r="AA80">
        <f t="shared" si="44"/>
        <v>-0.6860922810150214</v>
      </c>
      <c r="AB80">
        <f t="shared" si="25"/>
        <v>-0.9859452932396664</v>
      </c>
      <c r="AC80">
        <f t="shared" si="26"/>
        <v>-1.1235591762001889</v>
      </c>
      <c r="AD80">
        <f t="shared" si="27"/>
        <v>1.1139820712450046</v>
      </c>
      <c r="AE80">
        <f t="shared" si="28"/>
        <v>-1.8004768628142358</v>
      </c>
      <c r="AF80">
        <f t="shared" si="29"/>
        <v>-5.050864399700572E-2</v>
      </c>
      <c r="AG80">
        <f t="shared" si="30"/>
        <v>1.6180423012343015E-2</v>
      </c>
      <c r="AH80">
        <f t="shared" si="31"/>
        <v>-5.1364498834498988</v>
      </c>
      <c r="AI80">
        <f t="shared" si="32"/>
        <v>1.5079157354711594</v>
      </c>
      <c r="AJ80">
        <f t="shared" si="33"/>
        <v>0.19271519811736704</v>
      </c>
      <c r="AK80">
        <f t="shared" si="34"/>
        <v>2.2556205428054005E-2</v>
      </c>
      <c r="AL80">
        <f t="shared" si="35"/>
        <v>2</v>
      </c>
      <c r="AM80">
        <f t="shared" si="36"/>
        <v>-9</v>
      </c>
      <c r="AN80">
        <f t="shared" si="37"/>
        <v>15</v>
      </c>
      <c r="AO80">
        <f t="shared" si="38"/>
        <v>-7</v>
      </c>
      <c r="AP80">
        <f t="shared" si="39"/>
        <v>0</v>
      </c>
      <c r="AQ80">
        <f t="shared" si="40"/>
        <v>-1</v>
      </c>
      <c r="AR80">
        <f t="shared" si="41"/>
        <v>-8</v>
      </c>
    </row>
    <row r="81" spans="1:44" x14ac:dyDescent="0.25">
      <c r="A81" s="14">
        <v>42551</v>
      </c>
      <c r="B81">
        <v>100.31947375560632</v>
      </c>
      <c r="C81">
        <v>102.171692471244</v>
      </c>
      <c r="D81">
        <v>99.2159855091666</v>
      </c>
      <c r="E81">
        <v>98.48501779648133</v>
      </c>
      <c r="F81">
        <v>97.580678786642167</v>
      </c>
      <c r="G81">
        <v>96.31966917445807</v>
      </c>
      <c r="H81">
        <v>104.016084212427</v>
      </c>
      <c r="I81">
        <v>96.8491934681375</v>
      </c>
      <c r="J81">
        <v>100.33085845991801</v>
      </c>
      <c r="K81">
        <v>0.73626310989779298</v>
      </c>
      <c r="L81">
        <v>85.581083076923093</v>
      </c>
      <c r="M81" s="15">
        <f>+'[3]VAR expectations'!C105</f>
        <v>2.5464188172083313</v>
      </c>
      <c r="N81">
        <v>-0.37357259263352899</v>
      </c>
      <c r="O81">
        <v>0.16448627630259699</v>
      </c>
      <c r="P81">
        <v>305</v>
      </c>
      <c r="Q81">
        <v>67</v>
      </c>
      <c r="R81">
        <v>483</v>
      </c>
      <c r="S81">
        <v>103</v>
      </c>
      <c r="T81">
        <v>19</v>
      </c>
      <c r="U81">
        <v>23</v>
      </c>
      <c r="V81">
        <f t="shared" si="23"/>
        <v>145</v>
      </c>
      <c r="X81">
        <f t="shared" si="24"/>
        <v>0.18598393679432945</v>
      </c>
      <c r="Y81">
        <f t="shared" si="42"/>
        <v>0.54056508138533843</v>
      </c>
      <c r="Z81">
        <f t="shared" si="43"/>
        <v>-0.39294416218604056</v>
      </c>
      <c r="AA81">
        <f t="shared" si="44"/>
        <v>-0.38768936878992122</v>
      </c>
      <c r="AB81">
        <f t="shared" si="25"/>
        <v>-0.5841467008426946</v>
      </c>
      <c r="AC81">
        <f t="shared" si="26"/>
        <v>-1.2226282751186943</v>
      </c>
      <c r="AD81">
        <f t="shared" si="27"/>
        <v>1.1475073850076853</v>
      </c>
      <c r="AE81">
        <f t="shared" si="28"/>
        <v>1.4840564755884031</v>
      </c>
      <c r="AF81">
        <f t="shared" si="29"/>
        <v>0.23692724060400394</v>
      </c>
      <c r="AG81">
        <f t="shared" si="30"/>
        <v>1.5004966743577985E-2</v>
      </c>
      <c r="AH81">
        <f t="shared" si="31"/>
        <v>-1.4170246153846051</v>
      </c>
      <c r="AI81">
        <f t="shared" si="32"/>
        <v>1.1383092122965399</v>
      </c>
      <c r="AJ81">
        <f t="shared" si="33"/>
        <v>5.1655784859355014E-2</v>
      </c>
      <c r="AK81">
        <f t="shared" si="34"/>
        <v>0.36075995792677096</v>
      </c>
      <c r="AL81">
        <f t="shared" si="35"/>
        <v>0</v>
      </c>
      <c r="AM81">
        <f t="shared" si="36"/>
        <v>0</v>
      </c>
      <c r="AN81">
        <f t="shared" si="37"/>
        <v>0</v>
      </c>
      <c r="AO81">
        <f t="shared" si="38"/>
        <v>0</v>
      </c>
      <c r="AP81">
        <f t="shared" si="39"/>
        <v>0</v>
      </c>
      <c r="AQ81">
        <f t="shared" si="40"/>
        <v>0</v>
      </c>
      <c r="AR81">
        <f t="shared" si="41"/>
        <v>0</v>
      </c>
    </row>
    <row r="82" spans="1:44" x14ac:dyDescent="0.25">
      <c r="A82" s="14">
        <v>42643</v>
      </c>
      <c r="B82">
        <v>100.82481509832233</v>
      </c>
      <c r="C82">
        <v>102.97930867263966</v>
      </c>
      <c r="D82">
        <v>99.172353616571925</v>
      </c>
      <c r="E82">
        <v>98.706664288254828</v>
      </c>
      <c r="F82">
        <v>97.440009421386776</v>
      </c>
      <c r="G82">
        <v>96.302258368281045</v>
      </c>
      <c r="H82">
        <v>105.933670642178</v>
      </c>
      <c r="I82">
        <v>97.784261523339822</v>
      </c>
      <c r="J82">
        <v>100.84211070442799</v>
      </c>
      <c r="K82">
        <v>0.766086099222828</v>
      </c>
      <c r="L82">
        <v>78.850371212121203</v>
      </c>
      <c r="M82" s="15">
        <f>+'[3]VAR expectations'!C106</f>
        <v>2.5748216030053293</v>
      </c>
      <c r="N82">
        <v>-0.16392502505228099</v>
      </c>
      <c r="O82">
        <v>9.3194942011814802E-2</v>
      </c>
      <c r="P82">
        <v>305</v>
      </c>
      <c r="Q82">
        <v>67</v>
      </c>
      <c r="R82">
        <v>483</v>
      </c>
      <c r="S82">
        <v>103</v>
      </c>
      <c r="T82">
        <v>19</v>
      </c>
      <c r="U82">
        <v>23</v>
      </c>
      <c r="V82">
        <f t="shared" si="23"/>
        <v>145</v>
      </c>
      <c r="X82">
        <f t="shared" si="24"/>
        <v>0.50534134271600806</v>
      </c>
      <c r="Y82">
        <f t="shared" si="42"/>
        <v>0.80761620139566048</v>
      </c>
      <c r="Z82">
        <f t="shared" si="43"/>
        <v>-4.3631892594675037E-2</v>
      </c>
      <c r="AA82">
        <f t="shared" si="44"/>
        <v>0.22164649177349816</v>
      </c>
      <c r="AB82">
        <f t="shared" si="25"/>
        <v>-0.1406693652553912</v>
      </c>
      <c r="AC82">
        <f t="shared" si="26"/>
        <v>-1.7410806177025506E-2</v>
      </c>
      <c r="AD82">
        <f t="shared" si="27"/>
        <v>1.9175864297509975</v>
      </c>
      <c r="AE82">
        <f t="shared" si="28"/>
        <v>0.93506805520232206</v>
      </c>
      <c r="AF82">
        <f t="shared" si="29"/>
        <v>0.51125224450998985</v>
      </c>
      <c r="AG82">
        <f t="shared" si="30"/>
        <v>2.9822989325035021E-2</v>
      </c>
      <c r="AH82">
        <f t="shared" si="31"/>
        <v>-6.73071186480189</v>
      </c>
      <c r="AI82">
        <f t="shared" si="32"/>
        <v>1.0393671034197993</v>
      </c>
      <c r="AJ82">
        <f t="shared" si="33"/>
        <v>0.209647567581248</v>
      </c>
      <c r="AK82">
        <f t="shared" si="34"/>
        <v>-7.1291334290782188E-2</v>
      </c>
      <c r="AL82">
        <f t="shared" si="35"/>
        <v>0</v>
      </c>
      <c r="AM82">
        <f t="shared" si="36"/>
        <v>0</v>
      </c>
      <c r="AN82">
        <f t="shared" si="37"/>
        <v>0</v>
      </c>
      <c r="AO82">
        <f t="shared" si="38"/>
        <v>0</v>
      </c>
      <c r="AP82">
        <f t="shared" si="39"/>
        <v>0</v>
      </c>
      <c r="AQ82">
        <f t="shared" si="40"/>
        <v>0</v>
      </c>
      <c r="AR82">
        <f t="shared" si="41"/>
        <v>0</v>
      </c>
    </row>
    <row r="83" spans="1:44" x14ac:dyDescent="0.25">
      <c r="A83" s="14">
        <v>42735</v>
      </c>
      <c r="B83">
        <v>101.35186664603434</v>
      </c>
      <c r="C83">
        <v>103.43266050427299</v>
      </c>
      <c r="D83">
        <v>99.731752332473789</v>
      </c>
      <c r="E83">
        <v>98.872277310440268</v>
      </c>
      <c r="F83">
        <v>97.339348637610328</v>
      </c>
      <c r="G83">
        <v>97.007124293648772</v>
      </c>
      <c r="H83">
        <v>106.76438524670732</v>
      </c>
      <c r="I83">
        <v>100.00842211959575</v>
      </c>
      <c r="J83">
        <v>101.37727529972901</v>
      </c>
      <c r="K83">
        <v>0.78559038900338896</v>
      </c>
      <c r="L83">
        <v>76.623536923076898</v>
      </c>
      <c r="M83" s="15">
        <f>+'[3]VAR expectations'!C107</f>
        <v>2.8319255146371365</v>
      </c>
      <c r="N83">
        <v>0.19889993586245699</v>
      </c>
      <c r="O83">
        <v>0.144100722711589</v>
      </c>
      <c r="P83">
        <v>305</v>
      </c>
      <c r="Q83">
        <v>67</v>
      </c>
      <c r="R83">
        <v>483</v>
      </c>
      <c r="S83">
        <v>103</v>
      </c>
      <c r="T83">
        <v>19</v>
      </c>
      <c r="U83">
        <v>23</v>
      </c>
      <c r="V83">
        <f t="shared" si="23"/>
        <v>145</v>
      </c>
      <c r="X83">
        <f t="shared" si="24"/>
        <v>0.52705154771200569</v>
      </c>
      <c r="Y83">
        <f t="shared" si="42"/>
        <v>0.45335183163332715</v>
      </c>
      <c r="Z83">
        <f t="shared" si="43"/>
        <v>0.55939871590186385</v>
      </c>
      <c r="AA83">
        <f t="shared" si="44"/>
        <v>0.16561302218543972</v>
      </c>
      <c r="AB83">
        <f t="shared" si="25"/>
        <v>-0.10066078377644772</v>
      </c>
      <c r="AC83">
        <f t="shared" si="26"/>
        <v>0.70486592536772719</v>
      </c>
      <c r="AD83">
        <f t="shared" si="27"/>
        <v>0.83071460452931944</v>
      </c>
      <c r="AE83">
        <f t="shared" si="28"/>
        <v>2.2241605962559277</v>
      </c>
      <c r="AF83">
        <f t="shared" si="29"/>
        <v>0.53516459530101201</v>
      </c>
      <c r="AG83">
        <f t="shared" si="30"/>
        <v>1.9504289780560957E-2</v>
      </c>
      <c r="AH83">
        <f t="shared" si="31"/>
        <v>-2.2268342890443051</v>
      </c>
      <c r="AI83">
        <f t="shared" si="32"/>
        <v>1.0658252447136556</v>
      </c>
      <c r="AJ83">
        <f t="shared" si="33"/>
        <v>0.36282496091473798</v>
      </c>
      <c r="AK83">
        <f t="shared" si="34"/>
        <v>5.0905780699774195E-2</v>
      </c>
      <c r="AL83">
        <f t="shared" si="35"/>
        <v>0</v>
      </c>
      <c r="AM83">
        <f t="shared" si="36"/>
        <v>0</v>
      </c>
      <c r="AN83">
        <f t="shared" si="37"/>
        <v>0</v>
      </c>
      <c r="AO83">
        <f t="shared" si="38"/>
        <v>0</v>
      </c>
      <c r="AP83">
        <f t="shared" si="39"/>
        <v>0</v>
      </c>
      <c r="AQ83">
        <f t="shared" si="40"/>
        <v>0</v>
      </c>
      <c r="AR83">
        <f t="shared" si="41"/>
        <v>0</v>
      </c>
    </row>
    <row r="84" spans="1:44" x14ac:dyDescent="0.25">
      <c r="A84" s="14">
        <v>42825</v>
      </c>
      <c r="B84">
        <v>102.29072148417767</v>
      </c>
      <c r="C84">
        <v>104.16574844695931</v>
      </c>
      <c r="D84">
        <v>100.32431772350587</v>
      </c>
      <c r="E84">
        <v>100.01716640617356</v>
      </c>
      <c r="F84">
        <v>98.469796587441408</v>
      </c>
      <c r="G84">
        <v>97.889312835343688</v>
      </c>
      <c r="H84">
        <v>108.38779638595433</v>
      </c>
      <c r="I84">
        <v>103.5530457314</v>
      </c>
      <c r="J84">
        <v>102.233675240322</v>
      </c>
      <c r="K84">
        <v>0.79643989370686996</v>
      </c>
      <c r="L84">
        <v>77.053801538461499</v>
      </c>
      <c r="M84" s="15">
        <f>+'[3]VAR expectations'!C108</f>
        <v>2.2293252935517471</v>
      </c>
      <c r="N84">
        <v>0.55056420967961694</v>
      </c>
      <c r="O84">
        <v>0.148333381346754</v>
      </c>
      <c r="P84">
        <v>313.33333333333331</v>
      </c>
      <c r="Q84">
        <v>66.333333333333329</v>
      </c>
      <c r="R84">
        <v>475.33333333333331</v>
      </c>
      <c r="S84">
        <v>102.66666666666667</v>
      </c>
      <c r="T84">
        <v>19.666666666666668</v>
      </c>
      <c r="U84">
        <v>22.666666666666668</v>
      </c>
      <c r="V84">
        <f t="shared" si="23"/>
        <v>145</v>
      </c>
      <c r="X84">
        <f t="shared" si="24"/>
        <v>0.93885483814332815</v>
      </c>
      <c r="Y84">
        <f t="shared" si="42"/>
        <v>0.73308794268632482</v>
      </c>
      <c r="Z84">
        <f t="shared" si="43"/>
        <v>0.59256539103208183</v>
      </c>
      <c r="AA84">
        <f t="shared" si="44"/>
        <v>1.1448890957332907</v>
      </c>
      <c r="AB84">
        <f t="shared" si="25"/>
        <v>1.1304479498310798</v>
      </c>
      <c r="AC84">
        <f t="shared" si="26"/>
        <v>0.88218854169491578</v>
      </c>
      <c r="AD84">
        <f t="shared" si="27"/>
        <v>1.6234111392470112</v>
      </c>
      <c r="AE84">
        <f t="shared" si="28"/>
        <v>3.5446236118042549</v>
      </c>
      <c r="AF84">
        <f t="shared" si="29"/>
        <v>0.8563999405929934</v>
      </c>
      <c r="AG84">
        <f t="shared" si="30"/>
        <v>1.0849504703481005E-2</v>
      </c>
      <c r="AH84">
        <f t="shared" si="31"/>
        <v>0.43026461538460126</v>
      </c>
      <c r="AI84" s="15">
        <f>M84-M222</f>
        <v>-0.20000886839226251</v>
      </c>
      <c r="AJ84">
        <f t="shared" si="33"/>
        <v>0.35166427381715992</v>
      </c>
      <c r="AK84">
        <f t="shared" si="34"/>
        <v>4.2326586351650042E-3</v>
      </c>
      <c r="AL84">
        <f t="shared" si="35"/>
        <v>8.3333333333333144</v>
      </c>
      <c r="AM84">
        <f t="shared" si="36"/>
        <v>-0.6666666666666714</v>
      </c>
      <c r="AN84">
        <f t="shared" si="37"/>
        <v>-7.6666666666666856</v>
      </c>
      <c r="AO84">
        <f t="shared" si="38"/>
        <v>-0.3333333333333286</v>
      </c>
      <c r="AP84">
        <f t="shared" si="39"/>
        <v>0.66666666666666785</v>
      </c>
      <c r="AQ84">
        <f t="shared" si="40"/>
        <v>-0.33333333333333215</v>
      </c>
      <c r="AR84">
        <f t="shared" si="41"/>
        <v>0</v>
      </c>
    </row>
    <row r="85" spans="1:44" x14ac:dyDescent="0.25">
      <c r="A85" s="14">
        <v>42916</v>
      </c>
      <c r="B85">
        <v>103.078107156494</v>
      </c>
      <c r="C85">
        <v>105.061771391146</v>
      </c>
      <c r="D85">
        <v>101.16649714443766</v>
      </c>
      <c r="E85">
        <v>101.23327770850166</v>
      </c>
      <c r="F85">
        <v>99.492434787397642</v>
      </c>
      <c r="G85">
        <v>99.075892579948189</v>
      </c>
      <c r="H85">
        <v>110.413144859841</v>
      </c>
      <c r="I85">
        <v>102.40742771068601</v>
      </c>
      <c r="J85">
        <v>103.090096344523</v>
      </c>
      <c r="K85">
        <v>0.79618408814021602</v>
      </c>
      <c r="L85">
        <v>77.968176923076896</v>
      </c>
      <c r="M85" s="15">
        <f>+'[3]VAR expectations'!C109</f>
        <v>2.056924231171823</v>
      </c>
      <c r="N85">
        <v>0.38598699929055602</v>
      </c>
      <c r="O85">
        <v>3.52988700838464E-3</v>
      </c>
      <c r="P85">
        <v>312</v>
      </c>
      <c r="Q85">
        <v>67</v>
      </c>
      <c r="R85">
        <v>475</v>
      </c>
      <c r="S85">
        <v>103</v>
      </c>
      <c r="T85">
        <v>20</v>
      </c>
      <c r="U85">
        <v>23</v>
      </c>
      <c r="V85">
        <f t="shared" si="23"/>
        <v>146</v>
      </c>
      <c r="X85">
        <f t="shared" si="24"/>
        <v>0.78738567231633283</v>
      </c>
      <c r="Y85">
        <f t="shared" si="42"/>
        <v>0.89602294418668293</v>
      </c>
      <c r="Z85">
        <f t="shared" si="43"/>
        <v>0.84217942093178522</v>
      </c>
      <c r="AA85">
        <f t="shared" si="44"/>
        <v>1.2161113023281018</v>
      </c>
      <c r="AB85">
        <f t="shared" si="25"/>
        <v>1.0226381999562335</v>
      </c>
      <c r="AC85">
        <f t="shared" si="26"/>
        <v>1.1865797446045008</v>
      </c>
      <c r="AD85">
        <f t="shared" si="27"/>
        <v>2.0253484738866661</v>
      </c>
      <c r="AE85">
        <f t="shared" si="28"/>
        <v>-1.1456180207139965</v>
      </c>
      <c r="AF85">
        <f t="shared" si="29"/>
        <v>0.85642110420100437</v>
      </c>
      <c r="AG85">
        <f t="shared" si="30"/>
        <v>-2.5580556665394383E-4</v>
      </c>
      <c r="AH85">
        <f t="shared" si="31"/>
        <v>0.91437538461539702</v>
      </c>
      <c r="AI85">
        <f t="shared" si="32"/>
        <v>-0.52077162100622054</v>
      </c>
      <c r="AJ85">
        <f t="shared" si="33"/>
        <v>-0.16457721038906092</v>
      </c>
      <c r="AK85">
        <f t="shared" si="34"/>
        <v>-0.14480349433836937</v>
      </c>
      <c r="AL85">
        <f t="shared" si="35"/>
        <v>-1.3333333333333144</v>
      </c>
      <c r="AM85">
        <f t="shared" si="36"/>
        <v>0.6666666666666714</v>
      </c>
      <c r="AN85">
        <f t="shared" si="37"/>
        <v>-0.33333333333331439</v>
      </c>
      <c r="AO85">
        <f t="shared" si="38"/>
        <v>0.3333333333333286</v>
      </c>
      <c r="AP85">
        <f t="shared" si="39"/>
        <v>0.33333333333333215</v>
      </c>
      <c r="AQ85">
        <f t="shared" si="40"/>
        <v>0.33333333333333215</v>
      </c>
      <c r="AR85">
        <f t="shared" si="41"/>
        <v>1</v>
      </c>
    </row>
    <row r="86" spans="1:44" x14ac:dyDescent="0.25">
      <c r="A86" s="14">
        <v>43008</v>
      </c>
      <c r="B86">
        <v>103.64314014108032</v>
      </c>
      <c r="C86">
        <v>105.71176823488101</v>
      </c>
      <c r="D86">
        <v>101.61593641104533</v>
      </c>
      <c r="E86">
        <v>101.81678087546034</v>
      </c>
      <c r="F86">
        <v>99.909845665063088</v>
      </c>
      <c r="G86">
        <v>99.60222576777214</v>
      </c>
      <c r="H86">
        <v>111.81790391896266</v>
      </c>
      <c r="I86">
        <v>102.44660614568433</v>
      </c>
      <c r="J86">
        <v>103.66947598665099</v>
      </c>
      <c r="K86">
        <v>0.79936167572472205</v>
      </c>
      <c r="L86">
        <v>76.548027692307699</v>
      </c>
      <c r="M86" s="15">
        <f>+'[3]VAR expectations'!C110</f>
        <v>2.1248729237613553</v>
      </c>
      <c r="N86">
        <v>0.33037874466038097</v>
      </c>
      <c r="O86">
        <v>3.7966343152193403E-2</v>
      </c>
      <c r="P86">
        <v>312</v>
      </c>
      <c r="Q86">
        <v>67</v>
      </c>
      <c r="R86">
        <v>475</v>
      </c>
      <c r="S86">
        <v>103</v>
      </c>
      <c r="T86">
        <v>20</v>
      </c>
      <c r="U86">
        <v>23</v>
      </c>
      <c r="V86">
        <f t="shared" si="23"/>
        <v>146</v>
      </c>
      <c r="X86">
        <f t="shared" si="24"/>
        <v>0.56503298458632401</v>
      </c>
      <c r="Y86">
        <f t="shared" si="42"/>
        <v>0.64999684373501054</v>
      </c>
      <c r="Z86">
        <f t="shared" si="43"/>
        <v>0.4494392666076692</v>
      </c>
      <c r="AA86">
        <f t="shared" si="44"/>
        <v>0.58350316695867832</v>
      </c>
      <c r="AB86">
        <f t="shared" si="25"/>
        <v>0.41741087766544638</v>
      </c>
      <c r="AC86">
        <f t="shared" si="26"/>
        <v>0.52633318782395122</v>
      </c>
      <c r="AD86">
        <f t="shared" si="27"/>
        <v>1.404759059121659</v>
      </c>
      <c r="AE86">
        <f t="shared" si="28"/>
        <v>3.9178434998319744E-2</v>
      </c>
      <c r="AF86">
        <f t="shared" si="29"/>
        <v>0.57937964212798931</v>
      </c>
      <c r="AG86">
        <f t="shared" si="30"/>
        <v>3.1775875845060364E-3</v>
      </c>
      <c r="AH86">
        <f t="shared" si="31"/>
        <v>-1.4201492307691979</v>
      </c>
      <c r="AI86">
        <f t="shared" si="32"/>
        <v>-0.4565400167153153</v>
      </c>
      <c r="AJ86">
        <f t="shared" si="33"/>
        <v>-5.5608254630175047E-2</v>
      </c>
      <c r="AK86">
        <f t="shared" si="34"/>
        <v>3.4436456143808761E-2</v>
      </c>
      <c r="AL86">
        <f t="shared" si="35"/>
        <v>0</v>
      </c>
      <c r="AM86">
        <f t="shared" si="36"/>
        <v>0</v>
      </c>
      <c r="AN86">
        <f t="shared" si="37"/>
        <v>0</v>
      </c>
      <c r="AO86">
        <f t="shared" si="38"/>
        <v>0</v>
      </c>
      <c r="AP86">
        <f t="shared" si="39"/>
        <v>0</v>
      </c>
      <c r="AQ86">
        <f t="shared" si="40"/>
        <v>0</v>
      </c>
      <c r="AR86">
        <f t="shared" si="41"/>
        <v>0</v>
      </c>
    </row>
    <row r="87" spans="1:44" x14ac:dyDescent="0.25">
      <c r="A87" s="14">
        <v>43100</v>
      </c>
      <c r="B87">
        <v>104.42514916507599</v>
      </c>
      <c r="C87">
        <v>106.23712720059832</v>
      </c>
      <c r="D87">
        <v>102.24479571733666</v>
      </c>
      <c r="E87">
        <v>103.07894664460666</v>
      </c>
      <c r="F87">
        <v>101.25666960001233</v>
      </c>
      <c r="G87">
        <v>99.75402409166152</v>
      </c>
      <c r="H87">
        <v>113.51340915161866</v>
      </c>
      <c r="I87">
        <v>105.162171100789</v>
      </c>
      <c r="J87">
        <v>104.455453723315</v>
      </c>
      <c r="K87">
        <v>0.80579439262368302</v>
      </c>
      <c r="L87">
        <v>77.708216923076904</v>
      </c>
      <c r="M87" s="15">
        <f>+'[3]VAR expectations'!C111</f>
        <v>1.7035599242558022</v>
      </c>
      <c r="N87">
        <v>0.33802634456306002</v>
      </c>
      <c r="O87">
        <v>0.14910290843450899</v>
      </c>
      <c r="P87">
        <v>312</v>
      </c>
      <c r="Q87">
        <v>67</v>
      </c>
      <c r="R87">
        <v>475</v>
      </c>
      <c r="S87">
        <v>103</v>
      </c>
      <c r="T87">
        <v>20</v>
      </c>
      <c r="U87">
        <v>23</v>
      </c>
      <c r="V87">
        <f t="shared" si="23"/>
        <v>146</v>
      </c>
      <c r="X87">
        <f t="shared" si="24"/>
        <v>0.78200902399566985</v>
      </c>
      <c r="Y87">
        <f t="shared" si="42"/>
        <v>0.52535896571731655</v>
      </c>
      <c r="Z87">
        <f t="shared" si="43"/>
        <v>0.62885930629133213</v>
      </c>
      <c r="AA87">
        <f t="shared" si="44"/>
        <v>1.2621657691463213</v>
      </c>
      <c r="AB87">
        <f t="shared" si="25"/>
        <v>1.3468239349492421</v>
      </c>
      <c r="AC87">
        <f t="shared" si="26"/>
        <v>0.15179832388938053</v>
      </c>
      <c r="AD87">
        <f t="shared" si="27"/>
        <v>1.6955052326560036</v>
      </c>
      <c r="AE87">
        <f t="shared" si="28"/>
        <v>2.7155649551046679</v>
      </c>
      <c r="AF87">
        <f t="shared" si="29"/>
        <v>0.78597773666400883</v>
      </c>
      <c r="AG87">
        <f t="shared" si="30"/>
        <v>6.4327168989609662E-3</v>
      </c>
      <c r="AH87">
        <f t="shared" si="31"/>
        <v>1.1601892307692054</v>
      </c>
      <c r="AI87">
        <f t="shared" si="32"/>
        <v>-0.84174047569541144</v>
      </c>
      <c r="AJ87">
        <f t="shared" si="33"/>
        <v>7.6475999026790475E-3</v>
      </c>
      <c r="AK87">
        <f t="shared" si="34"/>
        <v>0.11113656528231558</v>
      </c>
      <c r="AL87">
        <f t="shared" si="35"/>
        <v>0</v>
      </c>
      <c r="AM87">
        <f t="shared" si="36"/>
        <v>0</v>
      </c>
      <c r="AN87">
        <f t="shared" si="37"/>
        <v>0</v>
      </c>
      <c r="AO87">
        <f t="shared" si="38"/>
        <v>0</v>
      </c>
      <c r="AP87">
        <f t="shared" si="39"/>
        <v>0</v>
      </c>
      <c r="AQ87">
        <f t="shared" si="40"/>
        <v>0</v>
      </c>
      <c r="AR87">
        <f t="shared" si="41"/>
        <v>0</v>
      </c>
    </row>
    <row r="88" spans="1:44" x14ac:dyDescent="0.25">
      <c r="A88" s="14">
        <v>43190</v>
      </c>
      <c r="B88">
        <v>105.07830633175031</v>
      </c>
      <c r="C88">
        <v>106.84352480592867</v>
      </c>
      <c r="D88">
        <v>102.60423698833932</v>
      </c>
      <c r="E88">
        <v>103.73972690662868</v>
      </c>
      <c r="F88">
        <v>101.67692960922902</v>
      </c>
      <c r="G88">
        <v>99.91807672034507</v>
      </c>
      <c r="H88">
        <v>116.01780429054334</v>
      </c>
      <c r="I88">
        <v>107.57945237941033</v>
      </c>
      <c r="J88">
        <v>104.998311713889</v>
      </c>
      <c r="K88">
        <v>0.81529753488664503</v>
      </c>
      <c r="L88">
        <v>79.033741538461499</v>
      </c>
      <c r="M88" s="15">
        <f>+'[3]VAR expectations'!C112</f>
        <v>1.1817637648378063</v>
      </c>
      <c r="N88">
        <v>0.24733463127710101</v>
      </c>
      <c r="O88">
        <v>5.4503903268826599E-2</v>
      </c>
      <c r="P88">
        <v>311.66666666666669</v>
      </c>
      <c r="Q88">
        <v>64.666666666666671</v>
      </c>
      <c r="R88">
        <v>481</v>
      </c>
      <c r="S88">
        <v>101</v>
      </c>
      <c r="T88">
        <v>19.666666666666668</v>
      </c>
      <c r="U88">
        <v>22</v>
      </c>
      <c r="V88">
        <f t="shared" si="23"/>
        <v>142.66666666666669</v>
      </c>
      <c r="X88">
        <f t="shared" si="24"/>
        <v>0.653157166674319</v>
      </c>
      <c r="Y88">
        <f t="shared" si="42"/>
        <v>0.60639760533034348</v>
      </c>
      <c r="Z88">
        <f t="shared" si="43"/>
        <v>0.35944127100266599</v>
      </c>
      <c r="AA88">
        <f t="shared" si="44"/>
        <v>0.66078026202201556</v>
      </c>
      <c r="AB88">
        <f t="shared" si="25"/>
        <v>0.42026000921669038</v>
      </c>
      <c r="AC88">
        <f t="shared" si="26"/>
        <v>0.16405262868354953</v>
      </c>
      <c r="AD88">
        <f t="shared" si="27"/>
        <v>2.5043951389246786</v>
      </c>
      <c r="AE88">
        <f t="shared" si="28"/>
        <v>2.4172812786213314</v>
      </c>
      <c r="AF88">
        <f t="shared" si="29"/>
        <v>0.54285799057399231</v>
      </c>
      <c r="AG88">
        <f t="shared" si="30"/>
        <v>9.5031422629620055E-3</v>
      </c>
      <c r="AH88">
        <f t="shared" si="31"/>
        <v>1.3255246153845945</v>
      </c>
      <c r="AI88">
        <f t="shared" si="32"/>
        <v>-1.535257442414552</v>
      </c>
      <c r="AJ88">
        <f t="shared" si="33"/>
        <v>-9.0691713285959014E-2</v>
      </c>
      <c r="AK88">
        <f t="shared" si="34"/>
        <v>-9.4599005165682398E-2</v>
      </c>
      <c r="AL88">
        <f t="shared" si="35"/>
        <v>-0.33333333333331439</v>
      </c>
      <c r="AM88">
        <f t="shared" si="36"/>
        <v>-2.3333333333333286</v>
      </c>
      <c r="AN88">
        <f t="shared" si="37"/>
        <v>6</v>
      </c>
      <c r="AO88">
        <f t="shared" si="38"/>
        <v>-2</v>
      </c>
      <c r="AP88">
        <f t="shared" si="39"/>
        <v>-0.33333333333333215</v>
      </c>
      <c r="AQ88">
        <f t="shared" si="40"/>
        <v>-1</v>
      </c>
      <c r="AR88">
        <f t="shared" si="41"/>
        <v>-3.3333333333333144</v>
      </c>
    </row>
    <row r="89" spans="1:44" x14ac:dyDescent="0.25">
      <c r="A89" s="14">
        <v>43281</v>
      </c>
      <c r="B89">
        <v>105.56474582955633</v>
      </c>
      <c r="C89">
        <v>107.41384559290634</v>
      </c>
      <c r="D89">
        <v>102.91320704023001</v>
      </c>
      <c r="E89">
        <v>104.06474181882066</v>
      </c>
      <c r="F89">
        <v>101.77099681092902</v>
      </c>
      <c r="G89">
        <v>99.720037234909057</v>
      </c>
      <c r="H89">
        <v>118.05846295492934</v>
      </c>
      <c r="I89">
        <v>108.69293740124967</v>
      </c>
      <c r="J89">
        <v>105.59874310155099</v>
      </c>
      <c r="K89">
        <v>0.81863826660980799</v>
      </c>
      <c r="L89">
        <v>79.101027692307696</v>
      </c>
      <c r="M89" s="15">
        <f>+'[3]VAR expectations'!C113</f>
        <v>1.1947961687177484</v>
      </c>
      <c r="N89">
        <v>0.40714614504868402</v>
      </c>
      <c r="O89">
        <v>0.16437025473436201</v>
      </c>
      <c r="P89">
        <v>311</v>
      </c>
      <c r="Q89">
        <v>65</v>
      </c>
      <c r="R89">
        <v>481</v>
      </c>
      <c r="S89">
        <v>101</v>
      </c>
      <c r="T89">
        <v>20</v>
      </c>
      <c r="U89">
        <v>22</v>
      </c>
      <c r="V89">
        <f t="shared" si="23"/>
        <v>143</v>
      </c>
      <c r="X89">
        <f t="shared" si="24"/>
        <v>0.48643949780601758</v>
      </c>
      <c r="Y89">
        <f t="shared" si="42"/>
        <v>0.57032078697767474</v>
      </c>
      <c r="Z89">
        <f t="shared" si="43"/>
        <v>0.30897005189068238</v>
      </c>
      <c r="AA89">
        <f t="shared" si="44"/>
        <v>0.32501491219198897</v>
      </c>
      <c r="AB89">
        <f t="shared" si="25"/>
        <v>9.4067201699999714E-2</v>
      </c>
      <c r="AC89">
        <f t="shared" si="26"/>
        <v>-0.1980394854360128</v>
      </c>
      <c r="AD89">
        <f t="shared" si="27"/>
        <v>2.040658664386001</v>
      </c>
      <c r="AE89">
        <f t="shared" si="28"/>
        <v>1.1134850218393382</v>
      </c>
      <c r="AF89">
        <f t="shared" si="29"/>
        <v>0.60043138766199888</v>
      </c>
      <c r="AG89">
        <f t="shared" si="30"/>
        <v>3.3407317231629596E-3</v>
      </c>
      <c r="AH89">
        <f t="shared" si="31"/>
        <v>6.7286153846197294E-2</v>
      </c>
      <c r="AI89">
        <f t="shared" si="32"/>
        <v>-1.244882513135074</v>
      </c>
      <c r="AJ89">
        <f t="shared" si="33"/>
        <v>0.15981151377158301</v>
      </c>
      <c r="AK89">
        <f t="shared" si="34"/>
        <v>0.10986635146553542</v>
      </c>
      <c r="AL89">
        <f t="shared" si="35"/>
        <v>-0.66666666666668561</v>
      </c>
      <c r="AM89">
        <f t="shared" si="36"/>
        <v>0.3333333333333286</v>
      </c>
      <c r="AN89">
        <f t="shared" si="37"/>
        <v>0</v>
      </c>
      <c r="AO89">
        <f t="shared" si="38"/>
        <v>0</v>
      </c>
      <c r="AP89">
        <f t="shared" si="39"/>
        <v>0.33333333333333215</v>
      </c>
      <c r="AQ89">
        <f t="shared" si="40"/>
        <v>0</v>
      </c>
      <c r="AR89">
        <f t="shared" si="41"/>
        <v>0.33333333333331439</v>
      </c>
    </row>
    <row r="90" spans="1:44" x14ac:dyDescent="0.25">
      <c r="A90" s="14">
        <v>43373</v>
      </c>
      <c r="B90">
        <v>106.24111830317599</v>
      </c>
      <c r="C90">
        <v>108.25622904895333</v>
      </c>
      <c r="D90">
        <v>102.849024366881</v>
      </c>
      <c r="E90">
        <v>104.47243524284534</v>
      </c>
      <c r="F90">
        <v>101.96865580305767</v>
      </c>
      <c r="G90">
        <v>99.976991198166061</v>
      </c>
      <c r="H90">
        <v>119.75310510822634</v>
      </c>
      <c r="I90">
        <v>111.74228545577701</v>
      </c>
      <c r="J90">
        <v>106.264776934575</v>
      </c>
      <c r="K90">
        <v>0.827664917308371</v>
      </c>
      <c r="L90">
        <v>77.813970769230806</v>
      </c>
      <c r="M90" s="15">
        <f>+'[3]VAR expectations'!C114</f>
        <v>1.4668407504949574</v>
      </c>
      <c r="N90">
        <v>0.59026787322204399</v>
      </c>
      <c r="O90">
        <v>0.21968415645398701</v>
      </c>
      <c r="P90">
        <v>311</v>
      </c>
      <c r="Q90">
        <v>65</v>
      </c>
      <c r="R90">
        <v>481</v>
      </c>
      <c r="S90">
        <v>101</v>
      </c>
      <c r="T90">
        <v>20</v>
      </c>
      <c r="U90">
        <v>22</v>
      </c>
      <c r="V90">
        <f t="shared" si="23"/>
        <v>143</v>
      </c>
      <c r="X90">
        <f t="shared" si="24"/>
        <v>0.67637247361966502</v>
      </c>
      <c r="Y90">
        <f t="shared" si="42"/>
        <v>0.8423834560469885</v>
      </c>
      <c r="Z90">
        <f t="shared" si="43"/>
        <v>-6.4182673349009178E-2</v>
      </c>
      <c r="AA90">
        <f t="shared" si="44"/>
        <v>0.40769342402467146</v>
      </c>
      <c r="AB90">
        <f t="shared" si="25"/>
        <v>0.19765899212865179</v>
      </c>
      <c r="AC90">
        <f t="shared" si="26"/>
        <v>0.25695396325700415</v>
      </c>
      <c r="AD90">
        <f t="shared" si="27"/>
        <v>1.6946421532969964</v>
      </c>
      <c r="AE90">
        <f t="shared" si="28"/>
        <v>3.0493480545273428</v>
      </c>
      <c r="AF90">
        <f t="shared" si="29"/>
        <v>0.66603383302400232</v>
      </c>
      <c r="AG90">
        <f t="shared" si="30"/>
        <v>9.0266506985630102E-3</v>
      </c>
      <c r="AH90">
        <f t="shared" si="31"/>
        <v>-1.2870569230768893</v>
      </c>
      <c r="AI90">
        <f t="shared" si="32"/>
        <v>-1.0191696280154023</v>
      </c>
      <c r="AJ90">
        <f t="shared" si="33"/>
        <v>0.18312172817335998</v>
      </c>
      <c r="AK90">
        <f t="shared" si="34"/>
        <v>5.5313901719624997E-2</v>
      </c>
      <c r="AL90">
        <f t="shared" si="35"/>
        <v>0</v>
      </c>
      <c r="AM90">
        <f t="shared" si="36"/>
        <v>0</v>
      </c>
      <c r="AN90">
        <f t="shared" si="37"/>
        <v>0</v>
      </c>
      <c r="AO90">
        <f t="shared" si="38"/>
        <v>0</v>
      </c>
      <c r="AP90">
        <f t="shared" si="39"/>
        <v>0</v>
      </c>
      <c r="AQ90">
        <f t="shared" si="40"/>
        <v>0</v>
      </c>
      <c r="AR90">
        <f t="shared" si="41"/>
        <v>0</v>
      </c>
    </row>
    <row r="91" spans="1:44" x14ac:dyDescent="0.25">
      <c r="A91" s="14">
        <v>43465</v>
      </c>
      <c r="B91">
        <v>106.79819467718634</v>
      </c>
      <c r="C91">
        <v>108.863811690649</v>
      </c>
      <c r="D91">
        <v>103.19250248918267</v>
      </c>
      <c r="E91">
        <v>104.96451236826</v>
      </c>
      <c r="F91">
        <v>101.96227264327433</v>
      </c>
      <c r="G91">
        <v>100.266200933883</v>
      </c>
      <c r="H91">
        <v>122.71904686377233</v>
      </c>
      <c r="I91">
        <v>113.99764934990235</v>
      </c>
      <c r="J91">
        <v>106.82547362140301</v>
      </c>
      <c r="K91">
        <v>0.82610064085679102</v>
      </c>
      <c r="L91">
        <v>77.843365151515201</v>
      </c>
      <c r="M91" s="15">
        <f>+'[3]VAR expectations'!C115</f>
        <v>1.2905237090286479</v>
      </c>
      <c r="N91">
        <v>0.53549829449636599</v>
      </c>
      <c r="O91">
        <v>9.5964640682364502E-2</v>
      </c>
      <c r="P91">
        <v>311</v>
      </c>
      <c r="Q91">
        <v>65</v>
      </c>
      <c r="R91">
        <v>481</v>
      </c>
      <c r="S91">
        <v>101</v>
      </c>
      <c r="T91">
        <v>20</v>
      </c>
      <c r="U91">
        <v>22</v>
      </c>
      <c r="V91">
        <f t="shared" si="23"/>
        <v>143</v>
      </c>
      <c r="X91">
        <f t="shared" si="24"/>
        <v>0.55707637401035015</v>
      </c>
      <c r="Y91">
        <f t="shared" si="42"/>
        <v>0.60758264169567155</v>
      </c>
      <c r="Z91">
        <f t="shared" si="43"/>
        <v>0.34347812230167563</v>
      </c>
      <c r="AA91">
        <f t="shared" si="44"/>
        <v>0.49207712541466719</v>
      </c>
      <c r="AB91">
        <f t="shared" si="25"/>
        <v>-6.3831597833399201E-3</v>
      </c>
      <c r="AC91">
        <f t="shared" si="26"/>
        <v>0.28920973571693764</v>
      </c>
      <c r="AD91">
        <f t="shared" si="27"/>
        <v>2.9659417555459981</v>
      </c>
      <c r="AE91">
        <f t="shared" si="28"/>
        <v>2.2553638941253382</v>
      </c>
      <c r="AF91">
        <f t="shared" si="29"/>
        <v>0.56069668682800966</v>
      </c>
      <c r="AG91">
        <f t="shared" si="30"/>
        <v>-1.5642764515799712E-3</v>
      </c>
      <c r="AH91">
        <f t="shared" si="31"/>
        <v>2.9394382284394283E-2</v>
      </c>
      <c r="AI91">
        <f t="shared" si="32"/>
        <v>-1.3854123803192839</v>
      </c>
      <c r="AJ91">
        <f t="shared" si="33"/>
        <v>-5.4769578725678003E-2</v>
      </c>
      <c r="AK91">
        <f t="shared" si="34"/>
        <v>-0.1237195157716225</v>
      </c>
      <c r="AL91">
        <f t="shared" si="35"/>
        <v>0</v>
      </c>
      <c r="AM91">
        <f t="shared" si="36"/>
        <v>0</v>
      </c>
      <c r="AN91">
        <f t="shared" si="37"/>
        <v>0</v>
      </c>
      <c r="AO91">
        <f t="shared" si="38"/>
        <v>0</v>
      </c>
      <c r="AP91">
        <f t="shared" si="39"/>
        <v>0</v>
      </c>
      <c r="AQ91">
        <f t="shared" si="40"/>
        <v>0</v>
      </c>
      <c r="AR91">
        <f t="shared" si="41"/>
        <v>0</v>
      </c>
    </row>
    <row r="92" spans="1:44" x14ac:dyDescent="0.25">
      <c r="A92" s="14">
        <v>43555</v>
      </c>
      <c r="B92">
        <v>107.07065987406367</v>
      </c>
      <c r="C92">
        <v>109.50362203026934</v>
      </c>
      <c r="D92">
        <v>103.54776466208834</v>
      </c>
      <c r="E92">
        <v>105.88237163900699</v>
      </c>
      <c r="F92">
        <v>102.66410131178965</v>
      </c>
      <c r="G92">
        <v>100.896818387238</v>
      </c>
      <c r="H92">
        <v>125.21584018877734</v>
      </c>
      <c r="I92">
        <v>109.33760901339868</v>
      </c>
      <c r="J92">
        <v>106.96537965736999</v>
      </c>
      <c r="K92">
        <v>0.82186357580014402</v>
      </c>
      <c r="L92">
        <v>78.730029687499993</v>
      </c>
      <c r="M92" s="15">
        <f>+'[3]VAR expectations'!C116</f>
        <v>1.4081096049117914</v>
      </c>
      <c r="N92">
        <v>0.111501420298973</v>
      </c>
      <c r="O92">
        <v>-0.324727992496813</v>
      </c>
      <c r="P92">
        <v>318.33333333333331</v>
      </c>
      <c r="Q92">
        <v>61.666666666666664</v>
      </c>
      <c r="R92">
        <v>480</v>
      </c>
      <c r="S92">
        <v>100</v>
      </c>
      <c r="T92">
        <v>19</v>
      </c>
      <c r="U92">
        <v>21</v>
      </c>
      <c r="V92">
        <f t="shared" si="23"/>
        <v>140</v>
      </c>
      <c r="X92">
        <f t="shared" si="24"/>
        <v>0.27246519687732018</v>
      </c>
      <c r="Y92">
        <f t="shared" si="42"/>
        <v>0.63981033962033962</v>
      </c>
      <c r="Z92">
        <f t="shared" si="43"/>
        <v>0.35526217290566819</v>
      </c>
      <c r="AA92">
        <f t="shared" si="44"/>
        <v>0.91785927074698748</v>
      </c>
      <c r="AB92">
        <f t="shared" si="25"/>
        <v>0.70182866851531855</v>
      </c>
      <c r="AC92">
        <f t="shared" si="26"/>
        <v>0.63061745335500063</v>
      </c>
      <c r="AD92">
        <f t="shared" si="27"/>
        <v>2.496793325005001</v>
      </c>
      <c r="AE92">
        <f t="shared" si="28"/>
        <v>-4.6600403365036698</v>
      </c>
      <c r="AF92">
        <f t="shared" si="29"/>
        <v>0.13990603596698747</v>
      </c>
      <c r="AG92">
        <f t="shared" si="30"/>
        <v>-4.2370650566470047E-3</v>
      </c>
      <c r="AH92">
        <f t="shared" si="31"/>
        <v>0.88666453598479222</v>
      </c>
      <c r="AI92">
        <f t="shared" si="32"/>
        <v>-1.3059493458232923</v>
      </c>
      <c r="AJ92">
        <f t="shared" si="33"/>
        <v>-0.42399687419739296</v>
      </c>
      <c r="AK92">
        <f t="shared" si="34"/>
        <v>-0.42069263317917749</v>
      </c>
      <c r="AL92">
        <f t="shared" si="35"/>
        <v>7.3333333333333144</v>
      </c>
      <c r="AM92">
        <f t="shared" si="36"/>
        <v>-3.3333333333333357</v>
      </c>
      <c r="AN92">
        <f t="shared" si="37"/>
        <v>-1</v>
      </c>
      <c r="AO92">
        <f t="shared" si="38"/>
        <v>-1</v>
      </c>
      <c r="AP92">
        <f t="shared" si="39"/>
        <v>-1</v>
      </c>
      <c r="AQ92">
        <f t="shared" si="40"/>
        <v>-1</v>
      </c>
      <c r="AR92">
        <f t="shared" si="41"/>
        <v>-3</v>
      </c>
    </row>
    <row r="93" spans="1:44" x14ac:dyDescent="0.25">
      <c r="A93" s="14">
        <v>43646</v>
      </c>
      <c r="B93">
        <v>107.70041211587333</v>
      </c>
      <c r="C93">
        <v>110.25025651536366</v>
      </c>
      <c r="D93">
        <v>103.31881835658901</v>
      </c>
      <c r="E93">
        <v>105.96247233678935</v>
      </c>
      <c r="F93">
        <v>102.90181489149199</v>
      </c>
      <c r="G93">
        <v>100.39083237761901</v>
      </c>
      <c r="H93">
        <v>125.29006150804834</v>
      </c>
      <c r="I93">
        <v>115.30591783247799</v>
      </c>
      <c r="J93">
        <v>107.77555903789001</v>
      </c>
      <c r="K93">
        <v>0.82949036029431999</v>
      </c>
      <c r="L93">
        <v>78.457547692307699</v>
      </c>
      <c r="M93" s="15">
        <f>+'[3]VAR expectations'!C117</f>
        <v>1.5354544995855299</v>
      </c>
      <c r="N93">
        <v>0.40244228624181999</v>
      </c>
      <c r="O93">
        <v>0.450193982701309</v>
      </c>
      <c r="P93">
        <v>318</v>
      </c>
      <c r="Q93">
        <v>61</v>
      </c>
      <c r="R93">
        <v>481</v>
      </c>
      <c r="S93">
        <v>100</v>
      </c>
      <c r="T93">
        <v>19</v>
      </c>
      <c r="U93">
        <v>21</v>
      </c>
      <c r="V93">
        <f t="shared" si="23"/>
        <v>140</v>
      </c>
      <c r="X93">
        <f t="shared" si="24"/>
        <v>0.62975224180966904</v>
      </c>
      <c r="Y93">
        <f t="shared" si="42"/>
        <v>0.74663448509431873</v>
      </c>
      <c r="Z93">
        <f t="shared" si="43"/>
        <v>-0.22894630549933481</v>
      </c>
      <c r="AA93">
        <f t="shared" si="44"/>
        <v>8.0100697782356178E-2</v>
      </c>
      <c r="AB93">
        <f t="shared" si="25"/>
        <v>0.23771357970234419</v>
      </c>
      <c r="AC93">
        <f t="shared" si="26"/>
        <v>-0.50598600961899365</v>
      </c>
      <c r="AD93">
        <f t="shared" si="27"/>
        <v>7.4221319271003949E-2</v>
      </c>
      <c r="AE93">
        <f t="shared" si="28"/>
        <v>5.9683088190793114</v>
      </c>
      <c r="AF93">
        <f t="shared" si="29"/>
        <v>0.8101793805200117</v>
      </c>
      <c r="AG93">
        <f t="shared" si="30"/>
        <v>7.6267844941759755E-3</v>
      </c>
      <c r="AH93">
        <f t="shared" si="31"/>
        <v>-0.27248199519229388</v>
      </c>
      <c r="AI93">
        <f t="shared" si="32"/>
        <v>-1.1976819497876896</v>
      </c>
      <c r="AJ93">
        <f t="shared" si="33"/>
        <v>0.29094086594284696</v>
      </c>
      <c r="AK93">
        <f t="shared" si="34"/>
        <v>0.774921975198122</v>
      </c>
      <c r="AL93">
        <f t="shared" si="35"/>
        <v>-0.33333333333331439</v>
      </c>
      <c r="AM93">
        <f t="shared" si="36"/>
        <v>-0.6666666666666643</v>
      </c>
      <c r="AN93">
        <f t="shared" si="37"/>
        <v>1</v>
      </c>
      <c r="AO93">
        <f t="shared" si="38"/>
        <v>0</v>
      </c>
      <c r="AP93">
        <f t="shared" si="39"/>
        <v>0</v>
      </c>
      <c r="AQ93">
        <f t="shared" si="40"/>
        <v>0</v>
      </c>
      <c r="AR93">
        <f t="shared" si="41"/>
        <v>0</v>
      </c>
    </row>
    <row r="94" spans="1:44" x14ac:dyDescent="0.25">
      <c r="A94" s="14">
        <v>43738</v>
      </c>
      <c r="B94">
        <v>108.19067065768434</v>
      </c>
      <c r="C94">
        <v>110.88186438031533</v>
      </c>
      <c r="D94">
        <v>103.48744032378632</v>
      </c>
      <c r="E94">
        <v>106.69509169850033</v>
      </c>
      <c r="F94">
        <v>103.62425680879767</v>
      </c>
      <c r="G94">
        <v>100.92432301925366</v>
      </c>
      <c r="H94">
        <v>126.24912389103433</v>
      </c>
      <c r="I94">
        <v>114.875297330347</v>
      </c>
      <c r="J94">
        <v>108.20201446995</v>
      </c>
      <c r="K94">
        <v>0.84436390000637895</v>
      </c>
      <c r="L94">
        <v>75.795746969697007</v>
      </c>
      <c r="M94" s="15">
        <f>+'[3]VAR expectations'!C118</f>
        <v>1.7661002699234809</v>
      </c>
      <c r="N94">
        <v>0.17462163035891601</v>
      </c>
      <c r="O94">
        <v>-8.21163442679727E-3</v>
      </c>
      <c r="P94">
        <v>318</v>
      </c>
      <c r="Q94">
        <v>61</v>
      </c>
      <c r="R94">
        <v>481</v>
      </c>
      <c r="S94">
        <v>100</v>
      </c>
      <c r="T94">
        <v>19</v>
      </c>
      <c r="U94">
        <v>21</v>
      </c>
      <c r="V94">
        <f t="shared" si="23"/>
        <v>140</v>
      </c>
      <c r="X94">
        <f t="shared" si="24"/>
        <v>0.49025854181100215</v>
      </c>
      <c r="Y94">
        <f t="shared" si="42"/>
        <v>0.63160786495167542</v>
      </c>
      <c r="Z94">
        <f t="shared" si="43"/>
        <v>0.1686219671973106</v>
      </c>
      <c r="AA94">
        <f t="shared" si="44"/>
        <v>0.73261936171098796</v>
      </c>
      <c r="AB94">
        <f t="shared" si="25"/>
        <v>0.72244191730567309</v>
      </c>
      <c r="AC94">
        <f t="shared" si="26"/>
        <v>0.53349064163465698</v>
      </c>
      <c r="AD94">
        <f t="shared" si="27"/>
        <v>0.95906238298599078</v>
      </c>
      <c r="AE94">
        <f t="shared" si="28"/>
        <v>-0.43062050213099212</v>
      </c>
      <c r="AF94">
        <f t="shared" si="29"/>
        <v>0.42645543205999559</v>
      </c>
      <c r="AG94">
        <f t="shared" si="30"/>
        <v>1.4873539712058959E-2</v>
      </c>
      <c r="AH94">
        <f t="shared" si="31"/>
        <v>-2.6618007226106926</v>
      </c>
      <c r="AI94">
        <f t="shared" si="32"/>
        <v>-0.85514228193883635</v>
      </c>
      <c r="AJ94">
        <f t="shared" si="33"/>
        <v>-0.22782065588290398</v>
      </c>
      <c r="AK94">
        <f t="shared" si="34"/>
        <v>-0.45840561712810629</v>
      </c>
      <c r="AL94">
        <f t="shared" si="35"/>
        <v>0</v>
      </c>
      <c r="AM94">
        <f t="shared" si="36"/>
        <v>0</v>
      </c>
      <c r="AN94">
        <f t="shared" si="37"/>
        <v>0</v>
      </c>
      <c r="AO94">
        <f t="shared" si="38"/>
        <v>0</v>
      </c>
      <c r="AP94">
        <f t="shared" si="39"/>
        <v>0</v>
      </c>
      <c r="AQ94">
        <f t="shared" si="40"/>
        <v>0</v>
      </c>
      <c r="AR94">
        <f t="shared" si="41"/>
        <v>0</v>
      </c>
    </row>
    <row r="95" spans="1:44" x14ac:dyDescent="0.25">
      <c r="A95" s="14">
        <v>43830</v>
      </c>
      <c r="B95">
        <v>108.30435827001334</v>
      </c>
      <c r="C95">
        <v>111.43137794905333</v>
      </c>
      <c r="D95">
        <v>103.65087563153101</v>
      </c>
      <c r="E95">
        <v>106.92037383554499</v>
      </c>
      <c r="F95">
        <v>103.70219769545167</v>
      </c>
      <c r="G95">
        <v>101.56593504136465</v>
      </c>
      <c r="H95">
        <v>126.31113155636866</v>
      </c>
      <c r="I95">
        <v>112.10913678380966</v>
      </c>
      <c r="J95">
        <v>108.323574868143</v>
      </c>
      <c r="K95">
        <v>0.82504169474928601</v>
      </c>
      <c r="L95">
        <v>79.403969696969696</v>
      </c>
      <c r="M95" s="15">
        <f>+'[3]VAR expectations'!C119</f>
        <v>2.4293341619440096</v>
      </c>
      <c r="N95">
        <v>-0.11693353700046701</v>
      </c>
      <c r="O95">
        <v>-0.19324283466898201</v>
      </c>
      <c r="P95">
        <v>318</v>
      </c>
      <c r="Q95">
        <v>61</v>
      </c>
      <c r="R95">
        <v>481</v>
      </c>
      <c r="S95">
        <v>100</v>
      </c>
      <c r="T95">
        <v>19</v>
      </c>
      <c r="U95">
        <v>21</v>
      </c>
      <c r="V95">
        <f t="shared" si="23"/>
        <v>140</v>
      </c>
      <c r="X95">
        <f t="shared" si="24"/>
        <v>0.11368761232900226</v>
      </c>
      <c r="Y95">
        <f t="shared" si="42"/>
        <v>0.54951356873799284</v>
      </c>
      <c r="Z95">
        <f t="shared" si="43"/>
        <v>0.16343530774469173</v>
      </c>
      <c r="AA95">
        <f t="shared" si="44"/>
        <v>0.22528213704465827</v>
      </c>
      <c r="AB95">
        <f t="shared" si="25"/>
        <v>7.7940886654005226E-2</v>
      </c>
      <c r="AC95">
        <f t="shared" si="26"/>
        <v>0.64161202211099067</v>
      </c>
      <c r="AD95">
        <f t="shared" si="27"/>
        <v>6.2007665334334661E-2</v>
      </c>
      <c r="AE95">
        <f t="shared" si="28"/>
        <v>-2.7661605465373356</v>
      </c>
      <c r="AF95">
        <f t="shared" si="29"/>
        <v>0.12156039819299735</v>
      </c>
      <c r="AG95">
        <f t="shared" si="30"/>
        <v>-1.9322205257092939E-2</v>
      </c>
      <c r="AH95">
        <f t="shared" si="31"/>
        <v>3.6082227272726897</v>
      </c>
      <c r="AI95">
        <f t="shared" si="32"/>
        <v>-0.54884042232307184</v>
      </c>
      <c r="AJ95">
        <f t="shared" si="33"/>
        <v>-0.29155516735938303</v>
      </c>
      <c r="AK95">
        <f t="shared" si="34"/>
        <v>-0.18503120024218475</v>
      </c>
      <c r="AL95">
        <f t="shared" si="35"/>
        <v>0</v>
      </c>
      <c r="AM95">
        <f t="shared" si="36"/>
        <v>0</v>
      </c>
      <c r="AN95">
        <f t="shared" si="37"/>
        <v>0</v>
      </c>
      <c r="AO95">
        <f t="shared" si="38"/>
        <v>0</v>
      </c>
      <c r="AP95">
        <f t="shared" si="39"/>
        <v>0</v>
      </c>
      <c r="AQ95">
        <f t="shared" si="40"/>
        <v>0</v>
      </c>
      <c r="AR95">
        <f t="shared" si="41"/>
        <v>0</v>
      </c>
    </row>
    <row r="96" spans="1:44" x14ac:dyDescent="0.25">
      <c r="A96" s="14">
        <v>43921</v>
      </c>
      <c r="B96">
        <v>108.90634649909633</v>
      </c>
      <c r="C96">
        <v>112.20774949701099</v>
      </c>
      <c r="D96">
        <v>103.98833715920932</v>
      </c>
      <c r="E96">
        <v>107.27607337307568</v>
      </c>
      <c r="F96">
        <v>104.05376184878433</v>
      </c>
      <c r="G96">
        <v>101.86987851832366</v>
      </c>
      <c r="H96">
        <v>126.67811277124234</v>
      </c>
      <c r="I96">
        <v>112.88803408675399</v>
      </c>
      <c r="J96">
        <v>108.769487200033</v>
      </c>
      <c r="K96">
        <v>0.81896626934969596</v>
      </c>
      <c r="L96">
        <v>79.231538461538506</v>
      </c>
      <c r="M96" s="15">
        <f>+'[3]VAR expectations'!C120</f>
        <v>2.5776958521780435</v>
      </c>
      <c r="N96">
        <v>0.18927622328845001</v>
      </c>
      <c r="O96">
        <v>-5.2128643277585103E-2</v>
      </c>
      <c r="P96">
        <v>308.33333333333331</v>
      </c>
      <c r="Q96">
        <v>63.666666666666664</v>
      </c>
      <c r="R96">
        <v>489.33333333333331</v>
      </c>
      <c r="S96">
        <v>99</v>
      </c>
      <c r="T96">
        <v>19.666666666666668</v>
      </c>
      <c r="U96">
        <v>20</v>
      </c>
      <c r="V96">
        <f t="shared" si="23"/>
        <v>138.66666666666669</v>
      </c>
      <c r="X96">
        <f t="shared" si="24"/>
        <v>0.60198822908299121</v>
      </c>
      <c r="Y96">
        <f t="shared" si="42"/>
        <v>0.77637154795766605</v>
      </c>
      <c r="Z96">
        <f t="shared" si="43"/>
        <v>0.33746152767831461</v>
      </c>
      <c r="AA96">
        <f t="shared" si="44"/>
        <v>0.35569953753068262</v>
      </c>
      <c r="AB96">
        <f t="shared" si="25"/>
        <v>0.35156415333266011</v>
      </c>
      <c r="AC96">
        <f t="shared" si="26"/>
        <v>0.30394347695900592</v>
      </c>
      <c r="AD96">
        <f t="shared" si="27"/>
        <v>0.3669812148736753</v>
      </c>
      <c r="AE96">
        <f t="shared" si="28"/>
        <v>0.77889730294432979</v>
      </c>
      <c r="AF96">
        <f t="shared" si="29"/>
        <v>0.44591233188999979</v>
      </c>
      <c r="AG96">
        <f t="shared" si="30"/>
        <v>-6.0754253995900509E-3</v>
      </c>
      <c r="AH96">
        <f t="shared" si="31"/>
        <v>-0.17243123543119054</v>
      </c>
      <c r="AI96">
        <f t="shared" si="32"/>
        <v>7.437618662049772E-2</v>
      </c>
      <c r="AJ96">
        <f t="shared" si="33"/>
        <v>0.306209760288917</v>
      </c>
      <c r="AK96">
        <f t="shared" si="34"/>
        <v>0.14111419139139691</v>
      </c>
      <c r="AL96">
        <f t="shared" si="35"/>
        <v>-9.6666666666666856</v>
      </c>
      <c r="AM96">
        <f t="shared" si="36"/>
        <v>2.6666666666666643</v>
      </c>
      <c r="AN96">
        <f t="shared" si="37"/>
        <v>8.3333333333333144</v>
      </c>
      <c r="AO96">
        <f t="shared" si="38"/>
        <v>-1</v>
      </c>
      <c r="AP96">
        <f t="shared" si="39"/>
        <v>0.66666666666666785</v>
      </c>
      <c r="AQ96">
        <f t="shared" si="40"/>
        <v>-1</v>
      </c>
      <c r="AR96">
        <f t="shared" si="41"/>
        <v>-1.3333333333333144</v>
      </c>
    </row>
    <row r="97" spans="1:44" x14ac:dyDescent="0.25">
      <c r="A97" s="14">
        <v>44012</v>
      </c>
      <c r="B97">
        <v>108.303362615308</v>
      </c>
      <c r="C97">
        <v>112.324651874241</v>
      </c>
      <c r="D97">
        <v>103.80857337539202</v>
      </c>
      <c r="E97">
        <v>107.74754140122501</v>
      </c>
      <c r="F97">
        <v>104.34346429090067</v>
      </c>
      <c r="G97">
        <v>102.44296494218133</v>
      </c>
      <c r="H97">
        <v>128.61565162153101</v>
      </c>
      <c r="I97">
        <v>102.54472067931165</v>
      </c>
      <c r="J97">
        <v>108.439368781261</v>
      </c>
      <c r="K97">
        <v>0.80862292439016603</v>
      </c>
      <c r="L97">
        <v>77.416984615384607</v>
      </c>
      <c r="M97" s="15">
        <f>+'[3]VAR expectations'!C121</f>
        <v>2.5814129404766706</v>
      </c>
      <c r="N97">
        <v>-0.70211571573449605</v>
      </c>
      <c r="O97">
        <v>-0.45655752598020999</v>
      </c>
      <c r="P97">
        <v>307</v>
      </c>
      <c r="Q97">
        <v>64</v>
      </c>
      <c r="R97">
        <v>490</v>
      </c>
      <c r="S97">
        <v>99</v>
      </c>
      <c r="T97">
        <v>20</v>
      </c>
      <c r="U97">
        <v>20</v>
      </c>
      <c r="V97">
        <f t="shared" si="23"/>
        <v>139</v>
      </c>
      <c r="X97">
        <f t="shared" si="24"/>
        <v>-0.60298388378832612</v>
      </c>
      <c r="Y97">
        <f t="shared" si="42"/>
        <v>0.11690237723000507</v>
      </c>
      <c r="Z97">
        <f t="shared" si="43"/>
        <v>-0.1797637838173074</v>
      </c>
      <c r="AA97">
        <f t="shared" si="44"/>
        <v>0.47146802814933153</v>
      </c>
      <c r="AB97">
        <f t="shared" si="25"/>
        <v>0.28970244211633656</v>
      </c>
      <c r="AC97">
        <f t="shared" si="26"/>
        <v>0.57308642385767428</v>
      </c>
      <c r="AD97">
        <f t="shared" si="27"/>
        <v>1.937538850288675</v>
      </c>
      <c r="AE97">
        <f t="shared" si="28"/>
        <v>-10.343313407442338</v>
      </c>
      <c r="AF97">
        <f t="shared" si="29"/>
        <v>-0.33011841877200254</v>
      </c>
      <c r="AG97">
        <f t="shared" si="30"/>
        <v>-1.0343344959529932E-2</v>
      </c>
      <c r="AH97">
        <f t="shared" si="31"/>
        <v>-1.814553846153899</v>
      </c>
      <c r="AI97">
        <f t="shared" si="32"/>
        <v>-9.3944018985157918E-2</v>
      </c>
      <c r="AJ97">
        <f t="shared" si="33"/>
        <v>-0.89139193902294611</v>
      </c>
      <c r="AK97">
        <f t="shared" si="34"/>
        <v>-0.40442888270262489</v>
      </c>
      <c r="AL97">
        <f t="shared" si="35"/>
        <v>-1.3333333333333144</v>
      </c>
      <c r="AM97">
        <f t="shared" si="36"/>
        <v>0.3333333333333357</v>
      </c>
      <c r="AN97">
        <f t="shared" si="37"/>
        <v>0.66666666666668561</v>
      </c>
      <c r="AO97">
        <f t="shared" si="38"/>
        <v>0</v>
      </c>
      <c r="AP97">
        <f t="shared" si="39"/>
        <v>0.33333333333333215</v>
      </c>
      <c r="AQ97">
        <f t="shared" si="40"/>
        <v>0</v>
      </c>
      <c r="AR97">
        <f t="shared" si="41"/>
        <v>0.33333333333331439</v>
      </c>
    </row>
    <row r="98" spans="1:44" x14ac:dyDescent="0.25">
      <c r="A98" s="14">
        <v>44104</v>
      </c>
      <c r="B98">
        <v>108.84607786104732</v>
      </c>
      <c r="C98">
        <v>112.44563472779366</v>
      </c>
      <c r="D98">
        <v>104.624947573298</v>
      </c>
      <c r="E98">
        <v>107.63909292525334</v>
      </c>
      <c r="F98">
        <v>103.96241815718167</v>
      </c>
      <c r="G98">
        <v>101.79012873180933</v>
      </c>
      <c r="H98">
        <v>130.62274333271469</v>
      </c>
      <c r="I98">
        <v>104.98447309946266</v>
      </c>
      <c r="J98">
        <v>108.829736313296</v>
      </c>
      <c r="K98">
        <v>0.810392277477061</v>
      </c>
      <c r="L98">
        <v>77.450487878787897</v>
      </c>
      <c r="M98" s="15">
        <f>+'[3]VAR expectations'!C122</f>
        <v>2.5453003999512136</v>
      </c>
      <c r="N98">
        <v>-0.57563884899936701</v>
      </c>
      <c r="O98">
        <v>0.118900887754049</v>
      </c>
      <c r="P98">
        <v>307</v>
      </c>
      <c r="Q98">
        <v>64</v>
      </c>
      <c r="R98">
        <v>490</v>
      </c>
      <c r="S98">
        <v>99</v>
      </c>
      <c r="T98">
        <v>20</v>
      </c>
      <c r="U98">
        <v>20</v>
      </c>
      <c r="V98">
        <f t="shared" si="23"/>
        <v>139</v>
      </c>
      <c r="X98">
        <f t="shared" si="24"/>
        <v>0.54271524573931629</v>
      </c>
      <c r="Y98">
        <f t="shared" si="42"/>
        <v>0.12098285355266114</v>
      </c>
      <c r="Z98">
        <f t="shared" si="43"/>
        <v>0.81637419790598642</v>
      </c>
      <c r="AA98">
        <f t="shared" si="44"/>
        <v>-0.10844847597167018</v>
      </c>
      <c r="AB98">
        <f t="shared" si="25"/>
        <v>-0.38104613371899632</v>
      </c>
      <c r="AC98">
        <f t="shared" si="26"/>
        <v>-0.65283621037200135</v>
      </c>
      <c r="AD98">
        <f t="shared" si="27"/>
        <v>2.0070917111836764</v>
      </c>
      <c r="AE98">
        <f>I98-I236</f>
        <v>2.4397524201510095</v>
      </c>
      <c r="AF98">
        <f t="shared" si="29"/>
        <v>0.39036753203500041</v>
      </c>
      <c r="AG98">
        <f t="shared" si="30"/>
        <v>1.7693530868949647E-3</v>
      </c>
      <c r="AH98">
        <f t="shared" si="31"/>
        <v>3.3503263403289907E-2</v>
      </c>
      <c r="AI98">
        <f t="shared" si="32"/>
        <v>-0.53336466227789225</v>
      </c>
      <c r="AJ98">
        <f t="shared" si="33"/>
        <v>0.12647686673512903</v>
      </c>
      <c r="AK98">
        <f t="shared" si="34"/>
        <v>0.57545841373425899</v>
      </c>
      <c r="AL98">
        <f t="shared" si="35"/>
        <v>0</v>
      </c>
      <c r="AM98">
        <f t="shared" si="36"/>
        <v>0</v>
      </c>
      <c r="AN98">
        <f t="shared" si="37"/>
        <v>0</v>
      </c>
      <c r="AO98">
        <f t="shared" si="38"/>
        <v>0</v>
      </c>
      <c r="AP98">
        <f t="shared" si="39"/>
        <v>0</v>
      </c>
      <c r="AQ98">
        <f t="shared" si="40"/>
        <v>0</v>
      </c>
      <c r="AR98">
        <f t="shared" si="41"/>
        <v>0</v>
      </c>
    </row>
    <row r="99" spans="1:44" x14ac:dyDescent="0.25">
      <c r="A99" s="14">
        <v>44196</v>
      </c>
      <c r="B99">
        <v>108.88690430044467</v>
      </c>
      <c r="C99">
        <v>113.02038140705299</v>
      </c>
      <c r="D99">
        <v>104.88812615868066</v>
      </c>
      <c r="E99">
        <v>107.30487809386567</v>
      </c>
      <c r="F99">
        <v>103.19449116217601</v>
      </c>
      <c r="G99">
        <v>101.93470330339267</v>
      </c>
      <c r="H99">
        <v>131.91327139222167</v>
      </c>
      <c r="I99">
        <v>102.07040266952434</v>
      </c>
      <c r="J99">
        <v>108.888599619003</v>
      </c>
      <c r="K99">
        <v>0.82076763633163197</v>
      </c>
      <c r="L99">
        <v>77.959993939393897</v>
      </c>
      <c r="M99" s="15">
        <f>+'[3]VAR expectations'!C123</f>
        <v>2.7170212072523583</v>
      </c>
      <c r="N99">
        <v>-0.57586475394540204</v>
      </c>
      <c r="O99">
        <v>-0.193774322000975</v>
      </c>
      <c r="P99">
        <v>307</v>
      </c>
      <c r="Q99">
        <v>64</v>
      </c>
      <c r="R99">
        <v>490</v>
      </c>
      <c r="S99">
        <v>99</v>
      </c>
      <c r="T99">
        <v>20</v>
      </c>
      <c r="U99">
        <v>20</v>
      </c>
      <c r="V99">
        <f t="shared" si="23"/>
        <v>139</v>
      </c>
      <c r="X99">
        <f t="shared" si="24"/>
        <v>4.0826439397349645E-2</v>
      </c>
      <c r="Y99">
        <f t="shared" si="42"/>
        <v>0.57474667925933431</v>
      </c>
      <c r="Z99">
        <f t="shared" si="43"/>
        <v>0.26317858538266137</v>
      </c>
      <c r="AA99">
        <f t="shared" si="44"/>
        <v>-0.33421483138766916</v>
      </c>
      <c r="AB99">
        <f t="shared" si="25"/>
        <v>-0.76792699500566641</v>
      </c>
      <c r="AC99">
        <f t="shared" si="26"/>
        <v>0.14457457158333398</v>
      </c>
      <c r="AD99">
        <f t="shared" si="27"/>
        <v>1.2905280595069826</v>
      </c>
      <c r="AE99">
        <f t="shared" si="28"/>
        <v>-2.9140704299383202</v>
      </c>
      <c r="AF99">
        <f t="shared" si="29"/>
        <v>5.886330570700693E-2</v>
      </c>
      <c r="AG99">
        <f t="shared" si="30"/>
        <v>1.0375358854570971E-2</v>
      </c>
      <c r="AH99">
        <f t="shared" si="31"/>
        <v>0.50950606060600023</v>
      </c>
      <c r="AI99">
        <f t="shared" si="32"/>
        <v>-0.41492229172658979</v>
      </c>
      <c r="AJ99">
        <f t="shared" si="33"/>
        <v>-2.2590494603502709E-4</v>
      </c>
      <c r="AK99">
        <f t="shared" si="34"/>
        <v>-0.312675209755024</v>
      </c>
      <c r="AL99">
        <f t="shared" si="35"/>
        <v>0</v>
      </c>
      <c r="AM99">
        <f t="shared" si="36"/>
        <v>0</v>
      </c>
      <c r="AN99">
        <f t="shared" si="37"/>
        <v>0</v>
      </c>
      <c r="AO99">
        <f t="shared" si="38"/>
        <v>0</v>
      </c>
      <c r="AP99">
        <f t="shared" si="39"/>
        <v>0</v>
      </c>
      <c r="AQ99">
        <f t="shared" si="40"/>
        <v>0</v>
      </c>
      <c r="AR99">
        <f t="shared" si="41"/>
        <v>0</v>
      </c>
    </row>
    <row r="100" spans="1:44" x14ac:dyDescent="0.25">
      <c r="A100" s="14">
        <v>44286</v>
      </c>
      <c r="B100">
        <v>109.62443116872799</v>
      </c>
      <c r="C100">
        <v>114.02558918908967</v>
      </c>
      <c r="D100">
        <v>104.74841692999367</v>
      </c>
      <c r="E100">
        <v>107.48109772562434</v>
      </c>
      <c r="F100">
        <v>103.17080170780234</v>
      </c>
      <c r="G100">
        <v>102.19877984144865</v>
      </c>
      <c r="H100">
        <v>133.15248097733135</v>
      </c>
      <c r="I100">
        <v>106.37111543444666</v>
      </c>
      <c r="J100">
        <v>109.501363734799</v>
      </c>
      <c r="K100">
        <v>0.81629886389552497</v>
      </c>
      <c r="L100">
        <v>80.480732812499994</v>
      </c>
      <c r="M100" s="15">
        <f>+'[3]VAR expectations'!C124</f>
        <v>2.4396786818528224</v>
      </c>
      <c r="N100">
        <v>-0.348601630197937</v>
      </c>
      <c r="O100">
        <v>0.17080172065947599</v>
      </c>
      <c r="P100">
        <v>348.33333333333331</v>
      </c>
      <c r="Q100">
        <v>59.666666666666664</v>
      </c>
      <c r="R100">
        <v>433.33333333333331</v>
      </c>
      <c r="S100">
        <v>114</v>
      </c>
      <c r="T100">
        <v>22.666666666666668</v>
      </c>
      <c r="U100">
        <v>22</v>
      </c>
      <c r="V100">
        <f t="shared" si="23"/>
        <v>158.66666666666666</v>
      </c>
      <c r="X100">
        <f t="shared" si="24"/>
        <v>0.73752686828332514</v>
      </c>
      <c r="Y100">
        <f t="shared" si="42"/>
        <v>1.0052077820366776</v>
      </c>
      <c r="Z100">
        <f t="shared" si="43"/>
        <v>-0.13970922868699631</v>
      </c>
      <c r="AA100">
        <f t="shared" si="44"/>
        <v>0.17621963175866995</v>
      </c>
      <c r="AB100">
        <f t="shared" si="25"/>
        <v>-2.3689454373666763E-2</v>
      </c>
      <c r="AC100">
        <f t="shared" si="26"/>
        <v>0.26407653805598841</v>
      </c>
      <c r="AD100">
        <f t="shared" si="27"/>
        <v>1.2392095851096769</v>
      </c>
      <c r="AE100">
        <f t="shared" si="28"/>
        <v>4.3007127649223236</v>
      </c>
      <c r="AF100">
        <f t="shared" si="29"/>
        <v>0.6127641157959971</v>
      </c>
      <c r="AG100">
        <f t="shared" si="30"/>
        <v>-4.4687724361069936E-3</v>
      </c>
      <c r="AH100">
        <f t="shared" si="31"/>
        <v>2.5207388731060973</v>
      </c>
      <c r="AI100">
        <f t="shared" si="32"/>
        <v>-0.97487909903006731</v>
      </c>
      <c r="AJ100">
        <f t="shared" si="33"/>
        <v>0.22726312374746505</v>
      </c>
      <c r="AK100">
        <f t="shared" si="34"/>
        <v>0.36457604266045096</v>
      </c>
      <c r="AL100">
        <f t="shared" si="35"/>
        <v>41.333333333333314</v>
      </c>
      <c r="AM100">
        <f t="shared" si="36"/>
        <v>-4.3333333333333357</v>
      </c>
      <c r="AN100">
        <f t="shared" si="37"/>
        <v>-56.666666666666686</v>
      </c>
      <c r="AO100">
        <f t="shared" si="38"/>
        <v>15</v>
      </c>
      <c r="AP100">
        <f t="shared" si="39"/>
        <v>2.6666666666666679</v>
      </c>
      <c r="AQ100">
        <f t="shared" si="40"/>
        <v>2</v>
      </c>
      <c r="AR100">
        <f t="shared" si="41"/>
        <v>19.666666666666657</v>
      </c>
    </row>
    <row r="101" spans="1:44" x14ac:dyDescent="0.25">
      <c r="A101" s="14">
        <v>44377</v>
      </c>
      <c r="B101">
        <v>110.44978593428367</v>
      </c>
      <c r="C101">
        <v>114.37272770811234</v>
      </c>
      <c r="D101">
        <v>105.85979112598267</v>
      </c>
      <c r="E101">
        <v>107.77476832443467</v>
      </c>
      <c r="F101">
        <v>103.53597468448567</v>
      </c>
      <c r="G101">
        <v>103.32417392394166</v>
      </c>
      <c r="H101">
        <v>132.45914330683036</v>
      </c>
      <c r="I101">
        <v>111.47824915505699</v>
      </c>
      <c r="J101">
        <v>110.613080184569</v>
      </c>
      <c r="K101">
        <v>0.82433035561079504</v>
      </c>
      <c r="L101">
        <v>81.787815384615399</v>
      </c>
      <c r="M101" s="15">
        <f>+'[3]VAR expectations'!C125</f>
        <v>2.4860103785103598</v>
      </c>
      <c r="N101">
        <v>0.54964160198908096</v>
      </c>
      <c r="O101">
        <v>0.45347528115059499</v>
      </c>
      <c r="P101">
        <v>347</v>
      </c>
      <c r="Q101">
        <v>60</v>
      </c>
      <c r="R101">
        <v>434</v>
      </c>
      <c r="S101">
        <v>114</v>
      </c>
      <c r="T101">
        <v>23</v>
      </c>
      <c r="U101">
        <v>22</v>
      </c>
      <c r="V101">
        <f t="shared" si="23"/>
        <v>159</v>
      </c>
      <c r="X101">
        <f t="shared" si="24"/>
        <v>0.825354765555673</v>
      </c>
      <c r="Y101">
        <f t="shared" si="42"/>
        <v>0.34713851902266413</v>
      </c>
      <c r="Z101">
        <f t="shared" si="43"/>
        <v>1.1113741959890007</v>
      </c>
      <c r="AA101">
        <f t="shared" si="44"/>
        <v>0.29367059881033697</v>
      </c>
      <c r="AB101">
        <f t="shared" si="25"/>
        <v>0.3651729766833256</v>
      </c>
      <c r="AC101">
        <f t="shared" si="26"/>
        <v>1.1253940824930027</v>
      </c>
      <c r="AD101">
        <f t="shared" si="27"/>
        <v>-0.69333767050099482</v>
      </c>
      <c r="AE101">
        <f t="shared" si="28"/>
        <v>5.1071337206103209</v>
      </c>
      <c r="AF101">
        <f t="shared" si="29"/>
        <v>1.1117164497700003</v>
      </c>
      <c r="AG101">
        <f t="shared" si="30"/>
        <v>8.0314917152700671E-3</v>
      </c>
      <c r="AH101">
        <f t="shared" si="31"/>
        <v>1.3070825721154051</v>
      </c>
      <c r="AI101">
        <f t="shared" si="32"/>
        <v>-0.49617035802024745</v>
      </c>
      <c r="AJ101">
        <f t="shared" si="33"/>
        <v>0.89824323218701796</v>
      </c>
      <c r="AK101">
        <f t="shared" si="34"/>
        <v>0.28267356049111902</v>
      </c>
      <c r="AL101">
        <f t="shared" si="35"/>
        <v>-1.3333333333333144</v>
      </c>
      <c r="AM101">
        <f t="shared" si="36"/>
        <v>0.3333333333333357</v>
      </c>
      <c r="AN101">
        <f t="shared" si="37"/>
        <v>0.66666666666668561</v>
      </c>
      <c r="AO101">
        <f t="shared" si="38"/>
        <v>0</v>
      </c>
      <c r="AP101">
        <f t="shared" si="39"/>
        <v>0.33333333333333215</v>
      </c>
      <c r="AQ101">
        <f t="shared" si="40"/>
        <v>0</v>
      </c>
      <c r="AR101">
        <f t="shared" si="41"/>
        <v>0.33333333333334281</v>
      </c>
    </row>
    <row r="102" spans="1:44" x14ac:dyDescent="0.25">
      <c r="A102" s="14">
        <v>44469</v>
      </c>
      <c r="B102">
        <v>111.87199334694968</v>
      </c>
      <c r="C102">
        <v>115.143371709628</v>
      </c>
      <c r="D102">
        <v>107.74891577984067</v>
      </c>
      <c r="E102">
        <v>108.42010374180366</v>
      </c>
      <c r="F102">
        <v>104.09365584180433</v>
      </c>
      <c r="G102">
        <v>103.39592544728633</v>
      </c>
      <c r="H102">
        <v>134.15344996532698</v>
      </c>
      <c r="I102">
        <v>115.32827381164232</v>
      </c>
      <c r="J102">
        <v>111.822515807565</v>
      </c>
      <c r="K102">
        <v>0.83992954942113196</v>
      </c>
      <c r="L102">
        <v>81.774842424242394</v>
      </c>
      <c r="M102" s="15">
        <f>+'[3]VAR expectations'!C126</f>
        <v>2.6759360893479318</v>
      </c>
      <c r="N102">
        <v>0.580538015574526</v>
      </c>
      <c r="O102">
        <v>0.14217114750364401</v>
      </c>
      <c r="P102">
        <v>347</v>
      </c>
      <c r="Q102">
        <v>60</v>
      </c>
      <c r="R102">
        <v>434</v>
      </c>
      <c r="S102">
        <v>114</v>
      </c>
      <c r="T102">
        <v>23</v>
      </c>
      <c r="U102">
        <v>22</v>
      </c>
      <c r="V102">
        <f t="shared" si="23"/>
        <v>159</v>
      </c>
      <c r="X102">
        <f t="shared" si="24"/>
        <v>1.4222074126660118</v>
      </c>
      <c r="Y102">
        <f t="shared" si="42"/>
        <v>0.77064400151566304</v>
      </c>
      <c r="Z102">
        <f t="shared" si="43"/>
        <v>1.8891246538580049</v>
      </c>
      <c r="AA102">
        <f t="shared" si="44"/>
        <v>0.64533541736898314</v>
      </c>
      <c r="AB102">
        <f t="shared" si="25"/>
        <v>0.55768115731866885</v>
      </c>
      <c r="AC102">
        <f t="shared" si="26"/>
        <v>7.1751523344673274E-2</v>
      </c>
      <c r="AD102">
        <f t="shared" si="27"/>
        <v>1.6943066584966289</v>
      </c>
      <c r="AE102">
        <f t="shared" si="28"/>
        <v>3.8500246565853331</v>
      </c>
      <c r="AF102">
        <f t="shared" si="29"/>
        <v>1.2094356229959971</v>
      </c>
      <c r="AG102">
        <f t="shared" si="30"/>
        <v>1.559919381033692E-2</v>
      </c>
      <c r="AH102">
        <f t="shared" si="31"/>
        <v>-1.2972960373005549E-2</v>
      </c>
      <c r="AI102">
        <f t="shared" si="32"/>
        <v>-8.946160157753269E-2</v>
      </c>
      <c r="AJ102">
        <f t="shared" si="33"/>
        <v>3.0896413585445037E-2</v>
      </c>
      <c r="AK102">
        <f t="shared" si="34"/>
        <v>-0.31130413364695098</v>
      </c>
      <c r="AL102">
        <f t="shared" si="35"/>
        <v>0</v>
      </c>
      <c r="AM102">
        <f t="shared" si="36"/>
        <v>0</v>
      </c>
      <c r="AN102">
        <f t="shared" si="37"/>
        <v>0</v>
      </c>
      <c r="AO102">
        <f t="shared" si="38"/>
        <v>0</v>
      </c>
      <c r="AP102">
        <f t="shared" si="39"/>
        <v>0</v>
      </c>
      <c r="AQ102">
        <f t="shared" si="40"/>
        <v>0</v>
      </c>
      <c r="AR102">
        <f t="shared" si="41"/>
        <v>0</v>
      </c>
    </row>
    <row r="103" spans="1:44" x14ac:dyDescent="0.25">
      <c r="A103" s="14">
        <v>44561</v>
      </c>
      <c r="B103">
        <v>114.25306744932533</v>
      </c>
      <c r="C103">
        <v>116.76302625711266</v>
      </c>
      <c r="D103">
        <v>109.67549652028868</v>
      </c>
      <c r="E103">
        <v>110.39334148594567</v>
      </c>
      <c r="F103">
        <v>105.91460997218799</v>
      </c>
      <c r="G103">
        <v>104.10666918788034</v>
      </c>
      <c r="H103">
        <v>138.27029888760299</v>
      </c>
      <c r="I103">
        <v>126.88976627866468</v>
      </c>
      <c r="J103">
        <v>114.237890257296</v>
      </c>
      <c r="K103">
        <v>0.89390208248498604</v>
      </c>
      <c r="L103">
        <v>81.611703030303005</v>
      </c>
      <c r="M103" s="15">
        <f>+'[3]VAR expectations'!C127</f>
        <v>2.7140589507350836</v>
      </c>
      <c r="N103">
        <v>1.4272711973059899</v>
      </c>
      <c r="O103">
        <v>0.63228111747361804</v>
      </c>
      <c r="P103">
        <v>347</v>
      </c>
      <c r="Q103">
        <v>60</v>
      </c>
      <c r="R103">
        <v>434</v>
      </c>
      <c r="S103">
        <v>114</v>
      </c>
      <c r="T103">
        <v>23</v>
      </c>
      <c r="U103">
        <v>22</v>
      </c>
      <c r="V103">
        <f t="shared" si="23"/>
        <v>159</v>
      </c>
      <c r="X103">
        <f t="shared" si="24"/>
        <v>2.3810741023756492</v>
      </c>
      <c r="Y103">
        <f t="shared" si="42"/>
        <v>1.6196545474846573</v>
      </c>
      <c r="Z103">
        <f t="shared" si="43"/>
        <v>1.9265807404480029</v>
      </c>
      <c r="AA103">
        <f t="shared" si="44"/>
        <v>1.9732377441420113</v>
      </c>
      <c r="AB103">
        <f t="shared" si="25"/>
        <v>1.8209541303836545</v>
      </c>
      <c r="AC103">
        <f t="shared" si="26"/>
        <v>0.7107437405940118</v>
      </c>
      <c r="AD103">
        <f t="shared" si="27"/>
        <v>4.1168489222760059</v>
      </c>
      <c r="AE103">
        <f t="shared" si="28"/>
        <v>11.561492467022362</v>
      </c>
      <c r="AF103">
        <f t="shared" si="29"/>
        <v>2.4153744497310043</v>
      </c>
      <c r="AG103">
        <f t="shared" si="30"/>
        <v>5.3972533063854078E-2</v>
      </c>
      <c r="AH103">
        <f t="shared" si="31"/>
        <v>-0.16313939393938881</v>
      </c>
      <c r="AI103">
        <f t="shared" si="32"/>
        <v>-0.71898098699315716</v>
      </c>
      <c r="AJ103">
        <f t="shared" si="33"/>
        <v>0.84673318173146395</v>
      </c>
      <c r="AK103">
        <f t="shared" si="34"/>
        <v>0.49010996996997402</v>
      </c>
      <c r="AL103">
        <f t="shared" si="35"/>
        <v>0</v>
      </c>
      <c r="AM103">
        <f t="shared" si="36"/>
        <v>0</v>
      </c>
      <c r="AN103">
        <f t="shared" si="37"/>
        <v>0</v>
      </c>
      <c r="AO103">
        <f t="shared" si="38"/>
        <v>0</v>
      </c>
      <c r="AP103">
        <f t="shared" si="39"/>
        <v>0</v>
      </c>
      <c r="AQ103">
        <f t="shared" si="40"/>
        <v>0</v>
      </c>
      <c r="AR103">
        <f t="shared" si="41"/>
        <v>0</v>
      </c>
    </row>
    <row r="104" spans="1:44" x14ac:dyDescent="0.25">
      <c r="A104" s="14">
        <v>44651</v>
      </c>
      <c r="B104">
        <v>116.49437909453967</v>
      </c>
      <c r="C104">
        <v>118.19773272860134</v>
      </c>
      <c r="D104">
        <v>112.12398274956865</v>
      </c>
      <c r="E104">
        <v>112.63036972856032</v>
      </c>
      <c r="F104">
        <v>108.48169373394467</v>
      </c>
      <c r="G104">
        <v>104.05011901519934</v>
      </c>
      <c r="H104">
        <v>141.15794942272467</v>
      </c>
      <c r="I104">
        <v>132.05596111427903</v>
      </c>
      <c r="J104">
        <v>116.398638086178</v>
      </c>
      <c r="K104">
        <v>0.92184313282267805</v>
      </c>
      <c r="L104">
        <v>82.334651562499999</v>
      </c>
      <c r="M104" s="15">
        <f>+'[3]VAR expectations'!C128</f>
        <v>2.7331364493732195</v>
      </c>
      <c r="N104">
        <v>1.47498838130139</v>
      </c>
      <c r="O104">
        <v>0.224820323383816</v>
      </c>
      <c r="P104">
        <v>331.33333333333331</v>
      </c>
      <c r="Q104">
        <v>67</v>
      </c>
      <c r="R104">
        <v>436.66666666666669</v>
      </c>
      <c r="S104">
        <v>115.66666666666667</v>
      </c>
      <c r="T104">
        <v>26.333333333333332</v>
      </c>
      <c r="U104">
        <v>23</v>
      </c>
      <c r="V104">
        <f t="shared" si="23"/>
        <v>165</v>
      </c>
      <c r="X104">
        <f t="shared" si="24"/>
        <v>2.2413116452143385</v>
      </c>
      <c r="Y104">
        <f t="shared" si="42"/>
        <v>1.4347064714886812</v>
      </c>
      <c r="Z104">
        <f t="shared" si="43"/>
        <v>2.4484862292799789</v>
      </c>
      <c r="AA104">
        <f t="shared" si="44"/>
        <v>2.2370282426146559</v>
      </c>
      <c r="AB104">
        <f t="shared" si="25"/>
        <v>2.5670837617566775</v>
      </c>
      <c r="AC104">
        <f t="shared" si="26"/>
        <v>-5.6550172680999822E-2</v>
      </c>
      <c r="AD104">
        <f t="shared" si="27"/>
        <v>2.8876505351216792</v>
      </c>
      <c r="AE104">
        <f t="shared" si="28"/>
        <v>5.1661948356143483</v>
      </c>
      <c r="AF104">
        <f t="shared" si="29"/>
        <v>2.1607478288819948</v>
      </c>
      <c r="AG104">
        <f t="shared" si="30"/>
        <v>2.7941050337692008E-2</v>
      </c>
      <c r="AH104">
        <f t="shared" si="31"/>
        <v>0.72294853219699462</v>
      </c>
      <c r="AI104">
        <f t="shared" si="32"/>
        <v>-2.4605416295539166</v>
      </c>
      <c r="AJ104">
        <f t="shared" si="33"/>
        <v>4.7717183995400037E-2</v>
      </c>
      <c r="AK104">
        <f t="shared" si="34"/>
        <v>-0.40746079408980207</v>
      </c>
      <c r="AL104">
        <f t="shared" si="35"/>
        <v>-15.666666666666686</v>
      </c>
      <c r="AM104">
        <f t="shared" si="36"/>
        <v>7</v>
      </c>
      <c r="AN104">
        <f t="shared" si="37"/>
        <v>2.6666666666666856</v>
      </c>
      <c r="AO104">
        <f t="shared" si="38"/>
        <v>1.6666666666666714</v>
      </c>
      <c r="AP104">
        <f t="shared" si="39"/>
        <v>3.3333333333333321</v>
      </c>
      <c r="AQ104">
        <f t="shared" si="40"/>
        <v>1</v>
      </c>
      <c r="AR104">
        <f t="shared" si="41"/>
        <v>6</v>
      </c>
    </row>
    <row r="105" spans="1:44" x14ac:dyDescent="0.25">
      <c r="A105" s="14">
        <v>44742</v>
      </c>
      <c r="B105">
        <v>120.48508528790366</v>
      </c>
      <c r="C105">
        <v>119.95711784402799</v>
      </c>
      <c r="D105">
        <v>113.43538883551601</v>
      </c>
      <c r="E105">
        <v>115.56914639817933</v>
      </c>
      <c r="F105">
        <v>112.15563187398099</v>
      </c>
      <c r="G105">
        <v>104.806103774509</v>
      </c>
      <c r="H105">
        <v>143.007143380673</v>
      </c>
      <c r="I105">
        <v>171.24752002418504</v>
      </c>
      <c r="J105">
        <v>120.676964265745</v>
      </c>
      <c r="K105">
        <v>0.98383656619553195</v>
      </c>
      <c r="L105">
        <v>80.184107692307705</v>
      </c>
      <c r="M105" s="15">
        <f>+'[3]VAR expectations'!C129</f>
        <v>2.6212425518623172</v>
      </c>
      <c r="N105">
        <v>3.3583088320854499</v>
      </c>
      <c r="O105">
        <v>2.2888186897604901</v>
      </c>
      <c r="P105">
        <v>330</v>
      </c>
      <c r="Q105">
        <v>67</v>
      </c>
      <c r="R105">
        <v>437</v>
      </c>
      <c r="S105">
        <v>116</v>
      </c>
      <c r="T105">
        <v>27</v>
      </c>
      <c r="U105">
        <v>23</v>
      </c>
      <c r="V105">
        <f t="shared" si="23"/>
        <v>166</v>
      </c>
      <c r="X105">
        <f t="shared" si="24"/>
        <v>3.9907061933639909</v>
      </c>
      <c r="Y105">
        <f t="shared" si="42"/>
        <v>1.7593851154266531</v>
      </c>
      <c r="Z105">
        <f t="shared" si="43"/>
        <v>1.311406085947354</v>
      </c>
      <c r="AA105">
        <f t="shared" si="44"/>
        <v>2.9387766696190027</v>
      </c>
      <c r="AB105">
        <f t="shared" si="25"/>
        <v>3.6739381400363271</v>
      </c>
      <c r="AC105">
        <f t="shared" si="26"/>
        <v>0.75598475930965492</v>
      </c>
      <c r="AD105">
        <f t="shared" si="27"/>
        <v>1.8491939579483301</v>
      </c>
      <c r="AE105">
        <f t="shared" si="28"/>
        <v>39.191558909906007</v>
      </c>
      <c r="AF105">
        <f t="shared" si="29"/>
        <v>4.2783261795670029</v>
      </c>
      <c r="AG105">
        <f t="shared" si="30"/>
        <v>6.1993433372853901E-2</v>
      </c>
      <c r="AH105">
        <f t="shared" si="31"/>
        <v>-2.1505438701922941</v>
      </c>
      <c r="AI105">
        <f t="shared" si="32"/>
        <v>-4.0520193579230082</v>
      </c>
      <c r="AJ105">
        <f t="shared" si="33"/>
        <v>1.88332045078406</v>
      </c>
      <c r="AK105">
        <f t="shared" si="34"/>
        <v>2.0639983663766741</v>
      </c>
      <c r="AL105">
        <f t="shared" si="35"/>
        <v>-1.3333333333333144</v>
      </c>
      <c r="AM105">
        <f t="shared" si="36"/>
        <v>0</v>
      </c>
      <c r="AN105">
        <f t="shared" si="37"/>
        <v>0.33333333333331439</v>
      </c>
      <c r="AO105">
        <f t="shared" si="38"/>
        <v>0.3333333333333286</v>
      </c>
      <c r="AP105">
        <f t="shared" si="39"/>
        <v>0.66666666666666785</v>
      </c>
      <c r="AQ105">
        <f t="shared" si="40"/>
        <v>0</v>
      </c>
      <c r="AR105">
        <f t="shared" si="41"/>
        <v>1</v>
      </c>
    </row>
    <row r="106" spans="1:44" x14ac:dyDescent="0.25">
      <c r="A106" s="14">
        <v>44834</v>
      </c>
      <c r="B106">
        <v>123.092655676498</v>
      </c>
      <c r="C106">
        <v>121.93038479780267</v>
      </c>
      <c r="D106">
        <v>114.97338346875132</v>
      </c>
      <c r="E106">
        <v>120.35673521909234</v>
      </c>
      <c r="F106">
        <v>118.01815436538732</v>
      </c>
      <c r="G106">
        <v>106.37793133113432</v>
      </c>
      <c r="H106">
        <v>145.19121688029801</v>
      </c>
      <c r="I106">
        <v>177.48507078919064</v>
      </c>
      <c r="J106">
        <v>122.995270577592</v>
      </c>
      <c r="K106">
        <v>1.0233011494340301</v>
      </c>
      <c r="L106">
        <v>78.172721212121203</v>
      </c>
      <c r="M106" s="15">
        <f>+'[3]VAR expectations'!C130</f>
        <v>2.9781745842670815</v>
      </c>
      <c r="N106">
        <v>3.3339333644410498</v>
      </c>
      <c r="O106">
        <v>0.13877735543773001</v>
      </c>
      <c r="P106">
        <v>330</v>
      </c>
      <c r="Q106">
        <v>67</v>
      </c>
      <c r="R106">
        <v>437</v>
      </c>
      <c r="S106">
        <v>116</v>
      </c>
      <c r="T106">
        <v>27</v>
      </c>
      <c r="U106">
        <v>23</v>
      </c>
      <c r="V106">
        <f t="shared" si="23"/>
        <v>166</v>
      </c>
      <c r="X106">
        <f t="shared" si="24"/>
        <v>2.6075703885943398</v>
      </c>
      <c r="Y106">
        <f t="shared" si="42"/>
        <v>1.973266953774683</v>
      </c>
      <c r="Z106">
        <f t="shared" si="43"/>
        <v>1.5379946332353143</v>
      </c>
      <c r="AA106">
        <f t="shared" si="44"/>
        <v>4.7875888209130153</v>
      </c>
      <c r="AB106">
        <f t="shared" si="25"/>
        <v>5.8625224914063239</v>
      </c>
      <c r="AC106">
        <f t="shared" si="26"/>
        <v>1.5718275566253226</v>
      </c>
      <c r="AD106">
        <f t="shared" si="27"/>
        <v>2.1840734996250148</v>
      </c>
      <c r="AE106">
        <f t="shared" si="28"/>
        <v>6.2375507650056079</v>
      </c>
      <c r="AF106">
        <f t="shared" si="29"/>
        <v>2.318306311846996</v>
      </c>
      <c r="AG106">
        <f t="shared" si="30"/>
        <v>3.9464583238498108E-2</v>
      </c>
      <c r="AH106">
        <f t="shared" si="31"/>
        <v>-2.011386480186502</v>
      </c>
      <c r="AI106">
        <f t="shared" si="32"/>
        <v>-5.7666130605206192</v>
      </c>
      <c r="AJ106">
        <f t="shared" si="33"/>
        <v>-2.4375467644400128E-2</v>
      </c>
      <c r="AK106">
        <f t="shared" si="34"/>
        <v>-2.15004133432276</v>
      </c>
      <c r="AL106">
        <f t="shared" si="35"/>
        <v>0</v>
      </c>
      <c r="AM106">
        <f t="shared" si="36"/>
        <v>0</v>
      </c>
      <c r="AN106">
        <f t="shared" si="37"/>
        <v>0</v>
      </c>
      <c r="AO106">
        <f t="shared" si="38"/>
        <v>0</v>
      </c>
      <c r="AP106">
        <f t="shared" si="39"/>
        <v>0</v>
      </c>
      <c r="AQ106">
        <f t="shared" si="40"/>
        <v>0</v>
      </c>
      <c r="AR106">
        <f t="shared" si="41"/>
        <v>0</v>
      </c>
    </row>
    <row r="107" spans="1:44" x14ac:dyDescent="0.25">
      <c r="A107" s="14">
        <v>44926</v>
      </c>
      <c r="B107">
        <v>126.57249077978565</v>
      </c>
      <c r="C107">
        <v>124.33443847729801</v>
      </c>
      <c r="D107">
        <v>116.605202296355</v>
      </c>
      <c r="E107">
        <v>124.62848092163368</v>
      </c>
      <c r="F107">
        <v>123.35004826728168</v>
      </c>
      <c r="G107">
        <v>107.95521631247334</v>
      </c>
      <c r="H107">
        <v>145.93076459690067</v>
      </c>
      <c r="I107">
        <v>197.85529267705101</v>
      </c>
      <c r="J107">
        <v>126.54644360022201</v>
      </c>
      <c r="K107">
        <v>1.01216531698448</v>
      </c>
      <c r="L107">
        <v>78.101493846153801</v>
      </c>
      <c r="M107" s="15">
        <f>+'[3]VAR expectations'!C131</f>
        <v>2.5033196655575458</v>
      </c>
      <c r="N107">
        <v>3.73152831160392</v>
      </c>
      <c r="O107">
        <v>1.02568077887582</v>
      </c>
      <c r="P107">
        <v>330</v>
      </c>
      <c r="Q107">
        <v>67</v>
      </c>
      <c r="R107">
        <v>437</v>
      </c>
      <c r="S107">
        <v>116</v>
      </c>
      <c r="T107">
        <v>27</v>
      </c>
      <c r="U107">
        <v>23</v>
      </c>
      <c r="V107">
        <f t="shared" si="23"/>
        <v>166</v>
      </c>
      <c r="X107">
        <f t="shared" si="24"/>
        <v>3.4798351032876553</v>
      </c>
      <c r="Y107">
        <f t="shared" si="42"/>
        <v>2.404053679495334</v>
      </c>
      <c r="Z107">
        <f t="shared" si="43"/>
        <v>1.6318188276036807</v>
      </c>
      <c r="AA107">
        <f t="shared" si="44"/>
        <v>4.2717457025413381</v>
      </c>
      <c r="AB107">
        <f t="shared" si="25"/>
        <v>5.331893901894361</v>
      </c>
      <c r="AC107">
        <f t="shared" si="26"/>
        <v>1.5772849813390195</v>
      </c>
      <c r="AD107">
        <f t="shared" si="27"/>
        <v>0.73954771660265806</v>
      </c>
      <c r="AE107">
        <f t="shared" si="28"/>
        <v>20.370221887860367</v>
      </c>
      <c r="AF107">
        <f t="shared" si="29"/>
        <v>3.5511730226300102</v>
      </c>
      <c r="AG107">
        <f t="shared" si="30"/>
        <v>-1.1135832449550076E-2</v>
      </c>
      <c r="AH107">
        <f t="shared" si="31"/>
        <v>-7.1227365967402534E-2</v>
      </c>
      <c r="AI107">
        <f t="shared" si="32"/>
        <v>-6.4056893434515452</v>
      </c>
      <c r="AJ107">
        <f t="shared" si="33"/>
        <v>0.39759494716287014</v>
      </c>
      <c r="AK107">
        <f t="shared" si="34"/>
        <v>0.88690342343808992</v>
      </c>
      <c r="AL107">
        <f t="shared" si="35"/>
        <v>0</v>
      </c>
      <c r="AM107">
        <f t="shared" si="36"/>
        <v>0</v>
      </c>
      <c r="AN107">
        <f t="shared" si="37"/>
        <v>0</v>
      </c>
      <c r="AO107">
        <f t="shared" si="38"/>
        <v>0</v>
      </c>
      <c r="AP107">
        <f t="shared" si="39"/>
        <v>0</v>
      </c>
      <c r="AQ107">
        <f t="shared" si="40"/>
        <v>0</v>
      </c>
      <c r="AR107">
        <f t="shared" si="41"/>
        <v>0</v>
      </c>
    </row>
    <row r="108" spans="1:44" x14ac:dyDescent="0.25">
      <c r="A108" s="14">
        <v>45016</v>
      </c>
      <c r="B108">
        <v>128.38716869753435</v>
      </c>
      <c r="C108">
        <v>125.86144301761266</v>
      </c>
      <c r="D108">
        <v>118.51394146473801</v>
      </c>
      <c r="E108">
        <v>128.62755721879668</v>
      </c>
      <c r="F108">
        <v>128.03620505103001</v>
      </c>
      <c r="G108">
        <v>110.11820535447266</v>
      </c>
      <c r="H108">
        <v>148.02952185889964</v>
      </c>
      <c r="I108">
        <v>193.04977581573766</v>
      </c>
      <c r="J108">
        <v>128.34142996117501</v>
      </c>
      <c r="K108">
        <v>1.0215437277533299</v>
      </c>
      <c r="L108">
        <v>78.168284615384593</v>
      </c>
      <c r="M108" s="15">
        <f>+'[3]VAR expectations'!C132</f>
        <v>2.6753569594618285</v>
      </c>
      <c r="N108">
        <v>3.21017686418904</v>
      </c>
      <c r="O108">
        <v>-0.17012066426360101</v>
      </c>
      <c r="P108">
        <v>294.66666666666669</v>
      </c>
      <c r="Q108">
        <v>80</v>
      </c>
      <c r="R108">
        <v>465</v>
      </c>
      <c r="S108">
        <v>118.33333333333333</v>
      </c>
      <c r="T108">
        <v>21</v>
      </c>
      <c r="U108">
        <v>21</v>
      </c>
      <c r="V108">
        <f t="shared" si="23"/>
        <v>160.33333333333331</v>
      </c>
      <c r="X108">
        <f t="shared" si="24"/>
        <v>1.8146779177486962</v>
      </c>
      <c r="Y108">
        <f t="shared" si="42"/>
        <v>1.5270045403146497</v>
      </c>
      <c r="Z108">
        <f t="shared" si="43"/>
        <v>1.9087391683830077</v>
      </c>
      <c r="AA108">
        <f t="shared" si="44"/>
        <v>3.9990762971630005</v>
      </c>
      <c r="AB108">
        <f t="shared" si="25"/>
        <v>4.6861567837483307</v>
      </c>
      <c r="AC108">
        <f t="shared" si="26"/>
        <v>2.1629890419993245</v>
      </c>
      <c r="AD108">
        <f t="shared" si="27"/>
        <v>2.0987572619989692</v>
      </c>
      <c r="AE108">
        <f t="shared" si="28"/>
        <v>-4.8055168613133503</v>
      </c>
      <c r="AF108">
        <f t="shared" si="29"/>
        <v>1.7949863609530041</v>
      </c>
      <c r="AG108">
        <f t="shared" si="30"/>
        <v>9.3784107688499319E-3</v>
      </c>
      <c r="AH108">
        <f t="shared" si="31"/>
        <v>6.679076923079208E-2</v>
      </c>
      <c r="AI108">
        <f t="shared" si="32"/>
        <v>-4.537491256199683</v>
      </c>
      <c r="AJ108">
        <f t="shared" si="33"/>
        <v>-0.52135144741487993</v>
      </c>
      <c r="AK108">
        <f t="shared" si="34"/>
        <v>-1.195801443139421</v>
      </c>
      <c r="AL108">
        <f t="shared" si="35"/>
        <v>-35.333333333333314</v>
      </c>
      <c r="AM108">
        <f t="shared" si="36"/>
        <v>13</v>
      </c>
      <c r="AN108">
        <f t="shared" si="37"/>
        <v>28</v>
      </c>
      <c r="AO108">
        <f t="shared" si="38"/>
        <v>2.3333333333333286</v>
      </c>
      <c r="AP108">
        <f t="shared" si="39"/>
        <v>-6</v>
      </c>
      <c r="AQ108">
        <f t="shared" si="40"/>
        <v>-2</v>
      </c>
      <c r="AR108">
        <f t="shared" si="41"/>
        <v>-5.6666666666666856</v>
      </c>
    </row>
    <row r="109" spans="1:44" x14ac:dyDescent="0.25">
      <c r="A109" s="14">
        <v>45107</v>
      </c>
      <c r="B109">
        <v>130.56138712395398</v>
      </c>
      <c r="C109">
        <v>128.47449609462467</v>
      </c>
      <c r="D109">
        <v>120.85429497306298</v>
      </c>
      <c r="E109">
        <v>133.49217878399133</v>
      </c>
      <c r="F109">
        <v>132.56217876159201</v>
      </c>
      <c r="G109">
        <v>112.114838383828</v>
      </c>
      <c r="H109">
        <v>159.04024520112731</v>
      </c>
      <c r="I109">
        <v>183.75726900744965</v>
      </c>
      <c r="J109">
        <v>130.74946319922401</v>
      </c>
      <c r="K109">
        <v>1.00005844742037</v>
      </c>
      <c r="L109">
        <v>80.456900000000005</v>
      </c>
      <c r="M109" s="15">
        <f>+'[3]VAR expectations'!C133</f>
        <v>3.0786650622291059</v>
      </c>
      <c r="N109">
        <v>0.70170723997551099</v>
      </c>
      <c r="O109">
        <v>-0.231251350162267</v>
      </c>
      <c r="P109">
        <v>293</v>
      </c>
      <c r="Q109">
        <v>80</v>
      </c>
      <c r="R109">
        <v>466</v>
      </c>
      <c r="S109">
        <v>119</v>
      </c>
      <c r="T109">
        <v>21</v>
      </c>
      <c r="U109">
        <v>21</v>
      </c>
      <c r="V109">
        <f t="shared" si="23"/>
        <v>161</v>
      </c>
      <c r="X109">
        <f t="shared" si="24"/>
        <v>2.1742184264196283</v>
      </c>
      <c r="Y109">
        <f t="shared" si="42"/>
        <v>2.6130530770120117</v>
      </c>
      <c r="Z109">
        <f t="shared" si="43"/>
        <v>2.3403535083249665</v>
      </c>
      <c r="AA109">
        <f t="shared" si="44"/>
        <v>4.8646215651946534</v>
      </c>
      <c r="AB109">
        <f t="shared" si="25"/>
        <v>4.525973710561999</v>
      </c>
      <c r="AC109">
        <f t="shared" si="26"/>
        <v>1.9966330293553369</v>
      </c>
      <c r="AD109">
        <f t="shared" si="27"/>
        <v>11.010723342227664</v>
      </c>
      <c r="AE109">
        <f t="shared" si="28"/>
        <v>-9.2925068082880102</v>
      </c>
      <c r="AF109">
        <f t="shared" si="29"/>
        <v>2.4080332380490006</v>
      </c>
      <c r="AG109">
        <f t="shared" si="30"/>
        <v>-2.1485280332959933E-2</v>
      </c>
      <c r="AH109">
        <f t="shared" si="31"/>
        <v>2.2886153846154116</v>
      </c>
      <c r="AI109">
        <f t="shared" si="32"/>
        <v>-2.371015764923905</v>
      </c>
      <c r="AJ109">
        <f t="shared" si="33"/>
        <v>-2.5084696242135291</v>
      </c>
      <c r="AK109">
        <f t="shared" si="34"/>
        <v>-6.1130685898665993E-2</v>
      </c>
      <c r="AL109">
        <f t="shared" si="35"/>
        <v>-1.6666666666666856</v>
      </c>
      <c r="AM109">
        <f t="shared" si="36"/>
        <v>0</v>
      </c>
      <c r="AN109">
        <f t="shared" si="37"/>
        <v>1</v>
      </c>
      <c r="AO109">
        <f t="shared" si="38"/>
        <v>0.6666666666666714</v>
      </c>
      <c r="AP109">
        <f t="shared" si="39"/>
        <v>0</v>
      </c>
      <c r="AQ109">
        <f t="shared" si="40"/>
        <v>0</v>
      </c>
      <c r="AR109">
        <f t="shared" si="41"/>
        <v>0.66666666666668561</v>
      </c>
    </row>
    <row r="110" spans="1:44" x14ac:dyDescent="0.25">
      <c r="A110" s="14">
        <v>45199</v>
      </c>
      <c r="B110">
        <v>131.35178086867901</v>
      </c>
      <c r="C110">
        <v>130.48216816175366</v>
      </c>
      <c r="D110">
        <v>121.02668559150034</v>
      </c>
      <c r="E110">
        <v>135.43663586923799</v>
      </c>
      <c r="F110">
        <v>133.90766615943767</v>
      </c>
      <c r="G110">
        <v>115.79947132789233</v>
      </c>
      <c r="H110">
        <v>162.59407559120734</v>
      </c>
      <c r="I110">
        <v>171.49723514857797</v>
      </c>
      <c r="J110">
        <v>131.21387847850599</v>
      </c>
      <c r="K110">
        <v>0.98423499823385696</v>
      </c>
      <c r="L110">
        <v>82.197903076923097</v>
      </c>
      <c r="M110" s="15">
        <f>+'[3]VAR expectations'!C134</f>
        <v>3.1319434989789481</v>
      </c>
      <c r="N110">
        <v>-0.16340187781012599</v>
      </c>
      <c r="O110">
        <v>-0.673433352934243</v>
      </c>
      <c r="P110">
        <v>293</v>
      </c>
      <c r="Q110">
        <v>80</v>
      </c>
      <c r="R110">
        <v>466</v>
      </c>
      <c r="S110">
        <v>119</v>
      </c>
      <c r="T110">
        <v>21</v>
      </c>
      <c r="U110">
        <v>21</v>
      </c>
      <c r="V110">
        <f t="shared" si="23"/>
        <v>161</v>
      </c>
      <c r="X110">
        <f t="shared" si="24"/>
        <v>0.7903937447250371</v>
      </c>
      <c r="Y110">
        <f t="shared" si="42"/>
        <v>2.0076720671289934</v>
      </c>
      <c r="Z110">
        <f t="shared" si="43"/>
        <v>0.17239061843736181</v>
      </c>
      <c r="AA110">
        <f t="shared" si="44"/>
        <v>1.9444570852466541</v>
      </c>
      <c r="AB110">
        <f t="shared" si="25"/>
        <v>1.345487397845659</v>
      </c>
      <c r="AC110">
        <f t="shared" si="26"/>
        <v>3.6846329440643331</v>
      </c>
      <c r="AD110">
        <f t="shared" si="27"/>
        <v>3.5538303900800372</v>
      </c>
      <c r="AE110">
        <f t="shared" si="28"/>
        <v>-12.26003385887168</v>
      </c>
      <c r="AF110">
        <f t="shared" si="29"/>
        <v>0.46441527928197956</v>
      </c>
      <c r="AG110">
        <f t="shared" si="30"/>
        <v>-1.5823449186513017E-2</v>
      </c>
      <c r="AH110">
        <f t="shared" si="31"/>
        <v>1.7410030769230929</v>
      </c>
      <c r="AI110">
        <f t="shared" si="32"/>
        <v>-1.8339575821192375</v>
      </c>
      <c r="AJ110">
        <f t="shared" si="33"/>
        <v>-0.86510911778563693</v>
      </c>
      <c r="AK110">
        <f t="shared" si="34"/>
        <v>-0.442182002771976</v>
      </c>
      <c r="AL110">
        <f t="shared" si="35"/>
        <v>0</v>
      </c>
      <c r="AM110">
        <f t="shared" si="36"/>
        <v>0</v>
      </c>
      <c r="AN110">
        <f t="shared" si="37"/>
        <v>0</v>
      </c>
      <c r="AO110">
        <f t="shared" si="38"/>
        <v>0</v>
      </c>
      <c r="AP110">
        <f t="shared" si="39"/>
        <v>0</v>
      </c>
      <c r="AQ110">
        <f t="shared" si="40"/>
        <v>0</v>
      </c>
      <c r="AR110">
        <f t="shared" si="41"/>
        <v>0</v>
      </c>
    </row>
    <row r="111" spans="1:44" x14ac:dyDescent="0.25">
      <c r="A111" s="14">
        <v>45291</v>
      </c>
      <c r="B111">
        <v>131.90742868082333</v>
      </c>
      <c r="C111">
        <v>132.33914338104398</v>
      </c>
      <c r="D111">
        <v>120.81283188458333</v>
      </c>
      <c r="E111">
        <v>136.65815991549266</v>
      </c>
      <c r="F111">
        <v>134.56146663509199</v>
      </c>
      <c r="G111">
        <v>118.01076709177534</v>
      </c>
      <c r="H111">
        <v>165.53417244105165</v>
      </c>
      <c r="I111">
        <v>164.99782673189367</v>
      </c>
      <c r="J111">
        <v>131.88052879150999</v>
      </c>
      <c r="K111">
        <v>0.99409752445047195</v>
      </c>
      <c r="L111">
        <v>81.178133846153798</v>
      </c>
      <c r="M111" s="15">
        <f>+'[3]VAR expectations'!C135</f>
        <v>3.4145577808828897</v>
      </c>
      <c r="N111">
        <v>-1.3678165112816401</v>
      </c>
      <c r="O111">
        <v>-0.21694556148073699</v>
      </c>
      <c r="P111">
        <v>293</v>
      </c>
      <c r="Q111">
        <v>80</v>
      </c>
      <c r="R111">
        <v>466</v>
      </c>
      <c r="S111">
        <v>119</v>
      </c>
      <c r="T111">
        <v>21</v>
      </c>
      <c r="U111">
        <v>21</v>
      </c>
      <c r="V111">
        <f t="shared" si="23"/>
        <v>161</v>
      </c>
      <c r="X111">
        <f t="shared" si="24"/>
        <v>0.55564781214431491</v>
      </c>
      <c r="Y111">
        <f t="shared" si="42"/>
        <v>1.8569752192903195</v>
      </c>
      <c r="Z111">
        <f t="shared" si="43"/>
        <v>-0.213853706917007</v>
      </c>
      <c r="AA111">
        <f t="shared" si="44"/>
        <v>1.2215240462546717</v>
      </c>
      <c r="AB111">
        <f t="shared" si="25"/>
        <v>0.65380047565432164</v>
      </c>
      <c r="AC111">
        <f t="shared" si="26"/>
        <v>2.2112957638830011</v>
      </c>
      <c r="AD111">
        <f t="shared" si="27"/>
        <v>2.9400968498443092</v>
      </c>
      <c r="AE111">
        <f t="shared" si="28"/>
        <v>-6.4994084166843038</v>
      </c>
      <c r="AF111">
        <f t="shared" si="29"/>
        <v>0.66665031300399846</v>
      </c>
      <c r="AG111">
        <f t="shared" si="30"/>
        <v>9.8625262166149863E-3</v>
      </c>
      <c r="AH111">
        <f t="shared" si="31"/>
        <v>-1.0197692307692989</v>
      </c>
      <c r="AI111">
        <f t="shared" si="32"/>
        <v>-0.8861746160948365</v>
      </c>
      <c r="AJ111">
        <f t="shared" si="33"/>
        <v>-1.204414633471514</v>
      </c>
      <c r="AK111">
        <f t="shared" si="34"/>
        <v>0.45648779145350604</v>
      </c>
      <c r="AL111">
        <f t="shared" si="35"/>
        <v>0</v>
      </c>
      <c r="AM111">
        <f t="shared" si="36"/>
        <v>0</v>
      </c>
      <c r="AN111">
        <f t="shared" si="37"/>
        <v>0</v>
      </c>
      <c r="AO111">
        <f t="shared" si="38"/>
        <v>0</v>
      </c>
      <c r="AP111">
        <f t="shared" si="39"/>
        <v>0</v>
      </c>
      <c r="AQ111">
        <f t="shared" si="40"/>
        <v>0</v>
      </c>
      <c r="AR111">
        <f t="shared" si="41"/>
        <v>0</v>
      </c>
    </row>
    <row r="112" spans="1:44" x14ac:dyDescent="0.25">
      <c r="A112" s="14">
        <v>45382</v>
      </c>
      <c r="B112">
        <v>132.94843116884735</v>
      </c>
      <c r="C112">
        <v>133.75886718003835</v>
      </c>
      <c r="D112">
        <v>120.91458822342501</v>
      </c>
      <c r="E112">
        <v>137.67280155287366</v>
      </c>
      <c r="F112">
        <v>134.87068887930101</v>
      </c>
      <c r="G112">
        <v>118.88041870657833</v>
      </c>
      <c r="H112">
        <v>171.54211892933236</v>
      </c>
      <c r="I112">
        <v>165.90492516430066</v>
      </c>
      <c r="J112">
        <v>132.95382336549201</v>
      </c>
      <c r="K112">
        <v>0.98573900024007299</v>
      </c>
      <c r="L112">
        <v>82.5681923076923</v>
      </c>
      <c r="M112" s="15">
        <f>+'[3]VAR expectations'!C136</f>
        <v>2.9821807365306072</v>
      </c>
      <c r="N112">
        <v>-1.0717785266822</v>
      </c>
      <c r="O112">
        <v>4.3541846025459997E-2</v>
      </c>
      <c r="P112">
        <v>286.49313333333339</v>
      </c>
      <c r="Q112">
        <v>71.188066666666657</v>
      </c>
      <c r="R112">
        <v>490.4566333333334</v>
      </c>
      <c r="S112">
        <v>113.06706666666666</v>
      </c>
      <c r="T112">
        <v>20.664833333333334</v>
      </c>
      <c r="U112">
        <v>18.130266666666667</v>
      </c>
      <c r="V112">
        <f t="shared" si="23"/>
        <v>151.86216666666667</v>
      </c>
      <c r="X112">
        <f t="shared" si="24"/>
        <v>1.0410024880240201</v>
      </c>
      <c r="Y112">
        <f t="shared" si="42"/>
        <v>1.4197237989943687</v>
      </c>
      <c r="Z112">
        <f t="shared" si="43"/>
        <v>0.10175633884168178</v>
      </c>
      <c r="AA112">
        <f t="shared" si="44"/>
        <v>1.0146416373810041</v>
      </c>
      <c r="AB112">
        <f t="shared" si="25"/>
        <v>0.30922224420902467</v>
      </c>
      <c r="AC112">
        <f t="shared" si="26"/>
        <v>0.86965161480299003</v>
      </c>
      <c r="AD112">
        <f t="shared" si="27"/>
        <v>6.0079464882807088</v>
      </c>
      <c r="AE112">
        <f t="shared" si="28"/>
        <v>0.90709843240699684</v>
      </c>
      <c r="AF112">
        <f t="shared" si="29"/>
        <v>1.0732945739820252</v>
      </c>
      <c r="AG112">
        <f t="shared" si="30"/>
        <v>-8.3585242103989543E-3</v>
      </c>
      <c r="AH112">
        <f t="shared" si="31"/>
        <v>1.3900584615385014</v>
      </c>
      <c r="AI112">
        <f t="shared" si="32"/>
        <v>-0.87609137822706629</v>
      </c>
      <c r="AJ112">
        <f t="shared" si="33"/>
        <v>0.29603798459944008</v>
      </c>
      <c r="AK112">
        <f t="shared" si="34"/>
        <v>0.26048740750619698</v>
      </c>
      <c r="AL112">
        <f t="shared" si="35"/>
        <v>-6.5068666666666104</v>
      </c>
      <c r="AM112">
        <f t="shared" si="36"/>
        <v>-8.8119333333333429</v>
      </c>
      <c r="AN112">
        <f t="shared" si="37"/>
        <v>24.4566333333334</v>
      </c>
      <c r="AO112">
        <f t="shared" si="38"/>
        <v>-5.9329333333333381</v>
      </c>
      <c r="AP112">
        <f t="shared" si="39"/>
        <v>-0.33516666666666595</v>
      </c>
      <c r="AQ112">
        <f t="shared" si="40"/>
        <v>-2.8697333333333326</v>
      </c>
      <c r="AR112">
        <f t="shared" si="41"/>
        <v>-9.137833333333333</v>
      </c>
    </row>
    <row r="113" spans="1:44" x14ac:dyDescent="0.25">
      <c r="A113" s="14">
        <v>45473</v>
      </c>
      <c r="B113">
        <v>133.24691582971434</v>
      </c>
      <c r="C113">
        <v>135.807487639561</v>
      </c>
      <c r="D113">
        <v>120.983232584186</v>
      </c>
      <c r="E113">
        <v>138.14194228561868</v>
      </c>
      <c r="F113">
        <v>135.26029032285135</v>
      </c>
      <c r="G113">
        <v>118.618104054439</v>
      </c>
      <c r="H113">
        <v>174.69183378053467</v>
      </c>
      <c r="I113">
        <v>154.08732720665034</v>
      </c>
      <c r="J113">
        <v>133.42686731999399</v>
      </c>
      <c r="K113">
        <v>0.99610252238445296</v>
      </c>
      <c r="L113">
        <v>82.944390769230793</v>
      </c>
      <c r="M113" s="15">
        <f>+'[3]VAR expectations'!C137</f>
        <v>2.7653976909254645</v>
      </c>
      <c r="N113">
        <v>-1.2261098957021399</v>
      </c>
      <c r="O113">
        <v>-0.40443614577732501</v>
      </c>
      <c r="P113">
        <v>285.86950000000007</v>
      </c>
      <c r="Q113">
        <v>71.750699999999995</v>
      </c>
      <c r="R113">
        <v>490.08380000000005</v>
      </c>
      <c r="S113">
        <v>113.14640000000001</v>
      </c>
      <c r="T113">
        <v>20.931000000000001</v>
      </c>
      <c r="U113">
        <v>18.218599999999999</v>
      </c>
      <c r="V113">
        <f t="shared" si="23"/>
        <v>152.29600000000002</v>
      </c>
      <c r="X113">
        <f t="shared" si="24"/>
        <v>0.29848466086698977</v>
      </c>
      <c r="Y113">
        <f t="shared" si="42"/>
        <v>2.0486204595226525</v>
      </c>
      <c r="Z113">
        <f t="shared" si="43"/>
        <v>6.8644360760984569E-2</v>
      </c>
      <c r="AA113">
        <f t="shared" si="44"/>
        <v>0.46914073274501789</v>
      </c>
      <c r="AB113">
        <f t="shared" si="25"/>
        <v>0.38960144355033322</v>
      </c>
      <c r="AC113">
        <f t="shared" si="26"/>
        <v>-0.26231465213932381</v>
      </c>
      <c r="AD113">
        <f t="shared" si="27"/>
        <v>3.1497148512023045</v>
      </c>
      <c r="AE113">
        <f t="shared" si="28"/>
        <v>-11.817597957650321</v>
      </c>
      <c r="AF113">
        <f t="shared" si="29"/>
        <v>0.47304395450197489</v>
      </c>
      <c r="AG113">
        <f t="shared" si="30"/>
        <v>1.0363522144379966E-2</v>
      </c>
      <c r="AH113">
        <f t="shared" si="31"/>
        <v>0.37619846153849323</v>
      </c>
      <c r="AI113">
        <f t="shared" si="32"/>
        <v>-0.86014000509964328</v>
      </c>
      <c r="AJ113">
        <f t="shared" si="33"/>
        <v>-0.15433136901993993</v>
      </c>
      <c r="AK113">
        <f t="shared" si="34"/>
        <v>-0.44797799180278502</v>
      </c>
      <c r="AL113">
        <f t="shared" si="35"/>
        <v>-0.62363333333331639</v>
      </c>
      <c r="AM113">
        <f t="shared" si="36"/>
        <v>0.56263333333333776</v>
      </c>
      <c r="AN113">
        <f t="shared" si="37"/>
        <v>-0.37283333333334667</v>
      </c>
      <c r="AO113">
        <f t="shared" si="38"/>
        <v>7.933333333335213E-2</v>
      </c>
      <c r="AP113">
        <f t="shared" si="39"/>
        <v>0.26616666666666688</v>
      </c>
      <c r="AQ113">
        <f t="shared" si="40"/>
        <v>8.8333333333331154E-2</v>
      </c>
      <c r="AR113">
        <f t="shared" si="41"/>
        <v>0.43383333333335372</v>
      </c>
    </row>
    <row r="114" spans="1:44" x14ac:dyDescent="0.25">
      <c r="A114" s="14">
        <v>45565</v>
      </c>
      <c r="B114">
        <v>134.02113951227832</v>
      </c>
      <c r="C114">
        <v>137.24167755432401</v>
      </c>
      <c r="D114">
        <v>121.26116177752665</v>
      </c>
      <c r="E114">
        <v>139.04979349184765</v>
      </c>
      <c r="F114">
        <v>135.96104514689134</v>
      </c>
      <c r="G114">
        <v>118.89478155606633</v>
      </c>
      <c r="H114">
        <v>178.04940428229733</v>
      </c>
      <c r="I114">
        <v>148.602268953947</v>
      </c>
      <c r="J114">
        <v>133.86174972626199</v>
      </c>
      <c r="K114">
        <v>0.97405812511554302</v>
      </c>
      <c r="L114">
        <v>84.302587878787904</v>
      </c>
      <c r="M114" s="15">
        <f>+'[3]VAR expectations'!C138</f>
        <v>3.4330399377282408</v>
      </c>
      <c r="N114">
        <v>-0.96369939332577004</v>
      </c>
      <c r="O114">
        <v>-0.39830475465660198</v>
      </c>
      <c r="P114">
        <v>285.86950000000007</v>
      </c>
      <c r="Q114">
        <v>71.750699999999995</v>
      </c>
      <c r="R114">
        <v>490.08380000000005</v>
      </c>
      <c r="S114">
        <v>113.14640000000001</v>
      </c>
      <c r="T114">
        <v>20.931000000000001</v>
      </c>
      <c r="U114">
        <v>18.218599999999999</v>
      </c>
      <c r="V114">
        <f t="shared" si="23"/>
        <v>152.29600000000002</v>
      </c>
      <c r="X114">
        <f t="shared" si="24"/>
        <v>0.77422368256398499</v>
      </c>
      <c r="Y114">
        <f t="shared" si="42"/>
        <v>1.4341899147630102</v>
      </c>
      <c r="Z114">
        <f t="shared" si="43"/>
        <v>0.27792919334065402</v>
      </c>
      <c r="AA114">
        <f t="shared" si="44"/>
        <v>0.90785120622896898</v>
      </c>
      <c r="AB114">
        <f t="shared" si="25"/>
        <v>0.7007548240399899</v>
      </c>
      <c r="AC114">
        <f t="shared" si="26"/>
        <v>0.27667750162733284</v>
      </c>
      <c r="AD114">
        <f t="shared" si="27"/>
        <v>3.357570501762666</v>
      </c>
      <c r="AE114">
        <f t="shared" si="28"/>
        <v>-5.4850582527033396</v>
      </c>
      <c r="AF114">
        <f t="shared" si="29"/>
        <v>0.43488240626800234</v>
      </c>
      <c r="AG114">
        <f t="shared" si="30"/>
        <v>-2.2044397268909943E-2</v>
      </c>
      <c r="AH114">
        <f t="shared" si="31"/>
        <v>1.3581971095571106</v>
      </c>
      <c r="AI114">
        <f t="shared" si="32"/>
        <v>0.4536863957579178</v>
      </c>
      <c r="AJ114">
        <f t="shared" si="33"/>
        <v>0.26241050237636987</v>
      </c>
      <c r="AK114">
        <f t="shared" si="34"/>
        <v>6.1313911207230287E-3</v>
      </c>
      <c r="AL114">
        <f t="shared" si="35"/>
        <v>0</v>
      </c>
      <c r="AM114">
        <f t="shared" si="36"/>
        <v>0</v>
      </c>
      <c r="AN114">
        <f t="shared" si="37"/>
        <v>0</v>
      </c>
      <c r="AO114">
        <f t="shared" si="38"/>
        <v>0</v>
      </c>
      <c r="AP114">
        <f t="shared" si="39"/>
        <v>0</v>
      </c>
      <c r="AQ114">
        <f t="shared" si="40"/>
        <v>0</v>
      </c>
      <c r="AR114">
        <f t="shared" si="41"/>
        <v>0</v>
      </c>
    </row>
    <row r="115" spans="1:44" x14ac:dyDescent="0.25">
      <c r="A115" s="14">
        <v>45657</v>
      </c>
      <c r="B115">
        <v>135.21692150454535</v>
      </c>
      <c r="C115">
        <v>138.73512918149299</v>
      </c>
      <c r="D115">
        <v>121.95064728995</v>
      </c>
      <c r="E115">
        <v>140.6494084587417</v>
      </c>
      <c r="F115">
        <v>137.18250796092101</v>
      </c>
      <c r="G115">
        <v>119.71565409241767</v>
      </c>
      <c r="H115">
        <v>182.63413734439936</v>
      </c>
      <c r="I115">
        <v>151.46663061603667</v>
      </c>
      <c r="J115">
        <v>135.17362578586099</v>
      </c>
      <c r="K115">
        <v>0.97624661192587803</v>
      </c>
      <c r="L115">
        <v>84.621425757575807</v>
      </c>
      <c r="M115" s="15">
        <f>+'[3]VAR expectations'!C139</f>
        <v>5.1936780789271362</v>
      </c>
      <c r="N115">
        <v>-0.58156090930256898</v>
      </c>
      <c r="O115">
        <v>0.16500605812762401</v>
      </c>
      <c r="P115">
        <v>285.86950000000007</v>
      </c>
      <c r="Q115">
        <v>71.750699999999995</v>
      </c>
      <c r="R115">
        <v>490.08380000000005</v>
      </c>
      <c r="S115">
        <v>113.14640000000001</v>
      </c>
      <c r="T115">
        <v>20.931000000000001</v>
      </c>
      <c r="U115">
        <v>18.218599999999999</v>
      </c>
      <c r="V115">
        <f t="shared" si="23"/>
        <v>152.29600000000002</v>
      </c>
      <c r="X115">
        <f t="shared" si="24"/>
        <v>1.1957819922670296</v>
      </c>
      <c r="Y115">
        <f t="shared" si="42"/>
        <v>1.4934516271689802</v>
      </c>
      <c r="Z115">
        <f t="shared" si="43"/>
        <v>0.68948551242334588</v>
      </c>
      <c r="AA115">
        <f t="shared" si="44"/>
        <v>1.5996149668940518</v>
      </c>
      <c r="AB115">
        <f t="shared" si="25"/>
        <v>1.2214628140296782</v>
      </c>
      <c r="AC115">
        <f t="shared" si="26"/>
        <v>0.82087253635133095</v>
      </c>
      <c r="AD115">
        <f t="shared" si="27"/>
        <v>4.5847330621020319</v>
      </c>
      <c r="AE115">
        <f t="shared" si="28"/>
        <v>2.8643616620896637</v>
      </c>
      <c r="AF115">
        <f t="shared" si="29"/>
        <v>1.3118760595990011</v>
      </c>
      <c r="AG115">
        <f t="shared" si="30"/>
        <v>2.1884868103350108E-3</v>
      </c>
      <c r="AH115">
        <f t="shared" si="31"/>
        <v>0.31883787878790315</v>
      </c>
      <c r="AI115">
        <f t="shared" si="32"/>
        <v>2.2219468253369397</v>
      </c>
      <c r="AJ115">
        <f t="shared" si="33"/>
        <v>0.38213848402320105</v>
      </c>
      <c r="AK115">
        <f t="shared" si="34"/>
        <v>0.56331081278422601</v>
      </c>
      <c r="AL115">
        <f t="shared" si="35"/>
        <v>0</v>
      </c>
      <c r="AM115">
        <f t="shared" si="36"/>
        <v>0</v>
      </c>
      <c r="AN115">
        <f t="shared" si="37"/>
        <v>0</v>
      </c>
      <c r="AO115">
        <f t="shared" si="38"/>
        <v>0</v>
      </c>
      <c r="AP115">
        <f t="shared" si="39"/>
        <v>0</v>
      </c>
      <c r="AQ115">
        <f t="shared" si="40"/>
        <v>0</v>
      </c>
      <c r="AR115">
        <f t="shared" si="41"/>
        <v>0</v>
      </c>
    </row>
    <row r="116" spans="1:44" x14ac:dyDescent="0.25">
      <c r="A116" s="14">
        <v>45747</v>
      </c>
      <c r="B116">
        <v>136.66636322417534</v>
      </c>
      <c r="C116">
        <v>140.36418737698366</v>
      </c>
      <c r="D116">
        <v>122.41564888421966</v>
      </c>
      <c r="E116">
        <v>142.83718215793434</v>
      </c>
      <c r="F116">
        <v>139.24581727100133</v>
      </c>
      <c r="G116">
        <v>121.28173307555301</v>
      </c>
      <c r="H116">
        <v>186.68218521967401</v>
      </c>
      <c r="I116">
        <v>153.63014026696965</v>
      </c>
      <c r="J116">
        <v>136.72048345699301</v>
      </c>
      <c r="K116">
        <v>0.99895086639782105</v>
      </c>
      <c r="L116">
        <v>84.062595312499994</v>
      </c>
      <c r="M116" s="15">
        <f>+'[3]VAR expectations'!C140</f>
        <v>6.6732619097853254</v>
      </c>
      <c r="N116">
        <v>-0.518303217993346</v>
      </c>
      <c r="O116">
        <v>0.107917584062745</v>
      </c>
      <c r="P116">
        <v>287.15600000000001</v>
      </c>
      <c r="Q116">
        <v>61.402300000000004</v>
      </c>
      <c r="R116">
        <v>500.89830000000001</v>
      </c>
      <c r="S116">
        <v>112.20923333333333</v>
      </c>
      <c r="T116">
        <v>19.879166666666666</v>
      </c>
      <c r="U116">
        <v>18.454999999999998</v>
      </c>
      <c r="V116">
        <f t="shared" si="23"/>
        <v>150.54340000000002</v>
      </c>
      <c r="X116">
        <f t="shared" si="24"/>
        <v>1.4494417196299878</v>
      </c>
      <c r="Y116">
        <f t="shared" si="42"/>
        <v>1.6290581954906713</v>
      </c>
      <c r="Z116">
        <f t="shared" si="43"/>
        <v>0.46500159426966547</v>
      </c>
      <c r="AA116">
        <f t="shared" si="44"/>
        <v>2.1877736991926326</v>
      </c>
      <c r="AB116">
        <f t="shared" si="25"/>
        <v>2.0633093100803137</v>
      </c>
      <c r="AC116">
        <f t="shared" si="26"/>
        <v>1.5660789831353412</v>
      </c>
      <c r="AD116">
        <f t="shared" si="27"/>
        <v>4.0480478752746478</v>
      </c>
      <c r="AE116">
        <f t="shared" si="28"/>
        <v>2.1635096509329799</v>
      </c>
      <c r="AF116">
        <f t="shared" si="29"/>
        <v>1.5468576711320168</v>
      </c>
      <c r="AG116">
        <f t="shared" si="30"/>
        <v>2.2704254471943019E-2</v>
      </c>
      <c r="AH116">
        <f t="shared" si="31"/>
        <v>-0.55883044507581303</v>
      </c>
      <c r="AI116">
        <f t="shared" si="32"/>
        <v>3.2044766322441984</v>
      </c>
      <c r="AJ116">
        <f t="shared" si="33"/>
        <v>6.3257691309222985E-2</v>
      </c>
      <c r="AK116">
        <f t="shared" si="34"/>
        <v>-5.7088474064879005E-2</v>
      </c>
      <c r="AL116">
        <f t="shared" si="35"/>
        <v>1.2864999999999327</v>
      </c>
      <c r="AM116">
        <f t="shared" si="36"/>
        <v>-10.348399999999991</v>
      </c>
      <c r="AN116">
        <f t="shared" si="37"/>
        <v>10.814499999999953</v>
      </c>
      <c r="AO116">
        <f t="shared" si="38"/>
        <v>-0.93716666666668402</v>
      </c>
      <c r="AP116">
        <f t="shared" si="39"/>
        <v>-1.0518333333333345</v>
      </c>
      <c r="AQ116">
        <f t="shared" si="40"/>
        <v>0.23639999999999972</v>
      </c>
      <c r="AR116">
        <f t="shared" si="41"/>
        <v>-1.752600000000001</v>
      </c>
    </row>
    <row r="117" spans="1:44" x14ac:dyDescent="0.25">
      <c r="A117" s="14">
        <v>45838</v>
      </c>
      <c r="B117">
        <v>137.87719142171133</v>
      </c>
      <c r="C117">
        <v>142.46948558894698</v>
      </c>
      <c r="D117">
        <v>122.76407304939568</v>
      </c>
      <c r="E117">
        <v>144.468705122405</v>
      </c>
      <c r="F117">
        <v>140.85289772657967</v>
      </c>
      <c r="G117">
        <v>123.38669147618701</v>
      </c>
      <c r="H117">
        <v>188.655395162697</v>
      </c>
      <c r="I117">
        <v>152.76916417597667</v>
      </c>
      <c r="J117">
        <v>138.03988302570099</v>
      </c>
      <c r="K117">
        <v>0.99251729977824699</v>
      </c>
      <c r="L117">
        <v>85.4313261538462</v>
      </c>
      <c r="M117" s="15">
        <f>+'[3]VAR expectations'!C141</f>
        <v>8.7447876447877011</v>
      </c>
      <c r="N117">
        <v>-8.0156162901135294E-2</v>
      </c>
      <c r="O117">
        <v>4.1047258462795402E-2</v>
      </c>
      <c r="P117">
        <v>286.36329999999998</v>
      </c>
      <c r="Q117">
        <v>61.652700000000003</v>
      </c>
      <c r="R117">
        <v>500.83539999999999</v>
      </c>
      <c r="S117">
        <v>112.5699</v>
      </c>
      <c r="T117">
        <v>20.052600000000002</v>
      </c>
      <c r="U117">
        <v>18.5261</v>
      </c>
      <c r="V117">
        <f t="shared" si="23"/>
        <v>151.14859999999999</v>
      </c>
      <c r="X117">
        <f t="shared" si="24"/>
        <v>1.2108281975359887</v>
      </c>
      <c r="Y117">
        <f t="shared" si="42"/>
        <v>2.1052982119633157</v>
      </c>
      <c r="Z117">
        <f t="shared" si="43"/>
        <v>0.34842416517601293</v>
      </c>
      <c r="AA117">
        <f t="shared" si="44"/>
        <v>1.6315229644706619</v>
      </c>
      <c r="AB117">
        <f t="shared" si="25"/>
        <v>1.6070804555783411</v>
      </c>
      <c r="AC117">
        <f t="shared" si="26"/>
        <v>2.1049584006340041</v>
      </c>
      <c r="AD117">
        <f t="shared" si="27"/>
        <v>1.9732099430229937</v>
      </c>
      <c r="AE117">
        <f t="shared" si="28"/>
        <v>-0.86097609099297756</v>
      </c>
      <c r="AF117">
        <f t="shared" si="29"/>
        <v>1.3193995687079791</v>
      </c>
      <c r="AG117">
        <f t="shared" si="30"/>
        <v>-6.4335666195740604E-3</v>
      </c>
      <c r="AH117">
        <f t="shared" si="31"/>
        <v>1.3687308413462063</v>
      </c>
      <c r="AI117">
        <f t="shared" si="32"/>
        <v>4.9425918563087521</v>
      </c>
      <c r="AJ117">
        <f t="shared" si="33"/>
        <v>0.43814705509221069</v>
      </c>
      <c r="AK117">
        <f t="shared" si="34"/>
        <v>-6.6870325599949598E-2</v>
      </c>
      <c r="AL117">
        <f t="shared" si="35"/>
        <v>-0.79270000000002483</v>
      </c>
      <c r="AM117">
        <f t="shared" si="36"/>
        <v>0.25039999999999907</v>
      </c>
      <c r="AN117">
        <f t="shared" si="37"/>
        <v>-6.2900000000013279E-2</v>
      </c>
      <c r="AO117">
        <f t="shared" si="38"/>
        <v>0.36066666666667402</v>
      </c>
      <c r="AP117">
        <f t="shared" si="39"/>
        <v>0.17343333333333533</v>
      </c>
      <c r="AQ117">
        <f t="shared" si="40"/>
        <v>7.1100000000001273E-2</v>
      </c>
      <c r="AR117">
        <f t="shared" si="41"/>
        <v>0.60519999999996799</v>
      </c>
    </row>
    <row r="118" spans="1:44" x14ac:dyDescent="0.25">
      <c r="A118" s="14">
        <v>45930</v>
      </c>
      <c r="B118">
        <v>139.09545717782768</v>
      </c>
      <c r="C118">
        <v>143.78240380057602</v>
      </c>
      <c r="D118">
        <v>123.18031748475732</v>
      </c>
      <c r="E118">
        <v>146.14273136936666</v>
      </c>
      <c r="F118">
        <v>142.54855925628667</v>
      </c>
      <c r="G118">
        <v>123.57445647162565</v>
      </c>
      <c r="H118">
        <v>192.27285372944732</v>
      </c>
      <c r="I118">
        <v>152.42786105279069</v>
      </c>
      <c r="J118">
        <v>138.929155953021</v>
      </c>
      <c r="K118">
        <v>0.98609274706816596</v>
      </c>
      <c r="L118">
        <v>85.000674242424196</v>
      </c>
      <c r="M118" s="15">
        <f>+'[3]VAR expectations'!C142</f>
        <v>8.9090090090090914</v>
      </c>
      <c r="N118">
        <v>0.17385582924148901</v>
      </c>
      <c r="O118">
        <v>-0.14024893238342001</v>
      </c>
      <c r="P118">
        <v>286.36329999999998</v>
      </c>
      <c r="Q118">
        <v>61.652700000000003</v>
      </c>
      <c r="R118">
        <v>500.83539999999999</v>
      </c>
      <c r="S118">
        <v>112.5699</v>
      </c>
      <c r="T118">
        <v>20.052600000000002</v>
      </c>
      <c r="U118">
        <v>18.5261</v>
      </c>
      <c r="V118">
        <f t="shared" si="23"/>
        <v>151.14859999999999</v>
      </c>
      <c r="X118">
        <f t="shared" si="24"/>
        <v>1.2182657561163523</v>
      </c>
      <c r="Y118">
        <f t="shared" si="42"/>
        <v>1.3129182116290394</v>
      </c>
      <c r="Z118">
        <f t="shared" si="43"/>
        <v>0.4162444353616479</v>
      </c>
      <c r="AA118">
        <f t="shared" si="44"/>
        <v>1.6740262469616596</v>
      </c>
      <c r="AB118">
        <f t="shared" si="25"/>
        <v>1.6956615297069959</v>
      </c>
      <c r="AC118">
        <f t="shared" si="26"/>
        <v>0.18776499543864134</v>
      </c>
      <c r="AD118">
        <f t="shared" si="27"/>
        <v>3.6174585667503152</v>
      </c>
      <c r="AE118">
        <f t="shared" si="28"/>
        <v>-0.34130312318598044</v>
      </c>
      <c r="AF118">
        <f t="shared" si="29"/>
        <v>0.88927292732000751</v>
      </c>
      <c r="AG118">
        <f t="shared" si="30"/>
        <v>-6.4245527100810218E-3</v>
      </c>
      <c r="AH118">
        <f t="shared" si="31"/>
        <v>-0.43065191142200376</v>
      </c>
      <c r="AI118">
        <f t="shared" si="32"/>
        <v>4.8979663977574104</v>
      </c>
      <c r="AJ118">
        <f t="shared" si="33"/>
        <v>0.25401199214262432</v>
      </c>
      <c r="AK118">
        <f t="shared" si="34"/>
        <v>-0.1812961908462154</v>
      </c>
      <c r="AL118">
        <f t="shared" si="35"/>
        <v>0</v>
      </c>
      <c r="AM118">
        <f t="shared" si="36"/>
        <v>0</v>
      </c>
      <c r="AN118">
        <f t="shared" si="37"/>
        <v>0</v>
      </c>
      <c r="AO118">
        <f t="shared" si="38"/>
        <v>0</v>
      </c>
      <c r="AP118">
        <f t="shared" si="39"/>
        <v>0</v>
      </c>
      <c r="AQ118">
        <f t="shared" si="40"/>
        <v>0</v>
      </c>
      <c r="AR118">
        <f t="shared" si="41"/>
        <v>0</v>
      </c>
    </row>
    <row r="119" spans="1:44" x14ac:dyDescent="0.25">
      <c r="A119" s="14">
        <v>46022</v>
      </c>
      <c r="B119">
        <v>139.84769778751667</v>
      </c>
      <c r="C119">
        <v>144.98449505097366</v>
      </c>
      <c r="D119">
        <v>123.40676558081833</v>
      </c>
      <c r="E119">
        <v>147.21304703282601</v>
      </c>
      <c r="F119">
        <v>143.43158365664303</v>
      </c>
      <c r="G119">
        <v>124.406993625732</v>
      </c>
      <c r="H119">
        <v>193.70000748203401</v>
      </c>
      <c r="I119">
        <v>154.36457447399667</v>
      </c>
      <c r="J119">
        <v>139.784107563296</v>
      </c>
      <c r="K119">
        <v>1.0048143678035899</v>
      </c>
      <c r="L119">
        <v>84.160324242424196</v>
      </c>
      <c r="M119" s="15">
        <f>+'[3]VAR expectations'!C143</f>
        <v>7.2128482156615119</v>
      </c>
      <c r="N119">
        <v>0.1119962</v>
      </c>
      <c r="O119">
        <v>9.7460178220928104E-2</v>
      </c>
      <c r="P119">
        <v>286.36329999999998</v>
      </c>
      <c r="Q119">
        <v>61.652700000000003</v>
      </c>
      <c r="R119">
        <v>500.83539999999999</v>
      </c>
      <c r="S119">
        <v>112.5699</v>
      </c>
      <c r="T119">
        <v>20.052600000000002</v>
      </c>
      <c r="U119">
        <v>18.5261</v>
      </c>
      <c r="V119">
        <f t="shared" si="23"/>
        <v>151.14859999999999</v>
      </c>
      <c r="X119">
        <f t="shared" si="24"/>
        <v>0.75224060968898243</v>
      </c>
      <c r="Y119">
        <f t="shared" si="42"/>
        <v>1.2020912503976433</v>
      </c>
      <c r="Z119">
        <f t="shared" si="43"/>
        <v>0.2264480960610058</v>
      </c>
      <c r="AA119">
        <f t="shared" si="44"/>
        <v>1.070315663459354</v>
      </c>
      <c r="AB119">
        <f t="shared" si="25"/>
        <v>0.88302440035636209</v>
      </c>
      <c r="AC119">
        <f t="shared" si="26"/>
        <v>0.83253715410634754</v>
      </c>
      <c r="AD119">
        <f t="shared" si="27"/>
        <v>1.4271537525866904</v>
      </c>
      <c r="AE119">
        <f t="shared" si="28"/>
        <v>1.9367134212059796</v>
      </c>
      <c r="AF119">
        <f t="shared" si="29"/>
        <v>0.85495161027500899</v>
      </c>
      <c r="AG119">
        <f t="shared" si="30"/>
        <v>1.8721620735423938E-2</v>
      </c>
      <c r="AH119">
        <f t="shared" si="31"/>
        <v>-0.84035000000000082</v>
      </c>
      <c r="AI119">
        <f t="shared" si="32"/>
        <v>3.2437374066230094</v>
      </c>
      <c r="AJ119">
        <f t="shared" si="33"/>
        <v>-6.1859629241489009E-2</v>
      </c>
      <c r="AK119">
        <f t="shared" si="34"/>
        <v>0.23770911060434813</v>
      </c>
      <c r="AL119">
        <f t="shared" si="35"/>
        <v>0</v>
      </c>
      <c r="AM119">
        <f t="shared" si="36"/>
        <v>0</v>
      </c>
      <c r="AN119">
        <f t="shared" si="37"/>
        <v>0</v>
      </c>
      <c r="AO119">
        <f t="shared" si="38"/>
        <v>0</v>
      </c>
      <c r="AP119">
        <f t="shared" si="39"/>
        <v>0</v>
      </c>
      <c r="AQ119">
        <f t="shared" si="40"/>
        <v>0</v>
      </c>
      <c r="AR119">
        <f t="shared" si="41"/>
        <v>0</v>
      </c>
    </row>
    <row r="120" spans="1:44" x14ac:dyDescent="0.25">
      <c r="A120" s="14">
        <v>46112</v>
      </c>
      <c r="B120">
        <v>140.89011318576533</v>
      </c>
      <c r="C120">
        <v>146.55774137733101</v>
      </c>
      <c r="D120">
        <v>123.576506834233</v>
      </c>
      <c r="E120">
        <v>147.97730557310334</v>
      </c>
      <c r="F120">
        <v>144.19076339892868</v>
      </c>
      <c r="G120">
        <v>123.052083490431</v>
      </c>
      <c r="H120">
        <v>198.54377838412969</v>
      </c>
      <c r="I120">
        <v>155.57223430815199</v>
      </c>
      <c r="J120">
        <v>140.96859532877701</v>
      </c>
      <c r="K120">
        <v>1.0026831227361801</v>
      </c>
      <c r="L120">
        <v>84.782439062500004</v>
      </c>
      <c r="M120" s="15">
        <f>+'[3]VAR expectations'!C144</f>
        <v>5.4496808271530108</v>
      </c>
      <c r="N120">
        <v>8.20304116706497E-2</v>
      </c>
      <c r="O120">
        <v>8.1472436362840003E-2</v>
      </c>
      <c r="P120">
        <v>277.11993333333328</v>
      </c>
      <c r="Q120">
        <v>58.344600000000007</v>
      </c>
      <c r="R120">
        <v>518.13319999999987</v>
      </c>
      <c r="S120">
        <v>109.45673333333333</v>
      </c>
      <c r="T120">
        <v>20.782733333333333</v>
      </c>
      <c r="U120">
        <v>16.162800000000001</v>
      </c>
      <c r="V120">
        <f t="shared" si="23"/>
        <v>146.40226666666666</v>
      </c>
      <c r="X120">
        <f t="shared" si="24"/>
        <v>1.0424153982486644</v>
      </c>
      <c r="Y120">
        <f t="shared" si="42"/>
        <v>1.5732463263573493</v>
      </c>
      <c r="Z120">
        <f t="shared" si="43"/>
        <v>0.16974125341467072</v>
      </c>
      <c r="AA120">
        <f t="shared" si="44"/>
        <v>0.76425854027732498</v>
      </c>
      <c r="AB120">
        <f t="shared" si="25"/>
        <v>0.75917974228565299</v>
      </c>
      <c r="AC120">
        <f t="shared" si="26"/>
        <v>-1.3549101353009974</v>
      </c>
      <c r="AD120">
        <f t="shared" si="27"/>
        <v>4.8437709020956845</v>
      </c>
      <c r="AE120">
        <f t="shared" si="28"/>
        <v>1.2076598341553222</v>
      </c>
      <c r="AF120">
        <f t="shared" si="29"/>
        <v>1.1844877654810091</v>
      </c>
      <c r="AG120">
        <f t="shared" si="30"/>
        <v>-2.1312450674098038E-3</v>
      </c>
      <c r="AH120">
        <f t="shared" si="31"/>
        <v>0.62211482007580798</v>
      </c>
      <c r="AI120">
        <f t="shared" si="32"/>
        <v>1.6026240921737314</v>
      </c>
      <c r="AJ120">
        <f t="shared" si="33"/>
        <v>-2.9965788329350304E-2</v>
      </c>
      <c r="AK120">
        <f t="shared" si="34"/>
        <v>-1.59877418580881E-2</v>
      </c>
      <c r="AL120">
        <f t="shared" si="35"/>
        <v>-9.2433666666667023</v>
      </c>
      <c r="AM120">
        <f t="shared" si="36"/>
        <v>-3.308099999999996</v>
      </c>
      <c r="AN120">
        <f t="shared" si="37"/>
        <v>17.297799999999881</v>
      </c>
      <c r="AO120">
        <f t="shared" si="38"/>
        <v>-3.1131666666666717</v>
      </c>
      <c r="AP120">
        <f t="shared" si="39"/>
        <v>0.73013333333333108</v>
      </c>
      <c r="AQ120">
        <f t="shared" si="40"/>
        <v>-2.3632999999999988</v>
      </c>
      <c r="AR120">
        <f t="shared" si="41"/>
        <v>-4.7463333333333253</v>
      </c>
    </row>
    <row r="121" spans="1:44" x14ac:dyDescent="0.25">
      <c r="A121" s="14">
        <v>46203</v>
      </c>
      <c r="B121">
        <v>142.17688398956633</v>
      </c>
      <c r="C121">
        <v>147.61775133787967</v>
      </c>
      <c r="D121">
        <v>123.96744171654666</v>
      </c>
      <c r="E121">
        <v>149.50397975256399</v>
      </c>
      <c r="F121">
        <v>145.93077251103333</v>
      </c>
      <c r="G121">
        <v>123.61603258953666</v>
      </c>
      <c r="H121">
        <v>201.25939295992498</v>
      </c>
      <c r="I121">
        <v>165.17818160477432</v>
      </c>
      <c r="J121">
        <v>142.34484745777499</v>
      </c>
      <c r="K121">
        <v>1.03470568254168</v>
      </c>
      <c r="L121">
        <v>83.852547542572495</v>
      </c>
      <c r="M121" s="15">
        <f>+'[3]VAR expectations'!C145</f>
        <v>4.9659010810981856</v>
      </c>
      <c r="N121">
        <v>0.46770181567943597</v>
      </c>
      <c r="O121">
        <v>0.41784976947829</v>
      </c>
      <c r="P121">
        <v>276.51159999999993</v>
      </c>
      <c r="Q121">
        <v>58.350900000000003</v>
      </c>
      <c r="R121">
        <v>518.36659999999995</v>
      </c>
      <c r="S121">
        <v>109.60590000000001</v>
      </c>
      <c r="T121">
        <v>20.937899999999999</v>
      </c>
      <c r="U121">
        <v>16.2271</v>
      </c>
      <c r="V121">
        <f t="shared" si="23"/>
        <v>146.77090000000001</v>
      </c>
      <c r="X121">
        <f t="shared" si="24"/>
        <v>1.2867708038010051</v>
      </c>
      <c r="Y121">
        <f t="shared" si="42"/>
        <v>1.0600099605486548</v>
      </c>
      <c r="Z121">
        <f t="shared" si="43"/>
        <v>0.39093488231365825</v>
      </c>
      <c r="AA121">
        <f t="shared" si="44"/>
        <v>1.526674179460656</v>
      </c>
      <c r="AB121">
        <f t="shared" si="25"/>
        <v>1.7400091121046444</v>
      </c>
      <c r="AC121">
        <f t="shared" si="26"/>
        <v>0.56394909910565616</v>
      </c>
      <c r="AD121">
        <f t="shared" si="27"/>
        <v>2.7156145757952856</v>
      </c>
      <c r="AE121">
        <f t="shared" si="28"/>
        <v>9.6059472966223325</v>
      </c>
      <c r="AF121">
        <f t="shared" si="29"/>
        <v>1.3762521289979759</v>
      </c>
      <c r="AG121">
        <f t="shared" si="30"/>
        <v>3.2022559805499951E-2</v>
      </c>
      <c r="AH121">
        <f t="shared" si="31"/>
        <v>-0.92989151992750863</v>
      </c>
      <c r="AI121">
        <f t="shared" si="32"/>
        <v>0.80199195197642226</v>
      </c>
      <c r="AJ121">
        <f t="shared" si="33"/>
        <v>0.3856714040087863</v>
      </c>
      <c r="AK121">
        <f t="shared" si="34"/>
        <v>0.33637733311544998</v>
      </c>
      <c r="AL121">
        <f t="shared" si="35"/>
        <v>-0.60833333333334849</v>
      </c>
      <c r="AM121">
        <f t="shared" si="36"/>
        <v>6.2999999999959755E-3</v>
      </c>
      <c r="AN121">
        <f t="shared" si="37"/>
        <v>0.23340000000007421</v>
      </c>
      <c r="AO121">
        <f t="shared" si="38"/>
        <v>0.14916666666667311</v>
      </c>
      <c r="AP121">
        <f t="shared" si="39"/>
        <v>0.15516666666666623</v>
      </c>
      <c r="AQ121">
        <f t="shared" si="40"/>
        <v>6.4299999999999358E-2</v>
      </c>
      <c r="AR121">
        <f t="shared" si="41"/>
        <v>0.36863333333334936</v>
      </c>
    </row>
    <row r="122" spans="1:44" x14ac:dyDescent="0.25">
      <c r="A122" s="14">
        <v>46295</v>
      </c>
      <c r="B122">
        <v>143.739508018078</v>
      </c>
      <c r="C122">
        <v>148.92058350320198</v>
      </c>
      <c r="D122">
        <v>124.47896005002734</v>
      </c>
      <c r="E122">
        <v>151.74457930821367</v>
      </c>
      <c r="F122">
        <v>148.39397242089967</v>
      </c>
      <c r="G122">
        <v>124.52848919332399</v>
      </c>
      <c r="H122">
        <v>203.06582905204769</v>
      </c>
      <c r="I122">
        <v>168.52415136763133</v>
      </c>
      <c r="J122">
        <v>143.576397728773</v>
      </c>
      <c r="K122">
        <v>1.03126921064787</v>
      </c>
      <c r="L122">
        <v>83.739870212059401</v>
      </c>
      <c r="M122" s="15">
        <f>+'[3]VAR expectations'!C146</f>
        <v>4.3007323969777262</v>
      </c>
      <c r="N122">
        <v>0.62946641974350404</v>
      </c>
      <c r="O122">
        <v>2.7533676138149901E-2</v>
      </c>
      <c r="P122">
        <v>276.51159999999993</v>
      </c>
      <c r="Q122">
        <v>58.350900000000003</v>
      </c>
      <c r="R122">
        <v>518.36659999999995</v>
      </c>
      <c r="S122">
        <v>109.60590000000001</v>
      </c>
      <c r="T122">
        <v>20.937899999999999</v>
      </c>
      <c r="U122">
        <v>16.2271</v>
      </c>
      <c r="V122">
        <f t="shared" si="23"/>
        <v>146.77090000000001</v>
      </c>
      <c r="X122">
        <f t="shared" si="24"/>
        <v>1.5626240285116637</v>
      </c>
      <c r="Y122">
        <f t="shared" si="42"/>
        <v>1.3028321653223145</v>
      </c>
      <c r="Z122">
        <f t="shared" si="43"/>
        <v>0.5115183334806801</v>
      </c>
      <c r="AA122">
        <f t="shared" si="44"/>
        <v>2.2405995556496805</v>
      </c>
      <c r="AB122">
        <f t="shared" si="25"/>
        <v>2.4631999098663471</v>
      </c>
      <c r="AC122">
        <f t="shared" si="26"/>
        <v>0.91245660378733362</v>
      </c>
      <c r="AD122">
        <f t="shared" si="27"/>
        <v>1.8064360921227092</v>
      </c>
      <c r="AE122">
        <f t="shared" si="28"/>
        <v>3.3459697628570098</v>
      </c>
      <c r="AF122">
        <f t="shared" si="29"/>
        <v>1.2315502709980137</v>
      </c>
      <c r="AG122">
        <f t="shared" si="30"/>
        <v>-3.4364718938100225E-3</v>
      </c>
      <c r="AH122">
        <f t="shared" si="31"/>
        <v>-0.11267733051309392</v>
      </c>
      <c r="AI122">
        <f t="shared" si="32"/>
        <v>-1.109732722438963</v>
      </c>
      <c r="AJ122">
        <f t="shared" si="33"/>
        <v>0.16176460406406806</v>
      </c>
      <c r="AK122">
        <f t="shared" si="34"/>
        <v>-0.39031609334014011</v>
      </c>
      <c r="AL122">
        <f t="shared" si="35"/>
        <v>0</v>
      </c>
      <c r="AM122">
        <f t="shared" si="36"/>
        <v>0</v>
      </c>
      <c r="AN122">
        <f t="shared" si="37"/>
        <v>0</v>
      </c>
      <c r="AO122">
        <f t="shared" si="38"/>
        <v>0</v>
      </c>
      <c r="AP122">
        <f t="shared" si="39"/>
        <v>0</v>
      </c>
      <c r="AQ122">
        <f t="shared" si="40"/>
        <v>0</v>
      </c>
      <c r="AR122">
        <f t="shared" si="41"/>
        <v>0</v>
      </c>
    </row>
    <row r="123" spans="1:44" x14ac:dyDescent="0.25">
      <c r="A123" s="14">
        <v>46387</v>
      </c>
      <c r="B123">
        <v>144.99550409639835</v>
      </c>
      <c r="C123">
        <v>150.69589000548399</v>
      </c>
      <c r="D123">
        <v>125.00435843674568</v>
      </c>
      <c r="E123">
        <v>155.70181660089335</v>
      </c>
      <c r="F123">
        <v>151.43452849278165</v>
      </c>
      <c r="G123">
        <v>124.92840642016832</v>
      </c>
      <c r="H123">
        <v>220.13614424077198</v>
      </c>
      <c r="I123">
        <v>166.03112379057998</v>
      </c>
      <c r="J123">
        <v>144.90812892177101</v>
      </c>
      <c r="K123">
        <v>1.02108565765283</v>
      </c>
      <c r="L123">
        <v>83.626772015095</v>
      </c>
      <c r="M123" s="15">
        <f>+'[3]VAR expectations'!C147</f>
        <v>3.8582721147576735</v>
      </c>
      <c r="N123">
        <v>0.43966995093679601</v>
      </c>
      <c r="O123">
        <v>-8.6012428087150206E-2</v>
      </c>
      <c r="P123">
        <v>276.51159999999993</v>
      </c>
      <c r="Q123">
        <v>58.350900000000003</v>
      </c>
      <c r="R123">
        <v>518.36659999999995</v>
      </c>
      <c r="S123">
        <v>109.60590000000001</v>
      </c>
      <c r="T123">
        <v>20.937899999999999</v>
      </c>
      <c r="U123">
        <v>16.2271</v>
      </c>
      <c r="V123">
        <f t="shared" si="23"/>
        <v>146.77090000000001</v>
      </c>
      <c r="X123">
        <f t="shared" si="24"/>
        <v>1.2559960783203508</v>
      </c>
      <c r="Y123">
        <f t="shared" si="42"/>
        <v>1.7753065022820067</v>
      </c>
      <c r="Z123">
        <f t="shared" si="43"/>
        <v>0.5253983867183365</v>
      </c>
      <c r="AA123">
        <f t="shared" si="44"/>
        <v>3.9572372926796788</v>
      </c>
      <c r="AB123">
        <f t="shared" si="25"/>
        <v>3.04055607188198</v>
      </c>
      <c r="AC123">
        <f t="shared" si="26"/>
        <v>0.39991722684432318</v>
      </c>
      <c r="AD123">
        <f t="shared" si="27"/>
        <v>17.070315188724294</v>
      </c>
      <c r="AE123">
        <f t="shared" si="28"/>
        <v>-2.4930275770513504</v>
      </c>
      <c r="AF123">
        <f t="shared" si="29"/>
        <v>1.3317311929980065</v>
      </c>
      <c r="AG123">
        <f t="shared" si="30"/>
        <v>-1.0183552995040035E-2</v>
      </c>
      <c r="AH123">
        <f t="shared" si="31"/>
        <v>-0.11309819696440115</v>
      </c>
      <c r="AI123">
        <f t="shared" si="32"/>
        <v>-1.0556975452623054</v>
      </c>
      <c r="AJ123">
        <f t="shared" si="33"/>
        <v>-0.18979646880670803</v>
      </c>
      <c r="AK123">
        <f t="shared" si="34"/>
        <v>-0.11354610422530011</v>
      </c>
      <c r="AL123">
        <f t="shared" si="35"/>
        <v>0</v>
      </c>
      <c r="AM123">
        <f t="shared" si="36"/>
        <v>0</v>
      </c>
      <c r="AN123">
        <f t="shared" si="37"/>
        <v>0</v>
      </c>
      <c r="AO123">
        <f t="shared" si="38"/>
        <v>0</v>
      </c>
      <c r="AP123">
        <f t="shared" si="39"/>
        <v>0</v>
      </c>
      <c r="AQ123">
        <f t="shared" si="40"/>
        <v>0</v>
      </c>
      <c r="AR123">
        <f t="shared" si="41"/>
        <v>0</v>
      </c>
    </row>
    <row r="124" spans="1:44" x14ac:dyDescent="0.25">
      <c r="A124" s="14">
        <v>46477</v>
      </c>
      <c r="I124">
        <v>164.99159620008598</v>
      </c>
      <c r="J124">
        <v>145.85027265183999</v>
      </c>
      <c r="K124">
        <v>1.0159086217453499</v>
      </c>
      <c r="L124">
        <v>83.511782227374596</v>
      </c>
      <c r="M124" s="15">
        <f>+'[3]VAR expectations'!C148</f>
        <v>3.6255376960251078</v>
      </c>
      <c r="N124">
        <v>0.35352551299761398</v>
      </c>
      <c r="O124">
        <v>1.8190339041983299E-4</v>
      </c>
      <c r="P124">
        <v>277.11993333333328</v>
      </c>
      <c r="Q124">
        <v>58.344600000000007</v>
      </c>
      <c r="R124">
        <v>518.13319999999987</v>
      </c>
      <c r="S124">
        <v>109.45673333333333</v>
      </c>
      <c r="T124">
        <v>20.782733333333333</v>
      </c>
      <c r="U124">
        <v>16.162800000000001</v>
      </c>
      <c r="V124">
        <f t="shared" si="23"/>
        <v>146.40226666666666</v>
      </c>
      <c r="X124">
        <f t="shared" si="24"/>
        <v>-144.99550409639835</v>
      </c>
      <c r="Y124">
        <f t="shared" si="42"/>
        <v>-150.69589000548399</v>
      </c>
      <c r="Z124">
        <f t="shared" si="43"/>
        <v>-125.00435843674568</v>
      </c>
      <c r="AA124">
        <f t="shared" si="44"/>
        <v>-155.70181660089335</v>
      </c>
      <c r="AB124">
        <f t="shared" si="25"/>
        <v>-151.43452849278165</v>
      </c>
      <c r="AC124">
        <f t="shared" si="26"/>
        <v>-124.92840642016832</v>
      </c>
      <c r="AD124">
        <f t="shared" si="27"/>
        <v>-220.13614424077198</v>
      </c>
      <c r="AE124">
        <f t="shared" si="28"/>
        <v>-1.0395275904940036</v>
      </c>
      <c r="AF124">
        <f t="shared" si="29"/>
        <v>0.94214373006897745</v>
      </c>
      <c r="AG124">
        <f t="shared" si="30"/>
        <v>-5.1770359074800876E-3</v>
      </c>
      <c r="AH124">
        <f t="shared" si="31"/>
        <v>-0.11498978772040402</v>
      </c>
      <c r="AI124">
        <f t="shared" si="32"/>
        <v>-0.3756135138450607</v>
      </c>
      <c r="AJ124">
        <f t="shared" si="33"/>
        <v>-8.6144437939182028E-2</v>
      </c>
      <c r="AK124">
        <f t="shared" si="34"/>
        <v>8.6194331477570038E-2</v>
      </c>
      <c r="AL124">
        <f t="shared" si="35"/>
        <v>0.60833333333334849</v>
      </c>
      <c r="AM124">
        <f t="shared" si="36"/>
        <v>-6.2999999999959755E-3</v>
      </c>
      <c r="AN124">
        <f t="shared" si="37"/>
        <v>-0.23340000000007421</v>
      </c>
      <c r="AO124">
        <f t="shared" si="38"/>
        <v>-0.14916666666667311</v>
      </c>
      <c r="AP124">
        <f t="shared" si="39"/>
        <v>-0.15516666666666623</v>
      </c>
      <c r="AQ124">
        <f t="shared" si="40"/>
        <v>-6.4299999999999358E-2</v>
      </c>
      <c r="AR124">
        <f t="shared" si="41"/>
        <v>-0.36863333333334936</v>
      </c>
    </row>
    <row r="125" spans="1:44" x14ac:dyDescent="0.25">
      <c r="A125" s="14">
        <v>46568</v>
      </c>
      <c r="I125">
        <v>162.6478364146233</v>
      </c>
      <c r="J125">
        <v>146.61458563050601</v>
      </c>
      <c r="K125">
        <v>1.0126519664022899</v>
      </c>
      <c r="L125">
        <v>83.394217743676407</v>
      </c>
      <c r="M125" s="15">
        <f>+'[3]VAR expectations'!C149</f>
        <v>2.979353541970323</v>
      </c>
      <c r="N125">
        <v>-0.10110608693769101</v>
      </c>
      <c r="O125">
        <v>-3.4253926787450102E-2</v>
      </c>
      <c r="P125">
        <v>276.51159999999993</v>
      </c>
      <c r="Q125">
        <v>58.350900000000003</v>
      </c>
      <c r="R125">
        <v>518.36659999999995</v>
      </c>
      <c r="S125">
        <v>109.60590000000001</v>
      </c>
      <c r="T125">
        <v>20.937899999999999</v>
      </c>
      <c r="U125">
        <v>16.2271</v>
      </c>
      <c r="V125">
        <f t="shared" si="23"/>
        <v>146.77090000000001</v>
      </c>
      <c r="X125">
        <f t="shared" si="24"/>
        <v>0</v>
      </c>
      <c r="Y125">
        <f t="shared" si="42"/>
        <v>0</v>
      </c>
      <c r="Z125">
        <f t="shared" si="43"/>
        <v>0</v>
      </c>
      <c r="AA125">
        <f t="shared" si="44"/>
        <v>0</v>
      </c>
      <c r="AB125">
        <f t="shared" si="25"/>
        <v>0</v>
      </c>
      <c r="AC125">
        <f t="shared" si="26"/>
        <v>0</v>
      </c>
      <c r="AD125">
        <f t="shared" si="27"/>
        <v>0</v>
      </c>
      <c r="AE125">
        <f t="shared" si="28"/>
        <v>-2.3437597854626802</v>
      </c>
      <c r="AF125">
        <f t="shared" si="29"/>
        <v>0.76431297866602677</v>
      </c>
      <c r="AG125">
        <f t="shared" si="30"/>
        <v>-3.2566553430599665E-3</v>
      </c>
      <c r="AH125">
        <f t="shared" si="31"/>
        <v>-0.11756448369818884</v>
      </c>
      <c r="AI125">
        <f t="shared" si="32"/>
        <v>-0.39217652484736121</v>
      </c>
      <c r="AJ125">
        <f t="shared" si="33"/>
        <v>-0.454631599935305</v>
      </c>
      <c r="AK125">
        <f t="shared" si="34"/>
        <v>-3.4435830177869949E-2</v>
      </c>
      <c r="AL125">
        <f t="shared" si="35"/>
        <v>-0.60833333333334849</v>
      </c>
      <c r="AM125">
        <f t="shared" si="36"/>
        <v>6.2999999999959755E-3</v>
      </c>
      <c r="AN125">
        <f t="shared" si="37"/>
        <v>0.23340000000007421</v>
      </c>
      <c r="AO125">
        <f t="shared" si="38"/>
        <v>0.14916666666667311</v>
      </c>
      <c r="AP125">
        <f t="shared" si="39"/>
        <v>0.15516666666666623</v>
      </c>
      <c r="AQ125">
        <f t="shared" si="40"/>
        <v>6.4299999999999358E-2</v>
      </c>
      <c r="AR125">
        <f t="shared" si="41"/>
        <v>0.36863333333334936</v>
      </c>
    </row>
    <row r="126" spans="1:44" x14ac:dyDescent="0.25">
      <c r="A126" s="14">
        <v>46660</v>
      </c>
      <c r="I126">
        <v>161.60506776520634</v>
      </c>
      <c r="J126">
        <v>147.160073363885</v>
      </c>
      <c r="K126">
        <v>1.01034866830139</v>
      </c>
      <c r="L126">
        <v>83.272276764652105</v>
      </c>
      <c r="M126" s="15">
        <f>+'[3]VAR expectations'!C150</f>
        <v>2.9717312535901965</v>
      </c>
      <c r="N126">
        <v>-0.23265208863300799</v>
      </c>
      <c r="O126">
        <v>-0.10587901821204999</v>
      </c>
      <c r="P126">
        <v>276.51159999999993</v>
      </c>
      <c r="Q126">
        <v>58.350900000000003</v>
      </c>
      <c r="R126">
        <v>518.36659999999995</v>
      </c>
      <c r="S126">
        <v>109.60590000000001</v>
      </c>
      <c r="T126">
        <v>20.937899999999999</v>
      </c>
      <c r="U126">
        <v>16.2271</v>
      </c>
      <c r="V126">
        <f t="shared" si="23"/>
        <v>146.77090000000001</v>
      </c>
      <c r="X126">
        <f t="shared" si="24"/>
        <v>0</v>
      </c>
      <c r="Y126">
        <f t="shared" si="42"/>
        <v>0</v>
      </c>
      <c r="Z126">
        <f t="shared" si="43"/>
        <v>0</v>
      </c>
      <c r="AA126">
        <f t="shared" si="44"/>
        <v>0</v>
      </c>
      <c r="AB126">
        <f t="shared" si="25"/>
        <v>0</v>
      </c>
      <c r="AC126">
        <f t="shared" si="26"/>
        <v>0</v>
      </c>
      <c r="AD126">
        <f t="shared" si="27"/>
        <v>0</v>
      </c>
      <c r="AE126">
        <f t="shared" si="28"/>
        <v>-1.0427686494169564</v>
      </c>
      <c r="AF126">
        <f t="shared" si="29"/>
        <v>0.54548773337899092</v>
      </c>
      <c r="AG126">
        <f t="shared" si="30"/>
        <v>-2.3032981008999087E-3</v>
      </c>
      <c r="AH126">
        <f t="shared" si="31"/>
        <v>-0.12194097902430201</v>
      </c>
      <c r="AI126">
        <f t="shared" si="32"/>
        <v>3.9759708676787575E-2</v>
      </c>
      <c r="AJ126">
        <f t="shared" si="33"/>
        <v>-0.13154600169531699</v>
      </c>
      <c r="AK126">
        <f t="shared" si="34"/>
        <v>-7.1625091424599885E-2</v>
      </c>
      <c r="AL126">
        <f t="shared" si="35"/>
        <v>0</v>
      </c>
      <c r="AM126">
        <f t="shared" si="36"/>
        <v>0</v>
      </c>
      <c r="AN126">
        <f t="shared" si="37"/>
        <v>0</v>
      </c>
      <c r="AO126">
        <f t="shared" si="38"/>
        <v>0</v>
      </c>
      <c r="AP126">
        <f t="shared" si="39"/>
        <v>0</v>
      </c>
      <c r="AQ126">
        <f t="shared" si="40"/>
        <v>0</v>
      </c>
      <c r="AR126">
        <f t="shared" si="41"/>
        <v>0</v>
      </c>
    </row>
    <row r="127" spans="1:44" x14ac:dyDescent="0.25">
      <c r="A127" s="14">
        <v>46752</v>
      </c>
      <c r="I127">
        <v>159.57272865145001</v>
      </c>
      <c r="J127">
        <v>147.70275880738399</v>
      </c>
      <c r="K127">
        <v>1.00825272538385</v>
      </c>
      <c r="L127">
        <v>83.146696505323803</v>
      </c>
      <c r="M127" s="15">
        <f>+'[3]VAR expectations'!C151</f>
        <v>3.468785277541127</v>
      </c>
      <c r="N127">
        <v>-0.22557547231543701</v>
      </c>
      <c r="O127">
        <v>-8.0643982069679904E-2</v>
      </c>
      <c r="P127">
        <v>276.51159999999993</v>
      </c>
      <c r="Q127">
        <v>58.350900000000003</v>
      </c>
      <c r="R127">
        <v>518.36659999999995</v>
      </c>
      <c r="S127">
        <v>109.60590000000001</v>
      </c>
      <c r="T127">
        <v>20.937899999999999</v>
      </c>
      <c r="U127">
        <v>16.2271</v>
      </c>
      <c r="V127">
        <f t="shared" si="23"/>
        <v>146.77090000000001</v>
      </c>
      <c r="X127">
        <f t="shared" si="24"/>
        <v>0</v>
      </c>
      <c r="Y127">
        <f t="shared" si="42"/>
        <v>0</v>
      </c>
      <c r="Z127">
        <f t="shared" si="43"/>
        <v>0</v>
      </c>
      <c r="AA127">
        <f t="shared" si="44"/>
        <v>0</v>
      </c>
      <c r="AB127">
        <f t="shared" si="25"/>
        <v>0</v>
      </c>
      <c r="AC127">
        <f t="shared" si="26"/>
        <v>0</v>
      </c>
      <c r="AD127">
        <f t="shared" si="27"/>
        <v>0</v>
      </c>
      <c r="AE127">
        <f t="shared" si="28"/>
        <v>-2.0323391137563362</v>
      </c>
      <c r="AF127">
        <f t="shared" si="29"/>
        <v>0.54268544349898207</v>
      </c>
      <c r="AG127">
        <f t="shared" si="30"/>
        <v>-2.0959429175400057E-3</v>
      </c>
      <c r="AH127">
        <f t="shared" si="31"/>
        <v>-0.12558025932830219</v>
      </c>
      <c r="AI127">
        <f t="shared" si="32"/>
        <v>0.84472644364675498</v>
      </c>
      <c r="AJ127">
        <f t="shared" si="33"/>
        <v>7.0766163175709773E-3</v>
      </c>
      <c r="AK127">
        <f t="shared" si="34"/>
        <v>2.523503614237009E-2</v>
      </c>
      <c r="AL127">
        <f t="shared" si="35"/>
        <v>0</v>
      </c>
      <c r="AM127">
        <f t="shared" si="36"/>
        <v>0</v>
      </c>
      <c r="AN127">
        <f t="shared" si="37"/>
        <v>0</v>
      </c>
      <c r="AO127">
        <f t="shared" si="38"/>
        <v>0</v>
      </c>
      <c r="AP127">
        <f t="shared" si="39"/>
        <v>0</v>
      </c>
      <c r="AQ127">
        <f t="shared" si="40"/>
        <v>0</v>
      </c>
      <c r="AR127">
        <f t="shared" si="41"/>
        <v>0</v>
      </c>
    </row>
    <row r="128" spans="1:44" x14ac:dyDescent="0.25">
      <c r="A128" s="14">
        <v>46843</v>
      </c>
      <c r="I128">
        <v>157.00167776002502</v>
      </c>
      <c r="J128">
        <v>148.23762334590799</v>
      </c>
      <c r="K128">
        <v>1.00659242366188</v>
      </c>
      <c r="L128">
        <v>83.019750750202704</v>
      </c>
      <c r="M128" s="15">
        <f>+'[3]VAR expectations'!C152</f>
        <v>3.8021957884789486</v>
      </c>
      <c r="N128">
        <v>-0.292579106135544</v>
      </c>
      <c r="O128">
        <v>-7.1473628390959901E-2</v>
      </c>
      <c r="P128">
        <v>277.11993333333328</v>
      </c>
      <c r="Q128">
        <v>58.344600000000007</v>
      </c>
      <c r="R128">
        <v>518.13319999999987</v>
      </c>
      <c r="S128">
        <v>109.45673333333333</v>
      </c>
      <c r="T128">
        <v>20.782733333333333</v>
      </c>
      <c r="U128">
        <v>16.162800000000001</v>
      </c>
      <c r="V128">
        <f t="shared" si="23"/>
        <v>146.40226666666666</v>
      </c>
      <c r="X128">
        <f t="shared" si="24"/>
        <v>0</v>
      </c>
      <c r="Y128">
        <f t="shared" si="42"/>
        <v>0</v>
      </c>
      <c r="Z128">
        <f t="shared" si="43"/>
        <v>0</v>
      </c>
      <c r="AA128">
        <f t="shared" si="44"/>
        <v>0</v>
      </c>
      <c r="AB128">
        <f t="shared" si="25"/>
        <v>0</v>
      </c>
      <c r="AC128">
        <f t="shared" si="26"/>
        <v>0</v>
      </c>
      <c r="AD128">
        <f t="shared" si="27"/>
        <v>0</v>
      </c>
      <c r="AE128">
        <f t="shared" si="28"/>
        <v>-2.5710508914249885</v>
      </c>
      <c r="AF128">
        <f t="shared" si="29"/>
        <v>0.53486453852400473</v>
      </c>
      <c r="AG128">
        <f t="shared" si="30"/>
        <v>-1.66030172197007E-3</v>
      </c>
      <c r="AH128">
        <f t="shared" si="31"/>
        <v>-0.12694575512109907</v>
      </c>
      <c r="AI128">
        <f t="shared" si="32"/>
        <v>1.3334801319091749</v>
      </c>
      <c r="AJ128">
        <f t="shared" si="33"/>
        <v>-6.7003633820106989E-2</v>
      </c>
      <c r="AK128">
        <f t="shared" si="34"/>
        <v>9.170353678720003E-3</v>
      </c>
      <c r="AL128">
        <f t="shared" si="35"/>
        <v>0.60833333333334849</v>
      </c>
      <c r="AM128">
        <f t="shared" si="36"/>
        <v>-6.2999999999959755E-3</v>
      </c>
      <c r="AN128">
        <f t="shared" si="37"/>
        <v>-0.23340000000007421</v>
      </c>
      <c r="AO128">
        <f t="shared" si="38"/>
        <v>-0.14916666666667311</v>
      </c>
      <c r="AP128">
        <f t="shared" si="39"/>
        <v>-0.15516666666666623</v>
      </c>
      <c r="AQ128">
        <f t="shared" si="40"/>
        <v>-6.4299999999999358E-2</v>
      </c>
      <c r="AR128">
        <f t="shared" si="41"/>
        <v>-0.36863333333334936</v>
      </c>
    </row>
    <row r="129" spans="1:44" x14ac:dyDescent="0.25">
      <c r="A129" s="14">
        <v>46934</v>
      </c>
      <c r="I129">
        <v>154.98879882385665</v>
      </c>
      <c r="J129">
        <v>149.02794682730701</v>
      </c>
      <c r="K129">
        <v>1.00503851607327</v>
      </c>
      <c r="L129">
        <v>82.893671077881507</v>
      </c>
      <c r="M129" s="15">
        <f>+'[3]VAR expectations'!C153</f>
        <v>4.011042611251681</v>
      </c>
      <c r="N129">
        <v>-0.27639477261600398</v>
      </c>
      <c r="O129">
        <v>-2.1510396662669899E-2</v>
      </c>
      <c r="P129">
        <v>276.51159999999993</v>
      </c>
      <c r="Q129">
        <v>58.350900000000003</v>
      </c>
      <c r="R129">
        <v>518.36659999999995</v>
      </c>
      <c r="S129">
        <v>109.60590000000001</v>
      </c>
      <c r="T129">
        <v>20.937899999999999</v>
      </c>
      <c r="U129">
        <v>16.2271</v>
      </c>
      <c r="V129">
        <f t="shared" si="23"/>
        <v>146.77090000000001</v>
      </c>
      <c r="X129">
        <f t="shared" si="24"/>
        <v>0</v>
      </c>
      <c r="Y129">
        <f t="shared" si="42"/>
        <v>0</v>
      </c>
      <c r="Z129">
        <f t="shared" si="43"/>
        <v>0</v>
      </c>
      <c r="AA129">
        <f t="shared" si="44"/>
        <v>0</v>
      </c>
      <c r="AB129">
        <f t="shared" si="25"/>
        <v>0</v>
      </c>
      <c r="AC129">
        <f t="shared" si="26"/>
        <v>0</v>
      </c>
      <c r="AD129">
        <f t="shared" si="27"/>
        <v>0</v>
      </c>
      <c r="AE129">
        <f t="shared" si="28"/>
        <v>-2.012878936168363</v>
      </c>
      <c r="AF129">
        <f t="shared" si="29"/>
        <v>0.79032348139901387</v>
      </c>
      <c r="AG129">
        <f t="shared" si="30"/>
        <v>-1.5539075886099596E-3</v>
      </c>
      <c r="AH129">
        <f t="shared" si="31"/>
        <v>-0.12607967232119677</v>
      </c>
      <c r="AI129">
        <f t="shared" si="32"/>
        <v>1.5837841565094837</v>
      </c>
      <c r="AJ129">
        <f t="shared" si="33"/>
        <v>1.6184333519540017E-2</v>
      </c>
      <c r="AK129">
        <f t="shared" si="34"/>
        <v>4.9963231728290002E-2</v>
      </c>
      <c r="AL129">
        <f t="shared" si="35"/>
        <v>-0.60833333333334849</v>
      </c>
      <c r="AM129">
        <f t="shared" si="36"/>
        <v>6.2999999999959755E-3</v>
      </c>
      <c r="AN129">
        <f t="shared" si="37"/>
        <v>0.23340000000007421</v>
      </c>
      <c r="AO129">
        <f t="shared" si="38"/>
        <v>0.14916666666667311</v>
      </c>
      <c r="AP129">
        <f t="shared" si="39"/>
        <v>0.15516666666666623</v>
      </c>
      <c r="AQ129">
        <f t="shared" si="40"/>
        <v>6.4299999999999358E-2</v>
      </c>
      <c r="AR129">
        <f t="shared" si="41"/>
        <v>0.36863333333334936</v>
      </c>
    </row>
    <row r="130" spans="1:44" x14ac:dyDescent="0.25">
      <c r="A130" s="14">
        <v>47026</v>
      </c>
      <c r="I130">
        <v>156.01777770224967</v>
      </c>
      <c r="J130">
        <v>149.62609821928601</v>
      </c>
      <c r="K130">
        <v>1.0036277909031399</v>
      </c>
      <c r="L130">
        <v>82.769687239930306</v>
      </c>
      <c r="M130" s="15">
        <f>+'[3]VAR expectations'!C154</f>
        <v>3.9691108090385026</v>
      </c>
      <c r="N130">
        <v>-0.18992010659112199</v>
      </c>
      <c r="O130">
        <v>-1.9383107023809999E-2</v>
      </c>
      <c r="P130">
        <v>276.51159999999993</v>
      </c>
      <c r="Q130">
        <v>58.350900000000003</v>
      </c>
      <c r="R130">
        <v>518.36659999999995</v>
      </c>
      <c r="S130">
        <v>109.60590000000001</v>
      </c>
      <c r="T130">
        <v>20.937899999999999</v>
      </c>
      <c r="U130">
        <v>16.2271</v>
      </c>
      <c r="V130">
        <f t="shared" ref="V130:V133" si="45">+S130+T130+U130</f>
        <v>146.77090000000001</v>
      </c>
      <c r="X130">
        <f t="shared" ref="X130:X133" si="46">B130-B268</f>
        <v>0</v>
      </c>
      <c r="Y130">
        <f t="shared" si="42"/>
        <v>0</v>
      </c>
      <c r="Z130">
        <f t="shared" si="43"/>
        <v>0</v>
      </c>
      <c r="AA130">
        <f t="shared" si="44"/>
        <v>0</v>
      </c>
      <c r="AB130">
        <f t="shared" si="25"/>
        <v>0</v>
      </c>
      <c r="AC130">
        <f t="shared" si="26"/>
        <v>0</v>
      </c>
      <c r="AD130">
        <f t="shared" si="27"/>
        <v>0</v>
      </c>
      <c r="AE130">
        <f t="shared" si="28"/>
        <v>1.0289788783930192</v>
      </c>
      <c r="AF130">
        <f t="shared" si="29"/>
        <v>0.5981513919790018</v>
      </c>
      <c r="AG130">
        <f t="shared" si="30"/>
        <v>-1.4107251701300783E-3</v>
      </c>
      <c r="AH130">
        <f t="shared" si="31"/>
        <v>-0.12398383795120083</v>
      </c>
      <c r="AI130">
        <f t="shared" si="32"/>
        <v>1.5185770844361293</v>
      </c>
      <c r="AJ130">
        <f t="shared" si="33"/>
        <v>8.6474666024881991E-2</v>
      </c>
      <c r="AK130">
        <f t="shared" si="34"/>
        <v>2.1272896388599E-3</v>
      </c>
      <c r="AL130">
        <f t="shared" si="35"/>
        <v>0</v>
      </c>
      <c r="AM130">
        <f t="shared" si="36"/>
        <v>0</v>
      </c>
      <c r="AN130">
        <f t="shared" si="37"/>
        <v>0</v>
      </c>
      <c r="AO130">
        <f t="shared" si="38"/>
        <v>0</v>
      </c>
      <c r="AP130">
        <f t="shared" si="39"/>
        <v>0</v>
      </c>
      <c r="AQ130">
        <f t="shared" si="40"/>
        <v>0</v>
      </c>
      <c r="AR130">
        <f t="shared" si="41"/>
        <v>0</v>
      </c>
    </row>
    <row r="131" spans="1:44" x14ac:dyDescent="0.25">
      <c r="A131" s="14">
        <v>47118</v>
      </c>
      <c r="I131">
        <v>156.41787406037233</v>
      </c>
      <c r="J131">
        <v>150.239139540514</v>
      </c>
      <c r="K131">
        <v>1.00235794119012</v>
      </c>
      <c r="L131">
        <v>82.648532501598893</v>
      </c>
      <c r="M131" s="15">
        <f>+'[3]VAR expectations'!C155</f>
        <v>3.8470567349792795</v>
      </c>
      <c r="N131">
        <v>-0.117011613692185</v>
      </c>
      <c r="O131">
        <v>-7.69414221715991E-3</v>
      </c>
      <c r="P131">
        <v>276.51159999999993</v>
      </c>
      <c r="Q131">
        <v>58.350900000000003</v>
      </c>
      <c r="R131">
        <v>518.36659999999995</v>
      </c>
      <c r="S131">
        <v>109.60590000000001</v>
      </c>
      <c r="T131">
        <v>20.937899999999999</v>
      </c>
      <c r="U131">
        <v>16.2271</v>
      </c>
      <c r="V131">
        <f t="shared" si="45"/>
        <v>146.77090000000001</v>
      </c>
      <c r="X131">
        <f t="shared" si="46"/>
        <v>0</v>
      </c>
      <c r="Y131">
        <f t="shared" si="42"/>
        <v>0</v>
      </c>
      <c r="Z131">
        <f t="shared" si="43"/>
        <v>0</v>
      </c>
      <c r="AA131">
        <f t="shared" si="44"/>
        <v>0</v>
      </c>
      <c r="AB131">
        <f t="shared" si="25"/>
        <v>0</v>
      </c>
      <c r="AC131">
        <f t="shared" si="26"/>
        <v>0</v>
      </c>
      <c r="AD131">
        <f t="shared" si="27"/>
        <v>0</v>
      </c>
      <c r="AE131">
        <f t="shared" si="28"/>
        <v>0.40009635812265287</v>
      </c>
      <c r="AF131">
        <f t="shared" si="29"/>
        <v>0.61304132122799615</v>
      </c>
      <c r="AG131">
        <f t="shared" si="30"/>
        <v>-1.2698497130199105E-3</v>
      </c>
      <c r="AH131">
        <f t="shared" si="31"/>
        <v>-0.12115473833141266</v>
      </c>
      <c r="AI131">
        <f t="shared" si="32"/>
        <v>1.4071140998984077</v>
      </c>
      <c r="AJ131">
        <f t="shared" si="33"/>
        <v>7.2908492898936986E-2</v>
      </c>
      <c r="AK131">
        <f t="shared" si="34"/>
        <v>1.168896480665009E-2</v>
      </c>
      <c r="AL131">
        <f t="shared" si="35"/>
        <v>0</v>
      </c>
      <c r="AM131">
        <f t="shared" si="36"/>
        <v>0</v>
      </c>
      <c r="AN131">
        <f t="shared" si="37"/>
        <v>0</v>
      </c>
      <c r="AO131">
        <f t="shared" si="38"/>
        <v>0</v>
      </c>
      <c r="AP131">
        <f t="shared" si="39"/>
        <v>0</v>
      </c>
      <c r="AQ131">
        <f t="shared" si="40"/>
        <v>0</v>
      </c>
      <c r="AR131">
        <f t="shared" si="41"/>
        <v>0</v>
      </c>
    </row>
    <row r="132" spans="1:44" x14ac:dyDescent="0.25">
      <c r="A132" s="14">
        <v>47208</v>
      </c>
      <c r="I132">
        <v>155.56522251420802</v>
      </c>
      <c r="J132">
        <v>150.84127839502901</v>
      </c>
      <c r="K132">
        <v>1.00106999055868</v>
      </c>
      <c r="L132">
        <v>82.530537938462103</v>
      </c>
      <c r="M132" s="15">
        <f>+'[3]VAR expectations'!C156</f>
        <v>4.1639091291217634</v>
      </c>
      <c r="N132">
        <v>-5.67299892812883E-2</v>
      </c>
      <c r="O132">
        <v>-9.1409025819498592E-3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45"/>
        <v>146.40226666666666</v>
      </c>
      <c r="X132">
        <f t="shared" si="46"/>
        <v>0</v>
      </c>
      <c r="Y132">
        <f t="shared" si="42"/>
        <v>0</v>
      </c>
      <c r="Z132">
        <f t="shared" si="43"/>
        <v>0</v>
      </c>
      <c r="AA132">
        <f t="shared" si="44"/>
        <v>0</v>
      </c>
      <c r="AB132">
        <f t="shared" si="25"/>
        <v>0</v>
      </c>
      <c r="AC132">
        <f t="shared" si="26"/>
        <v>0</v>
      </c>
      <c r="AD132">
        <f t="shared" si="27"/>
        <v>0</v>
      </c>
      <c r="AE132">
        <f t="shared" si="28"/>
        <v>-0.85265154616431005</v>
      </c>
      <c r="AF132">
        <f t="shared" si="29"/>
        <v>0.6021388545150046</v>
      </c>
      <c r="AG132">
        <f t="shared" si="30"/>
        <v>-1.2879506314400491E-3</v>
      </c>
      <c r="AH132">
        <f t="shared" si="31"/>
        <v>-0.11799456313679002</v>
      </c>
      <c r="AI132">
        <f t="shared" si="32"/>
        <v>1.6914333837138793</v>
      </c>
      <c r="AJ132">
        <f t="shared" si="33"/>
        <v>6.0281624410896704E-2</v>
      </c>
      <c r="AK132">
        <f t="shared" si="34"/>
        <v>-1.4467603647899093E-3</v>
      </c>
      <c r="AL132">
        <f t="shared" si="35"/>
        <v>0.60833333333334849</v>
      </c>
      <c r="AM132">
        <f t="shared" si="36"/>
        <v>-6.2999999999959755E-3</v>
      </c>
      <c r="AN132">
        <f t="shared" si="37"/>
        <v>-0.23340000000007421</v>
      </c>
      <c r="AO132">
        <f t="shared" si="38"/>
        <v>-0.14916666666667311</v>
      </c>
      <c r="AP132">
        <f t="shared" si="39"/>
        <v>-0.15516666666666623</v>
      </c>
      <c r="AQ132">
        <f t="shared" si="40"/>
        <v>-6.4299999999999358E-2</v>
      </c>
      <c r="AR132">
        <f t="shared" si="41"/>
        <v>-0.36863333333334936</v>
      </c>
    </row>
    <row r="133" spans="1:44" x14ac:dyDescent="0.25">
      <c r="A133" s="14">
        <v>47299</v>
      </c>
      <c r="I133" s="3">
        <v>155.56522251420802</v>
      </c>
      <c r="J133">
        <v>151.581874361823</v>
      </c>
      <c r="K133">
        <v>0.99979892453025199</v>
      </c>
      <c r="L133">
        <v>82.415651645429406</v>
      </c>
      <c r="M133" s="15">
        <f>+'[3]VAR expectations'!C157</f>
        <v>5.4104651194166893</v>
      </c>
      <c r="N133">
        <v>5.0718542367155998E-2</v>
      </c>
      <c r="O133">
        <v>9.1481009494210105E-2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45"/>
        <v>146.77090000000001</v>
      </c>
      <c r="X133">
        <f t="shared" si="46"/>
        <v>0</v>
      </c>
      <c r="Y133">
        <f t="shared" si="42"/>
        <v>0</v>
      </c>
      <c r="Z133">
        <f t="shared" si="43"/>
        <v>0</v>
      </c>
      <c r="AA133">
        <f t="shared" si="44"/>
        <v>0</v>
      </c>
      <c r="AB133">
        <f t="shared" si="25"/>
        <v>0</v>
      </c>
      <c r="AC133">
        <f t="shared" si="26"/>
        <v>0</v>
      </c>
      <c r="AD133">
        <f t="shared" si="27"/>
        <v>0</v>
      </c>
      <c r="AE133">
        <f t="shared" si="28"/>
        <v>0</v>
      </c>
      <c r="AF133">
        <f t="shared" si="29"/>
        <v>0.74059596679398965</v>
      </c>
      <c r="AG133">
        <f t="shared" si="30"/>
        <v>-1.2710660284279696E-3</v>
      </c>
      <c r="AH133">
        <f t="shared" si="31"/>
        <v>-0.11488629303269704</v>
      </c>
      <c r="AI133">
        <f t="shared" si="32"/>
        <v>2.8723398631718271</v>
      </c>
      <c r="AJ133">
        <f t="shared" si="33"/>
        <v>0.1074485316484443</v>
      </c>
      <c r="AK133">
        <f t="shared" si="34"/>
        <v>0.10062191207616002</v>
      </c>
      <c r="AL133">
        <f t="shared" si="35"/>
        <v>-0.60833333333334849</v>
      </c>
      <c r="AM133">
        <f t="shared" si="36"/>
        <v>6.2999999999959755E-3</v>
      </c>
      <c r="AN133">
        <f t="shared" si="37"/>
        <v>0.23340000000007421</v>
      </c>
      <c r="AO133">
        <f t="shared" si="38"/>
        <v>0.14916666666667311</v>
      </c>
      <c r="AP133">
        <f t="shared" si="39"/>
        <v>0.15516666666666623</v>
      </c>
      <c r="AQ133">
        <f t="shared" si="40"/>
        <v>6.4299999999999358E-2</v>
      </c>
      <c r="AR133">
        <f t="shared" si="41"/>
        <v>0.36863333333334936</v>
      </c>
    </row>
    <row r="139" spans="1:44" x14ac:dyDescent="0.25">
      <c r="A139">
        <v>35155</v>
      </c>
      <c r="B139">
        <v>68.336249781639438</v>
      </c>
      <c r="C139">
        <v>50.967979582518161</v>
      </c>
      <c r="D139">
        <v>120.21245566186201</v>
      </c>
      <c r="E139">
        <v>58.553707089085371</v>
      </c>
      <c r="F139">
        <v>65.579758001123139</v>
      </c>
      <c r="G139">
        <v>77.833862631324294</v>
      </c>
      <c r="H139">
        <v>30.054561207357068</v>
      </c>
      <c r="I139">
        <v>43.611058577426</v>
      </c>
      <c r="J139">
        <v>68.274785869470605</v>
      </c>
      <c r="K139">
        <v>0.69676277490104199</v>
      </c>
      <c r="L139">
        <v>80.896181538461505</v>
      </c>
      <c r="M139">
        <v>2.8151174291133074</v>
      </c>
      <c r="N139">
        <v>0.3</v>
      </c>
      <c r="O139">
        <v>0.118309818208218</v>
      </c>
      <c r="P139">
        <v>330</v>
      </c>
      <c r="Q139">
        <v>85</v>
      </c>
      <c r="R139">
        <v>359</v>
      </c>
      <c r="S139">
        <v>156</v>
      </c>
      <c r="T139">
        <v>35</v>
      </c>
      <c r="U139">
        <v>35</v>
      </c>
      <c r="V139">
        <v>226</v>
      </c>
    </row>
    <row r="140" spans="1:44" x14ac:dyDescent="0.25">
      <c r="A140">
        <v>35246</v>
      </c>
      <c r="B140">
        <v>68.723480942931303</v>
      </c>
      <c r="C140">
        <v>51.436217115422501</v>
      </c>
      <c r="D140">
        <v>120.55767761245134</v>
      </c>
      <c r="E140">
        <v>59.150835037210463</v>
      </c>
      <c r="F140">
        <v>66.150622751811724</v>
      </c>
      <c r="G140">
        <v>78.703574190501072</v>
      </c>
      <c r="H140">
        <v>30.476125774121101</v>
      </c>
      <c r="I140">
        <v>43.120581147797139</v>
      </c>
      <c r="J140">
        <v>68.646172139093594</v>
      </c>
      <c r="K140">
        <v>0.697170201453299</v>
      </c>
      <c r="L140">
        <v>81.882196923076904</v>
      </c>
      <c r="M140">
        <v>2.6154884948264598</v>
      </c>
      <c r="N140">
        <v>0.3</v>
      </c>
      <c r="O140">
        <v>2.51123070484027E-4</v>
      </c>
      <c r="P140">
        <v>330</v>
      </c>
      <c r="Q140">
        <v>85</v>
      </c>
      <c r="R140">
        <v>359</v>
      </c>
      <c r="S140">
        <v>156</v>
      </c>
      <c r="T140">
        <v>35</v>
      </c>
      <c r="U140">
        <v>35</v>
      </c>
      <c r="V140">
        <v>226</v>
      </c>
    </row>
    <row r="141" spans="1:44" x14ac:dyDescent="0.25">
      <c r="A141">
        <v>35338</v>
      </c>
      <c r="B141">
        <v>68.949456546139999</v>
      </c>
      <c r="C141">
        <v>51.916931408985363</v>
      </c>
      <c r="D141">
        <v>120.616001958364</v>
      </c>
      <c r="E141">
        <v>59.12231197052197</v>
      </c>
      <c r="F141">
        <v>65.892031840330773</v>
      </c>
      <c r="G141">
        <v>78.989247520031967</v>
      </c>
      <c r="H141">
        <v>30.929830737469164</v>
      </c>
      <c r="I141">
        <v>43.346266616041838</v>
      </c>
      <c r="J141">
        <v>68.991322144235795</v>
      </c>
      <c r="K141">
        <v>0.68186344897864604</v>
      </c>
      <c r="L141">
        <v>82.869486363636398</v>
      </c>
      <c r="M141">
        <v>2.6428562485995646</v>
      </c>
      <c r="N141">
        <v>0.3</v>
      </c>
      <c r="O141">
        <v>7.0742212235927596E-2</v>
      </c>
      <c r="P141">
        <v>330</v>
      </c>
      <c r="Q141">
        <v>85</v>
      </c>
      <c r="R141">
        <v>359</v>
      </c>
      <c r="S141">
        <v>156</v>
      </c>
      <c r="T141">
        <v>35</v>
      </c>
      <c r="U141">
        <v>35</v>
      </c>
      <c r="V141">
        <v>226</v>
      </c>
    </row>
    <row r="142" spans="1:44" x14ac:dyDescent="0.25">
      <c r="A142">
        <v>35430</v>
      </c>
      <c r="B142">
        <v>69.259947297382666</v>
      </c>
      <c r="C142">
        <v>52.311071312771965</v>
      </c>
      <c r="D142">
        <v>120.63002394083701</v>
      </c>
      <c r="E142">
        <v>58.834792121222769</v>
      </c>
      <c r="F142">
        <v>65.084105610473628</v>
      </c>
      <c r="G142">
        <v>79.125642753287138</v>
      </c>
      <c r="H142">
        <v>31.483583173415866</v>
      </c>
      <c r="I142">
        <v>44.7267749910337</v>
      </c>
      <c r="J142">
        <v>69.3818999527915</v>
      </c>
      <c r="K142">
        <v>0.67273735054240202</v>
      </c>
      <c r="L142">
        <v>88.333556060606099</v>
      </c>
      <c r="M142">
        <v>2.8292929206876933</v>
      </c>
      <c r="N142">
        <v>0.3</v>
      </c>
      <c r="O142">
        <v>0.23646385967731501</v>
      </c>
      <c r="P142">
        <v>330</v>
      </c>
      <c r="Q142">
        <v>85</v>
      </c>
      <c r="R142">
        <v>359</v>
      </c>
      <c r="S142">
        <v>156</v>
      </c>
      <c r="T142">
        <v>35</v>
      </c>
      <c r="U142">
        <v>35</v>
      </c>
      <c r="V142">
        <v>226</v>
      </c>
    </row>
    <row r="143" spans="1:44" x14ac:dyDescent="0.25">
      <c r="A143">
        <v>35520</v>
      </c>
      <c r="B143">
        <v>69.656172144574199</v>
      </c>
      <c r="C143">
        <v>52.833527081934562</v>
      </c>
      <c r="D143">
        <v>120.51831953602668</v>
      </c>
      <c r="E143">
        <v>59.076250344490298</v>
      </c>
      <c r="F143">
        <v>65.240899062162541</v>
      </c>
      <c r="G143">
        <v>78.957703138344769</v>
      </c>
      <c r="H143">
        <v>32.032941374691468</v>
      </c>
      <c r="I143">
        <v>45.328295668909</v>
      </c>
      <c r="J143">
        <v>69.587124046145405</v>
      </c>
      <c r="K143">
        <v>0.64938685118057304</v>
      </c>
      <c r="L143">
        <v>92.820320312500002</v>
      </c>
      <c r="M143">
        <v>2.782809710824401</v>
      </c>
      <c r="N143">
        <v>0.32542978632096897</v>
      </c>
      <c r="O143">
        <v>2.3357266560196901E-2</v>
      </c>
      <c r="P143">
        <v>330</v>
      </c>
      <c r="Q143">
        <v>87</v>
      </c>
      <c r="R143">
        <v>360</v>
      </c>
      <c r="S143">
        <v>152</v>
      </c>
      <c r="T143">
        <v>35</v>
      </c>
      <c r="U143">
        <v>36</v>
      </c>
      <c r="V143">
        <v>223</v>
      </c>
    </row>
    <row r="144" spans="1:44" x14ac:dyDescent="0.25">
      <c r="A144">
        <v>35611</v>
      </c>
      <c r="B144">
        <v>69.818827320614488</v>
      </c>
      <c r="C144">
        <v>53.331404584016006</v>
      </c>
      <c r="D144">
        <v>120.310188362095</v>
      </c>
      <c r="E144">
        <v>59.375031266633805</v>
      </c>
      <c r="F144">
        <v>65.408499895120499</v>
      </c>
      <c r="G144">
        <v>79.267965073223266</v>
      </c>
      <c r="H144">
        <v>32.549626728659469</v>
      </c>
      <c r="I144">
        <v>44.445946493019299</v>
      </c>
      <c r="J144">
        <v>69.77956219056</v>
      </c>
      <c r="K144">
        <v>0.63898761329940501</v>
      </c>
      <c r="L144">
        <v>95.131486153846197</v>
      </c>
      <c r="M144">
        <v>2.9050115480316223</v>
      </c>
      <c r="N144">
        <v>0.25613509932256301</v>
      </c>
      <c r="O144">
        <v>-6.6622115671634702E-2</v>
      </c>
      <c r="P144">
        <v>330</v>
      </c>
      <c r="Q144">
        <v>87</v>
      </c>
      <c r="R144">
        <v>360</v>
      </c>
      <c r="S144">
        <v>152</v>
      </c>
      <c r="T144">
        <v>35</v>
      </c>
      <c r="U144">
        <v>36</v>
      </c>
      <c r="V144">
        <v>223</v>
      </c>
    </row>
    <row r="145" spans="1:22" x14ac:dyDescent="0.25">
      <c r="A145">
        <v>35703</v>
      </c>
      <c r="B145">
        <v>70.281779806161396</v>
      </c>
      <c r="C145">
        <v>53.831610222106065</v>
      </c>
      <c r="D145">
        <v>120.33884823031001</v>
      </c>
      <c r="E145">
        <v>59.894854455189403</v>
      </c>
      <c r="F145">
        <v>65.91284178230616</v>
      </c>
      <c r="G145">
        <v>79.394793740428895</v>
      </c>
      <c r="H145">
        <v>33.304621200313029</v>
      </c>
      <c r="I145">
        <v>45.375545582595635</v>
      </c>
      <c r="J145">
        <v>70.337384241348005</v>
      </c>
      <c r="K145">
        <v>0.63319365618204004</v>
      </c>
      <c r="L145">
        <v>97.471460606060603</v>
      </c>
      <c r="M145">
        <v>3.1797827097537499</v>
      </c>
      <c r="N145">
        <v>0.39400900071781603</v>
      </c>
      <c r="O145">
        <v>0.20520694553852101</v>
      </c>
      <c r="P145">
        <v>330</v>
      </c>
      <c r="Q145">
        <v>87</v>
      </c>
      <c r="R145">
        <v>360</v>
      </c>
      <c r="S145">
        <v>152</v>
      </c>
      <c r="T145">
        <v>35</v>
      </c>
      <c r="U145">
        <v>36</v>
      </c>
      <c r="V145">
        <v>223</v>
      </c>
    </row>
    <row r="146" spans="1:22" x14ac:dyDescent="0.25">
      <c r="A146">
        <v>35795</v>
      </c>
      <c r="B146">
        <v>70.534190606333013</v>
      </c>
      <c r="C146">
        <v>54.3557598582004</v>
      </c>
      <c r="D146">
        <v>120.137475565896</v>
      </c>
      <c r="E146">
        <v>60.113280542367164</v>
      </c>
      <c r="F146">
        <v>65.8557702922663</v>
      </c>
      <c r="G146">
        <v>79.329518514698592</v>
      </c>
      <c r="H146">
        <v>34.107615541725302</v>
      </c>
      <c r="I146">
        <v>45.165943591837305</v>
      </c>
      <c r="J146">
        <v>70.608567754153796</v>
      </c>
      <c r="K146">
        <v>0.63128999906948902</v>
      </c>
      <c r="L146">
        <v>98.626171212121207</v>
      </c>
      <c r="M146">
        <v>3.4444390840252752</v>
      </c>
      <c r="N146">
        <v>8.2296484534251493E-2</v>
      </c>
      <c r="O146">
        <v>-7.6698243618011502E-2</v>
      </c>
      <c r="P146">
        <v>330</v>
      </c>
      <c r="Q146">
        <v>87</v>
      </c>
      <c r="R146">
        <v>360</v>
      </c>
      <c r="S146">
        <v>152</v>
      </c>
      <c r="T146">
        <v>35</v>
      </c>
      <c r="U146">
        <v>36</v>
      </c>
      <c r="V146">
        <v>223</v>
      </c>
    </row>
    <row r="147" spans="1:22" x14ac:dyDescent="0.25">
      <c r="A147">
        <v>35885</v>
      </c>
      <c r="B147">
        <v>70.7608317169408</v>
      </c>
      <c r="C147">
        <v>54.867317852625661</v>
      </c>
      <c r="D147">
        <v>119.84603007593834</v>
      </c>
      <c r="E147">
        <v>60.324796116075639</v>
      </c>
      <c r="F147">
        <v>65.556439010962166</v>
      </c>
      <c r="G147">
        <v>80.314829273702273</v>
      </c>
      <c r="H147">
        <v>35.043737560232664</v>
      </c>
      <c r="I147">
        <v>45.066788167537368</v>
      </c>
      <c r="J147">
        <v>70.691929419489099</v>
      </c>
      <c r="K147">
        <v>0.62538235592018598</v>
      </c>
      <c r="L147">
        <v>100.6106328125</v>
      </c>
      <c r="M147">
        <v>3.2371139634797124</v>
      </c>
      <c r="N147">
        <v>-5.7532854062382399E-2</v>
      </c>
      <c r="O147">
        <v>-0.11486139148473699</v>
      </c>
      <c r="P147">
        <v>344</v>
      </c>
      <c r="Q147">
        <v>86</v>
      </c>
      <c r="R147">
        <v>358</v>
      </c>
      <c r="S147">
        <v>144</v>
      </c>
      <c r="T147">
        <v>32</v>
      </c>
      <c r="U147">
        <v>36</v>
      </c>
      <c r="V147">
        <v>212</v>
      </c>
    </row>
    <row r="148" spans="1:22" x14ac:dyDescent="0.25">
      <c r="A148">
        <v>35976</v>
      </c>
      <c r="B148">
        <v>71.100692129748865</v>
      </c>
      <c r="C148">
        <v>55.376840634027332</v>
      </c>
      <c r="D148">
        <v>119.471764844226</v>
      </c>
      <c r="E148">
        <v>60.759837540213304</v>
      </c>
      <c r="F148">
        <v>65.968165559058164</v>
      </c>
      <c r="G148">
        <v>80.69741780577624</v>
      </c>
      <c r="H148">
        <v>35.534825019560401</v>
      </c>
      <c r="I148">
        <v>45.512400795735267</v>
      </c>
      <c r="J148">
        <v>71.092690716499405</v>
      </c>
      <c r="K148">
        <v>0.61574060369241101</v>
      </c>
      <c r="L148">
        <v>100.512433846154</v>
      </c>
      <c r="M148">
        <v>3.3504016664521434</v>
      </c>
      <c r="N148">
        <v>0.21318487209665199</v>
      </c>
      <c r="O148">
        <v>0.20608988404274001</v>
      </c>
      <c r="P148">
        <v>344</v>
      </c>
      <c r="Q148">
        <v>86</v>
      </c>
      <c r="R148">
        <v>358</v>
      </c>
      <c r="S148">
        <v>144</v>
      </c>
      <c r="T148">
        <v>32</v>
      </c>
      <c r="U148">
        <v>36</v>
      </c>
      <c r="V148">
        <v>212</v>
      </c>
    </row>
    <row r="149" spans="1:22" x14ac:dyDescent="0.25">
      <c r="A149">
        <v>36068</v>
      </c>
      <c r="B149">
        <v>71.255609421750464</v>
      </c>
      <c r="C149">
        <v>55.834494062716864</v>
      </c>
      <c r="D149">
        <v>118.95366575846867</v>
      </c>
      <c r="E149">
        <v>61.32656451816981</v>
      </c>
      <c r="F149">
        <v>66.599884378909437</v>
      </c>
      <c r="G149">
        <v>81.111237273143601</v>
      </c>
      <c r="H149">
        <v>36.009377724459029</v>
      </c>
      <c r="I149">
        <v>45.240117527977468</v>
      </c>
      <c r="J149">
        <v>71.320297912354405</v>
      </c>
      <c r="K149">
        <v>0.61194660690414404</v>
      </c>
      <c r="L149">
        <v>100.14717121212099</v>
      </c>
      <c r="M149">
        <v>3.4355092923982902</v>
      </c>
      <c r="N149">
        <v>-2.0958848262692498E-2</v>
      </c>
      <c r="O149">
        <v>-2.9661141335964199E-2</v>
      </c>
      <c r="P149">
        <v>344</v>
      </c>
      <c r="Q149">
        <v>86</v>
      </c>
      <c r="R149">
        <v>358</v>
      </c>
      <c r="S149">
        <v>144</v>
      </c>
      <c r="T149">
        <v>32</v>
      </c>
      <c r="U149">
        <v>36</v>
      </c>
      <c r="V149">
        <v>212</v>
      </c>
    </row>
    <row r="150" spans="1:22" x14ac:dyDescent="0.25">
      <c r="A150">
        <v>36160</v>
      </c>
      <c r="B150">
        <v>71.539883561847134</v>
      </c>
      <c r="C150">
        <v>56.342645165224134</v>
      </c>
      <c r="D150">
        <v>118.50979090512165</v>
      </c>
      <c r="E150">
        <v>61.798219499311834</v>
      </c>
      <c r="F150">
        <v>66.931585635713873</v>
      </c>
      <c r="G150">
        <v>81.345598400718799</v>
      </c>
      <c r="H150">
        <v>36.768433546815068</v>
      </c>
      <c r="I150">
        <v>45.182611283650935</v>
      </c>
      <c r="J150">
        <v>71.576719889480401</v>
      </c>
      <c r="K150">
        <v>0.615800780480114</v>
      </c>
      <c r="L150">
        <v>97.166321212121204</v>
      </c>
      <c r="M150">
        <v>3.0318466606958814</v>
      </c>
      <c r="N150">
        <v>-3.8943111691064898E-3</v>
      </c>
      <c r="O150">
        <v>-5.8732811361551299E-2</v>
      </c>
      <c r="P150">
        <v>344</v>
      </c>
      <c r="Q150">
        <v>86</v>
      </c>
      <c r="R150">
        <v>358</v>
      </c>
      <c r="S150">
        <v>144</v>
      </c>
      <c r="T150">
        <v>32</v>
      </c>
      <c r="U150">
        <v>36</v>
      </c>
      <c r="V150">
        <v>212</v>
      </c>
    </row>
    <row r="151" spans="1:22" x14ac:dyDescent="0.25">
      <c r="A151">
        <v>36250</v>
      </c>
      <c r="B151">
        <v>71.869448362919044</v>
      </c>
      <c r="C151">
        <v>56.820337302049928</v>
      </c>
      <c r="D151">
        <v>117.91126120930566</v>
      </c>
      <c r="E151">
        <v>62.464147948596434</v>
      </c>
      <c r="F151">
        <v>67.238659277963379</v>
      </c>
      <c r="G151">
        <v>81.576404148116524</v>
      </c>
      <c r="H151">
        <v>38.383741142268867</v>
      </c>
      <c r="I151">
        <v>45.605839036949533</v>
      </c>
      <c r="J151">
        <v>71.807723859994795</v>
      </c>
      <c r="K151">
        <v>0.61208261764455096</v>
      </c>
      <c r="L151">
        <v>97.283789062500006</v>
      </c>
      <c r="M151">
        <v>2.9135124750770758</v>
      </c>
      <c r="N151">
        <v>9.5197607719880006E-2</v>
      </c>
      <c r="O151">
        <v>-1.5952862799167598E-2</v>
      </c>
      <c r="P151">
        <v>341</v>
      </c>
      <c r="Q151">
        <v>83</v>
      </c>
      <c r="R151">
        <v>372</v>
      </c>
      <c r="S151">
        <v>141</v>
      </c>
      <c r="T151">
        <v>30</v>
      </c>
      <c r="U151">
        <v>33</v>
      </c>
      <c r="V151">
        <v>204</v>
      </c>
    </row>
    <row r="152" spans="1:22" x14ac:dyDescent="0.25">
      <c r="A152">
        <v>36341</v>
      </c>
      <c r="B152">
        <v>72.089045435709679</v>
      </c>
      <c r="C152">
        <v>57.315645524914736</v>
      </c>
      <c r="D152">
        <v>117.102020370133</v>
      </c>
      <c r="E152">
        <v>62.327610240975297</v>
      </c>
      <c r="F152">
        <v>66.571844762680328</v>
      </c>
      <c r="G152">
        <v>81.622908379807555</v>
      </c>
      <c r="H152">
        <v>39.566559269054331</v>
      </c>
      <c r="I152">
        <v>46.924886016740267</v>
      </c>
      <c r="J152">
        <v>72.102603654941007</v>
      </c>
      <c r="K152">
        <v>0.60729455707630897</v>
      </c>
      <c r="L152">
        <v>99.140043076923106</v>
      </c>
      <c r="M152">
        <v>2.7839723709682413</v>
      </c>
      <c r="N152">
        <v>0.27359049641299199</v>
      </c>
      <c r="O152">
        <v>0.380440324544907</v>
      </c>
      <c r="P152">
        <v>341</v>
      </c>
      <c r="Q152">
        <v>83</v>
      </c>
      <c r="R152">
        <v>372</v>
      </c>
      <c r="S152">
        <v>141</v>
      </c>
      <c r="T152">
        <v>30</v>
      </c>
      <c r="U152">
        <v>33</v>
      </c>
      <c r="V152">
        <v>204</v>
      </c>
    </row>
    <row r="153" spans="1:22" x14ac:dyDescent="0.25">
      <c r="A153">
        <v>36433</v>
      </c>
      <c r="B153">
        <v>72.125395078804502</v>
      </c>
      <c r="C153">
        <v>57.725891052138103</v>
      </c>
      <c r="D153">
        <v>116.21646773960333</v>
      </c>
      <c r="E153">
        <v>62.26600590101333</v>
      </c>
      <c r="F153">
        <v>65.966078638823205</v>
      </c>
      <c r="G153">
        <v>81.70027643685718</v>
      </c>
      <c r="H153">
        <v>40.694457856544737</v>
      </c>
      <c r="I153">
        <v>47.676146770894739</v>
      </c>
      <c r="J153">
        <v>72.187039044239896</v>
      </c>
      <c r="K153">
        <v>0.61019911719025599</v>
      </c>
      <c r="L153">
        <v>98.754672727272705</v>
      </c>
      <c r="M153">
        <v>2.5771344994295728</v>
      </c>
      <c r="N153">
        <v>0.45287391151197798</v>
      </c>
      <c r="O153">
        <v>0.14683547616004899</v>
      </c>
      <c r="P153">
        <v>341</v>
      </c>
      <c r="Q153">
        <v>83</v>
      </c>
      <c r="R153">
        <v>372</v>
      </c>
      <c r="S153">
        <v>141</v>
      </c>
      <c r="T153">
        <v>30</v>
      </c>
      <c r="U153">
        <v>33</v>
      </c>
      <c r="V153">
        <v>204</v>
      </c>
    </row>
    <row r="154" spans="1:22" x14ac:dyDescent="0.25">
      <c r="A154">
        <v>36525</v>
      </c>
      <c r="B154">
        <v>72.359803406135839</v>
      </c>
      <c r="C154">
        <v>58.260597172429392</v>
      </c>
      <c r="D154">
        <v>115.11724534960399</v>
      </c>
      <c r="E154">
        <v>62.425190149027202</v>
      </c>
      <c r="F154">
        <v>66.000462650335422</v>
      </c>
      <c r="G154">
        <v>81.899917498004768</v>
      </c>
      <c r="H154">
        <v>41.070297940002668</v>
      </c>
      <c r="I154">
        <v>48.744128850988496</v>
      </c>
      <c r="J154">
        <v>72.375605300756106</v>
      </c>
      <c r="K154">
        <v>0.61022681521550604</v>
      </c>
      <c r="L154">
        <v>100.634428787879</v>
      </c>
      <c r="M154">
        <v>2.6427151941363944</v>
      </c>
      <c r="N154">
        <v>0.64683941023249503</v>
      </c>
      <c r="O154">
        <v>0.13658648729324299</v>
      </c>
      <c r="P154">
        <v>341</v>
      </c>
      <c r="Q154">
        <v>83</v>
      </c>
      <c r="R154">
        <v>372</v>
      </c>
      <c r="S154">
        <v>141</v>
      </c>
      <c r="T154">
        <v>30</v>
      </c>
      <c r="U154">
        <v>33</v>
      </c>
      <c r="V154">
        <v>204</v>
      </c>
    </row>
    <row r="155" spans="1:22" x14ac:dyDescent="0.25">
      <c r="A155">
        <v>36616</v>
      </c>
      <c r="B155">
        <v>72.440743283146261</v>
      </c>
      <c r="C155">
        <v>58.772737337573631</v>
      </c>
      <c r="D155">
        <v>113.71050289670067</v>
      </c>
      <c r="E155">
        <v>62.294225732533363</v>
      </c>
      <c r="F155">
        <v>65.738951218719208</v>
      </c>
      <c r="G155">
        <v>81.953847149944593</v>
      </c>
      <c r="H155">
        <v>41.192698366617265</v>
      </c>
      <c r="I155">
        <v>50.014345022097928</v>
      </c>
      <c r="J155">
        <v>72.393686583097505</v>
      </c>
      <c r="K155">
        <v>0.61741448216996297</v>
      </c>
      <c r="L155">
        <v>102.291083076923</v>
      </c>
      <c r="M155">
        <v>2.5107508450090452</v>
      </c>
      <c r="N155">
        <v>0.79634125067367401</v>
      </c>
      <c r="O155">
        <v>0.11457213759422299</v>
      </c>
      <c r="P155">
        <v>342</v>
      </c>
      <c r="Q155">
        <v>71</v>
      </c>
      <c r="R155">
        <v>409</v>
      </c>
      <c r="S155">
        <v>121</v>
      </c>
      <c r="T155">
        <v>26</v>
      </c>
      <c r="U155">
        <v>31</v>
      </c>
      <c r="V155">
        <v>178</v>
      </c>
    </row>
    <row r="156" spans="1:22" x14ac:dyDescent="0.25">
      <c r="A156">
        <v>36707</v>
      </c>
      <c r="B156">
        <v>72.539182312841504</v>
      </c>
      <c r="C156">
        <v>59.022039679802134</v>
      </c>
      <c r="D156">
        <v>113.06246638512567</v>
      </c>
      <c r="E156">
        <v>62.695488488984267</v>
      </c>
      <c r="F156">
        <v>65.547576525313545</v>
      </c>
      <c r="G156">
        <v>81.549251880044139</v>
      </c>
      <c r="H156">
        <v>43.499742188366803</v>
      </c>
      <c r="I156">
        <v>50.294131092571668</v>
      </c>
      <c r="J156">
        <v>72.563313424527905</v>
      </c>
      <c r="K156">
        <v>0.61947343357984297</v>
      </c>
      <c r="L156">
        <v>101.013821538462</v>
      </c>
      <c r="M156">
        <v>2.480790509902373</v>
      </c>
      <c r="N156">
        <v>0.578228356186961</v>
      </c>
      <c r="O156">
        <v>0.16771019995212599</v>
      </c>
      <c r="P156">
        <v>342</v>
      </c>
      <c r="Q156">
        <v>71</v>
      </c>
      <c r="R156">
        <v>409</v>
      </c>
      <c r="S156">
        <v>121</v>
      </c>
      <c r="T156">
        <v>26</v>
      </c>
      <c r="U156">
        <v>31</v>
      </c>
      <c r="V156">
        <v>178</v>
      </c>
    </row>
    <row r="157" spans="1:22" x14ac:dyDescent="0.25">
      <c r="A157">
        <v>36799</v>
      </c>
      <c r="B157">
        <v>72.707840576543859</v>
      </c>
      <c r="C157">
        <v>59.618307460292534</v>
      </c>
      <c r="D157">
        <v>111.70485772051767</v>
      </c>
      <c r="E157">
        <v>63.480786414583037</v>
      </c>
      <c r="F157">
        <v>66.470733130124344</v>
      </c>
      <c r="G157">
        <v>81.400383542254033</v>
      </c>
      <c r="H157">
        <v>44.129516914186162</v>
      </c>
      <c r="I157">
        <v>50.848549060358373</v>
      </c>
      <c r="J157">
        <v>72.759782473887299</v>
      </c>
      <c r="K157">
        <v>0.63243205574934103</v>
      </c>
      <c r="L157">
        <v>99.456144615384602</v>
      </c>
      <c r="M157">
        <v>2.4571125053402318</v>
      </c>
      <c r="N157">
        <v>0.50801792517880295</v>
      </c>
      <c r="O157">
        <v>7.53215327858925E-2</v>
      </c>
      <c r="P157">
        <v>342</v>
      </c>
      <c r="Q157">
        <v>71</v>
      </c>
      <c r="R157">
        <v>409</v>
      </c>
      <c r="S157">
        <v>121</v>
      </c>
      <c r="T157">
        <v>26</v>
      </c>
      <c r="U157">
        <v>31</v>
      </c>
      <c r="V157">
        <v>178</v>
      </c>
    </row>
    <row r="158" spans="1:22" x14ac:dyDescent="0.25">
      <c r="A158">
        <v>36891</v>
      </c>
      <c r="B158">
        <v>73.058296991468595</v>
      </c>
      <c r="C158">
        <v>60.261873317660566</v>
      </c>
      <c r="D158">
        <v>111.14640687755167</v>
      </c>
      <c r="E158">
        <v>63.852768971110471</v>
      </c>
      <c r="F158">
        <v>66.715067260746267</v>
      </c>
      <c r="G158">
        <v>81.765643927476674</v>
      </c>
      <c r="H158">
        <v>44.729361748243598</v>
      </c>
      <c r="I158">
        <v>51.114811152054337</v>
      </c>
      <c r="J158">
        <v>73.063981516128905</v>
      </c>
      <c r="K158">
        <v>0.63168490396144295</v>
      </c>
      <c r="L158">
        <v>100.229946153846</v>
      </c>
      <c r="M158">
        <v>2.4793436532788289</v>
      </c>
      <c r="N158">
        <v>0.35052454382543902</v>
      </c>
      <c r="O158">
        <v>-1.80886518210173E-2</v>
      </c>
      <c r="P158">
        <v>342</v>
      </c>
      <c r="Q158">
        <v>71</v>
      </c>
      <c r="R158">
        <v>409</v>
      </c>
      <c r="S158">
        <v>121</v>
      </c>
      <c r="T158">
        <v>26</v>
      </c>
      <c r="U158">
        <v>31</v>
      </c>
      <c r="V158">
        <v>178</v>
      </c>
    </row>
    <row r="159" spans="1:22" x14ac:dyDescent="0.25">
      <c r="A159">
        <v>36981</v>
      </c>
      <c r="B159">
        <v>73.057199972199726</v>
      </c>
      <c r="C159">
        <v>60.743618510486499</v>
      </c>
      <c r="D159">
        <v>110.17048885713501</v>
      </c>
      <c r="E159">
        <v>64.304947564597896</v>
      </c>
      <c r="F159">
        <v>67.219576569640893</v>
      </c>
      <c r="G159">
        <v>81.956356251570668</v>
      </c>
      <c r="H159">
        <v>45.213764851116906</v>
      </c>
      <c r="I159">
        <v>49.776772698758201</v>
      </c>
      <c r="J159">
        <v>73.022578117809601</v>
      </c>
      <c r="K159">
        <v>0.63197458532471795</v>
      </c>
      <c r="L159">
        <v>98.163178461538493</v>
      </c>
      <c r="M159">
        <v>2.2606623386544604</v>
      </c>
      <c r="N159">
        <v>-9.6508386047468499E-3</v>
      </c>
      <c r="O159">
        <v>-0.21965420246124301</v>
      </c>
      <c r="P159">
        <v>336</v>
      </c>
      <c r="Q159">
        <v>66</v>
      </c>
      <c r="R159">
        <v>436</v>
      </c>
      <c r="S159">
        <v>114</v>
      </c>
      <c r="T159">
        <v>20</v>
      </c>
      <c r="U159">
        <v>28</v>
      </c>
      <c r="V159">
        <v>162</v>
      </c>
    </row>
    <row r="160" spans="1:22" x14ac:dyDescent="0.25">
      <c r="A160">
        <v>37072</v>
      </c>
      <c r="B160">
        <v>73.640782847443958</v>
      </c>
      <c r="C160">
        <v>61.544420219885332</v>
      </c>
      <c r="D160">
        <v>109.89504456781434</v>
      </c>
      <c r="E160">
        <v>65.671562289779899</v>
      </c>
      <c r="F160">
        <v>69.291698510684967</v>
      </c>
      <c r="G160">
        <v>81.894722914880603</v>
      </c>
      <c r="H160">
        <v>45.475672672189063</v>
      </c>
      <c r="I160">
        <v>49.554685240331963</v>
      </c>
      <c r="J160">
        <v>73.672453554203102</v>
      </c>
      <c r="K160">
        <v>0.62800409836081905</v>
      </c>
      <c r="L160">
        <v>99.237372307692297</v>
      </c>
      <c r="M160">
        <v>2.2219944984907083</v>
      </c>
      <c r="N160">
        <v>-8.6513159775206599E-2</v>
      </c>
      <c r="O160">
        <v>8.7121553719043704E-2</v>
      </c>
      <c r="P160">
        <v>336</v>
      </c>
      <c r="Q160">
        <v>66</v>
      </c>
      <c r="R160">
        <v>436</v>
      </c>
      <c r="S160">
        <v>114</v>
      </c>
      <c r="T160">
        <v>20</v>
      </c>
      <c r="U160">
        <v>28</v>
      </c>
      <c r="V160">
        <v>162</v>
      </c>
    </row>
    <row r="161" spans="1:22" x14ac:dyDescent="0.25">
      <c r="A161">
        <v>37164</v>
      </c>
      <c r="B161">
        <v>73.825368346705162</v>
      </c>
      <c r="C161">
        <v>62.223963784280272</v>
      </c>
      <c r="D161">
        <v>109.34835279541367</v>
      </c>
      <c r="E161">
        <v>65.641448713927829</v>
      </c>
      <c r="F161">
        <v>68.979536133829399</v>
      </c>
      <c r="G161">
        <v>82.063297447175827</v>
      </c>
      <c r="H161">
        <v>45.842531038287937</v>
      </c>
      <c r="I161">
        <v>49.541042554852801</v>
      </c>
      <c r="J161">
        <v>73.864343092066804</v>
      </c>
      <c r="K161">
        <v>0.62070323942146299</v>
      </c>
      <c r="L161">
        <v>99.239315384615395</v>
      </c>
      <c r="M161">
        <v>2.3621300730309192</v>
      </c>
      <c r="N161">
        <v>-0.18219844297104101</v>
      </c>
      <c r="O161">
        <v>-1.9923435524106001E-2</v>
      </c>
      <c r="P161">
        <v>336</v>
      </c>
      <c r="Q161">
        <v>66</v>
      </c>
      <c r="R161">
        <v>436</v>
      </c>
      <c r="S161">
        <v>114</v>
      </c>
      <c r="T161">
        <v>20</v>
      </c>
      <c r="U161">
        <v>28</v>
      </c>
      <c r="V161">
        <v>162</v>
      </c>
    </row>
    <row r="162" spans="1:22" x14ac:dyDescent="0.25">
      <c r="A162">
        <v>37256</v>
      </c>
      <c r="B162">
        <v>73.809976698452303</v>
      </c>
      <c r="C162">
        <v>62.586922212635066</v>
      </c>
      <c r="D162">
        <v>108.73663622536766</v>
      </c>
      <c r="E162">
        <v>65.828698669319564</v>
      </c>
      <c r="F162">
        <v>68.970945389894339</v>
      </c>
      <c r="G162">
        <v>82.057820785625765</v>
      </c>
      <c r="H162">
        <v>46.482425595715902</v>
      </c>
      <c r="I162">
        <v>48.008808713627495</v>
      </c>
      <c r="J162">
        <v>73.816222366808006</v>
      </c>
      <c r="K162">
        <v>0.61399358747248201</v>
      </c>
      <c r="L162">
        <v>99.639537878787905</v>
      </c>
      <c r="M162">
        <v>2.1718892232885554</v>
      </c>
      <c r="N162">
        <v>-0.41053249519444801</v>
      </c>
      <c r="O162">
        <v>-0.24701800942421001</v>
      </c>
      <c r="P162">
        <v>336</v>
      </c>
      <c r="Q162">
        <v>66</v>
      </c>
      <c r="R162">
        <v>436</v>
      </c>
      <c r="S162">
        <v>114</v>
      </c>
      <c r="T162">
        <v>20</v>
      </c>
      <c r="U162">
        <v>28</v>
      </c>
      <c r="V162">
        <v>162</v>
      </c>
    </row>
    <row r="163" spans="1:22" x14ac:dyDescent="0.25">
      <c r="A163">
        <v>37346</v>
      </c>
      <c r="B163">
        <v>74.172709547617714</v>
      </c>
      <c r="C163">
        <v>63.253448974794672</v>
      </c>
      <c r="D163">
        <v>108.253887812421</v>
      </c>
      <c r="E163">
        <v>66.271856797838623</v>
      </c>
      <c r="F163">
        <v>69.566869099543467</v>
      </c>
      <c r="G163">
        <v>82.184032839410861</v>
      </c>
      <c r="H163">
        <v>46.712875198812867</v>
      </c>
      <c r="I163">
        <v>48.300000597159077</v>
      </c>
      <c r="J163">
        <v>74.140200035856097</v>
      </c>
      <c r="K163">
        <v>0.61193038298108404</v>
      </c>
      <c r="L163">
        <v>100.22180625</v>
      </c>
      <c r="M163">
        <v>2.2636382290406152</v>
      </c>
      <c r="N163">
        <v>-0.19866515250366801</v>
      </c>
      <c r="O163">
        <v>-7.7734054066240796E-3</v>
      </c>
      <c r="P163">
        <v>321</v>
      </c>
      <c r="Q163">
        <v>56</v>
      </c>
      <c r="R163">
        <v>457</v>
      </c>
      <c r="S163">
        <v>115</v>
      </c>
      <c r="T163">
        <v>20</v>
      </c>
      <c r="U163">
        <v>31</v>
      </c>
      <c r="V163">
        <v>166</v>
      </c>
    </row>
    <row r="164" spans="1:22" x14ac:dyDescent="0.25">
      <c r="A164">
        <v>37437</v>
      </c>
      <c r="B164">
        <v>74.341060971658422</v>
      </c>
      <c r="C164">
        <v>64.098357828458106</v>
      </c>
      <c r="D164">
        <v>107.15975382369832</v>
      </c>
      <c r="E164">
        <v>65.841453783592442</v>
      </c>
      <c r="F164">
        <v>69.072767804200325</v>
      </c>
      <c r="G164">
        <v>82.070455378131101</v>
      </c>
      <c r="H164">
        <v>46.699129956856133</v>
      </c>
      <c r="I164">
        <v>48.834968279363466</v>
      </c>
      <c r="J164">
        <v>74.380936880197396</v>
      </c>
      <c r="K164">
        <v>0.62732294639877295</v>
      </c>
      <c r="L164">
        <v>99.283556923076901</v>
      </c>
      <c r="M164">
        <v>2.420078349479549</v>
      </c>
      <c r="N164">
        <v>-0.121645386242651</v>
      </c>
      <c r="O164">
        <v>0.16057209670543701</v>
      </c>
      <c r="P164">
        <v>321</v>
      </c>
      <c r="Q164">
        <v>56</v>
      </c>
      <c r="R164">
        <v>457</v>
      </c>
      <c r="S164">
        <v>115</v>
      </c>
      <c r="T164">
        <v>20</v>
      </c>
      <c r="U164">
        <v>31</v>
      </c>
      <c r="V164">
        <v>166</v>
      </c>
    </row>
    <row r="165" spans="1:22" x14ac:dyDescent="0.25">
      <c r="A165">
        <v>37529</v>
      </c>
      <c r="B165">
        <v>74.586828837548069</v>
      </c>
      <c r="C165">
        <v>64.806065670026939</v>
      </c>
      <c r="D165">
        <v>106.44583489625866</v>
      </c>
      <c r="E165">
        <v>66.101100807903208</v>
      </c>
      <c r="F165">
        <v>69.016510777194938</v>
      </c>
      <c r="G165">
        <v>82.393205064322629</v>
      </c>
      <c r="H165">
        <v>47.312363041482463</v>
      </c>
      <c r="I165">
        <v>48.810172757408203</v>
      </c>
      <c r="J165">
        <v>74.621415022690897</v>
      </c>
      <c r="K165">
        <v>0.62666792181779396</v>
      </c>
      <c r="L165">
        <v>100.497328787879</v>
      </c>
      <c r="M165">
        <v>2.3348466240519783</v>
      </c>
      <c r="N165">
        <v>-0.12779910297989</v>
      </c>
      <c r="O165">
        <v>-2.52052545547485E-2</v>
      </c>
      <c r="P165">
        <v>321</v>
      </c>
      <c r="Q165">
        <v>56</v>
      </c>
      <c r="R165">
        <v>457</v>
      </c>
      <c r="S165">
        <v>115</v>
      </c>
      <c r="T165">
        <v>20</v>
      </c>
      <c r="U165">
        <v>31</v>
      </c>
      <c r="V165">
        <v>166</v>
      </c>
    </row>
    <row r="166" spans="1:22" x14ac:dyDescent="0.25">
      <c r="A166">
        <v>37621</v>
      </c>
      <c r="B166">
        <v>74.94152985171506</v>
      </c>
      <c r="C166">
        <v>65.527580796611758</v>
      </c>
      <c r="D166">
        <v>105.92448921583834</v>
      </c>
      <c r="E166">
        <v>66.196126733287258</v>
      </c>
      <c r="F166">
        <v>69.020712791603259</v>
      </c>
      <c r="G166">
        <v>81.795408938969828</v>
      </c>
      <c r="H166">
        <v>47.821927966217864</v>
      </c>
      <c r="I166">
        <v>49.301431799629</v>
      </c>
      <c r="J166">
        <v>74.939618250451403</v>
      </c>
      <c r="K166">
        <v>0.62607176712946</v>
      </c>
      <c r="L166">
        <v>101.02483030303</v>
      </c>
      <c r="M166">
        <v>2.329046618617225</v>
      </c>
      <c r="N166">
        <v>0.13999724552415899</v>
      </c>
      <c r="O166">
        <v>2.2260053083300601E-2</v>
      </c>
      <c r="P166">
        <v>321</v>
      </c>
      <c r="Q166">
        <v>56</v>
      </c>
      <c r="R166">
        <v>457</v>
      </c>
      <c r="S166">
        <v>115</v>
      </c>
      <c r="T166">
        <v>20</v>
      </c>
      <c r="U166">
        <v>31</v>
      </c>
      <c r="V166">
        <v>166</v>
      </c>
    </row>
    <row r="167" spans="1:22" x14ac:dyDescent="0.25">
      <c r="A167">
        <v>37711</v>
      </c>
      <c r="B167">
        <v>75.254179637007539</v>
      </c>
      <c r="C167">
        <v>66.024472037778409</v>
      </c>
      <c r="D167">
        <v>105.57840811720899</v>
      </c>
      <c r="E167">
        <v>66.29593719601047</v>
      </c>
      <c r="F167">
        <v>69.109899366957407</v>
      </c>
      <c r="G167">
        <v>81.579240086886898</v>
      </c>
      <c r="H167">
        <v>48.150793169108333</v>
      </c>
      <c r="I167">
        <v>50.696241265513159</v>
      </c>
      <c r="J167">
        <v>75.220635695064601</v>
      </c>
      <c r="K167">
        <v>0.63651760997190399</v>
      </c>
      <c r="L167">
        <v>98.401371874999995</v>
      </c>
      <c r="M167">
        <v>2.5421835321638784</v>
      </c>
      <c r="N167">
        <v>0.27544788472214499</v>
      </c>
      <c r="O167">
        <v>0.118628311933358</v>
      </c>
      <c r="P167">
        <v>324</v>
      </c>
      <c r="Q167">
        <v>55</v>
      </c>
      <c r="R167">
        <v>466</v>
      </c>
      <c r="S167">
        <v>108</v>
      </c>
      <c r="T167">
        <v>19</v>
      </c>
      <c r="U167">
        <v>28</v>
      </c>
      <c r="V167">
        <v>155</v>
      </c>
    </row>
    <row r="168" spans="1:22" x14ac:dyDescent="0.25">
      <c r="A168">
        <v>37802</v>
      </c>
      <c r="B168">
        <v>75.297738816456402</v>
      </c>
      <c r="C168">
        <v>66.477450028729891</v>
      </c>
      <c r="D168">
        <v>104.82493353971</v>
      </c>
      <c r="E168">
        <v>66.743553912164842</v>
      </c>
      <c r="F168">
        <v>69.746466956818594</v>
      </c>
      <c r="G168">
        <v>81.929888108927102</v>
      </c>
      <c r="H168">
        <v>48.45408482428504</v>
      </c>
      <c r="I168">
        <v>49.519114792624237</v>
      </c>
      <c r="J168">
        <v>75.346741392751298</v>
      </c>
      <c r="K168">
        <v>0.63320748380537994</v>
      </c>
      <c r="L168">
        <v>95.764499999999998</v>
      </c>
      <c r="M168">
        <v>2.3887461732171329</v>
      </c>
      <c r="N168">
        <v>8.0091340388783697E-2</v>
      </c>
      <c r="O168">
        <v>-3.3435978033822499E-2</v>
      </c>
      <c r="P168">
        <v>324</v>
      </c>
      <c r="Q168">
        <v>55</v>
      </c>
      <c r="R168">
        <v>466</v>
      </c>
      <c r="S168">
        <v>108</v>
      </c>
      <c r="T168">
        <v>19</v>
      </c>
      <c r="U168">
        <v>28</v>
      </c>
      <c r="V168">
        <v>155</v>
      </c>
    </row>
    <row r="169" spans="1:22" x14ac:dyDescent="0.25">
      <c r="A169">
        <v>37894</v>
      </c>
      <c r="B169">
        <v>75.612766960048859</v>
      </c>
      <c r="C169">
        <v>66.969781979790568</v>
      </c>
      <c r="D169">
        <v>104.57345498303602</v>
      </c>
      <c r="E169">
        <v>67.31296933393827</v>
      </c>
      <c r="F169">
        <v>70.26415567744364</v>
      </c>
      <c r="G169">
        <v>81.29251558503266</v>
      </c>
      <c r="H169">
        <v>49.190874969117239</v>
      </c>
      <c r="I169">
        <v>49.812423085229902</v>
      </c>
      <c r="J169">
        <v>75.646460972491596</v>
      </c>
      <c r="K169">
        <v>0.63000871963946403</v>
      </c>
      <c r="L169">
        <v>95.544218181818195</v>
      </c>
      <c r="M169">
        <v>2.197575219813666</v>
      </c>
      <c r="N169">
        <v>0.109281701994484</v>
      </c>
      <c r="O169">
        <v>4.3959080115475602E-3</v>
      </c>
      <c r="P169">
        <v>324</v>
      </c>
      <c r="Q169">
        <v>55</v>
      </c>
      <c r="R169">
        <v>466</v>
      </c>
      <c r="S169">
        <v>108</v>
      </c>
      <c r="T169">
        <v>19</v>
      </c>
      <c r="U169">
        <v>28</v>
      </c>
      <c r="V169">
        <v>155</v>
      </c>
    </row>
    <row r="170" spans="1:22" x14ac:dyDescent="0.25">
      <c r="A170">
        <v>37986</v>
      </c>
      <c r="B170">
        <v>75.930389741807929</v>
      </c>
      <c r="C170">
        <v>67.546972720157029</v>
      </c>
      <c r="D170">
        <v>104.00485126915201</v>
      </c>
      <c r="E170">
        <v>67.719275637251357</v>
      </c>
      <c r="F170">
        <v>70.752523645876281</v>
      </c>
      <c r="G170">
        <v>81.390202718947663</v>
      </c>
      <c r="H170">
        <v>49.438759813309993</v>
      </c>
      <c r="I170">
        <v>50.456696042455739</v>
      </c>
      <c r="J170">
        <v>75.926725850656695</v>
      </c>
      <c r="K170">
        <v>0.62604665825440697</v>
      </c>
      <c r="L170">
        <v>97.264069696969699</v>
      </c>
      <c r="M170">
        <v>2.507260502799705</v>
      </c>
      <c r="N170">
        <v>0.12812529825024099</v>
      </c>
      <c r="O170">
        <v>4.1066675765942702E-2</v>
      </c>
      <c r="P170">
        <v>324</v>
      </c>
      <c r="Q170">
        <v>55</v>
      </c>
      <c r="R170">
        <v>466</v>
      </c>
      <c r="S170">
        <v>108</v>
      </c>
      <c r="T170">
        <v>19</v>
      </c>
      <c r="U170">
        <v>28</v>
      </c>
      <c r="V170">
        <v>155</v>
      </c>
    </row>
    <row r="171" spans="1:22" x14ac:dyDescent="0.25">
      <c r="A171">
        <v>38077</v>
      </c>
      <c r="B171">
        <v>76.200272982905773</v>
      </c>
      <c r="C171">
        <v>68.10626529045453</v>
      </c>
      <c r="D171">
        <v>103.62955172533468</v>
      </c>
      <c r="E171">
        <v>67.701733001774699</v>
      </c>
      <c r="F171">
        <v>70.68062324019364</v>
      </c>
      <c r="G171">
        <v>81.372891223910457</v>
      </c>
      <c r="H171">
        <v>49.677802172771571</v>
      </c>
      <c r="I171">
        <v>51.504084271991964</v>
      </c>
      <c r="J171">
        <v>76.159680364508901</v>
      </c>
      <c r="K171">
        <v>0.61688244432997197</v>
      </c>
      <c r="L171">
        <v>101.570772307692</v>
      </c>
      <c r="M171">
        <v>2.5370974361013499</v>
      </c>
      <c r="N171">
        <v>8.3923273491197103E-2</v>
      </c>
      <c r="O171">
        <v>7.0507431525519401E-2</v>
      </c>
      <c r="P171">
        <v>329</v>
      </c>
      <c r="Q171">
        <v>52</v>
      </c>
      <c r="R171">
        <v>467</v>
      </c>
      <c r="S171">
        <v>106</v>
      </c>
      <c r="T171">
        <v>19</v>
      </c>
      <c r="U171">
        <v>27</v>
      </c>
      <c r="V171">
        <v>152</v>
      </c>
    </row>
    <row r="172" spans="1:22" x14ac:dyDescent="0.25">
      <c r="A172">
        <v>38168</v>
      </c>
      <c r="B172">
        <v>76.35914331720403</v>
      </c>
      <c r="C172">
        <v>68.631855809508735</v>
      </c>
      <c r="D172">
        <v>102.877321258834</v>
      </c>
      <c r="E172">
        <v>67.638280882704308</v>
      </c>
      <c r="F172">
        <v>70.476850084807339</v>
      </c>
      <c r="G172">
        <v>81.287191131295103</v>
      </c>
      <c r="H172">
        <v>50.250960584307229</v>
      </c>
      <c r="I172">
        <v>52.490029578442538</v>
      </c>
      <c r="J172">
        <v>76.418239016262504</v>
      </c>
      <c r="K172">
        <v>0.61216051574775598</v>
      </c>
      <c r="L172">
        <v>102.354193846154</v>
      </c>
      <c r="M172">
        <v>2.6184554615948845</v>
      </c>
      <c r="N172">
        <v>0.31536003264232498</v>
      </c>
      <c r="O172">
        <v>0.198013254587315</v>
      </c>
      <c r="P172">
        <v>329</v>
      </c>
      <c r="Q172">
        <v>52</v>
      </c>
      <c r="R172">
        <v>467</v>
      </c>
      <c r="S172">
        <v>106</v>
      </c>
      <c r="T172">
        <v>19</v>
      </c>
      <c r="U172">
        <v>27</v>
      </c>
      <c r="V172">
        <v>152</v>
      </c>
    </row>
    <row r="173" spans="1:22" x14ac:dyDescent="0.25">
      <c r="A173">
        <v>38260</v>
      </c>
      <c r="B173">
        <v>76.562231444892205</v>
      </c>
      <c r="C173">
        <v>69.203743095995534</v>
      </c>
      <c r="D173">
        <v>102.210003687398</v>
      </c>
      <c r="E173">
        <v>67.646192048084202</v>
      </c>
      <c r="F173">
        <v>70.117000340503537</v>
      </c>
      <c r="G173">
        <v>81.074507639907196</v>
      </c>
      <c r="H173">
        <v>50.981515782794624</v>
      </c>
      <c r="I173">
        <v>53.359156399593196</v>
      </c>
      <c r="J173">
        <v>76.596013420986793</v>
      </c>
      <c r="K173">
        <v>0.61479560780718101</v>
      </c>
      <c r="L173">
        <v>102.09841969697</v>
      </c>
      <c r="M173">
        <v>2.5768443943169923</v>
      </c>
      <c r="N173">
        <v>0.36869653428947002</v>
      </c>
      <c r="O173">
        <v>5.6970751238223802E-2</v>
      </c>
      <c r="P173">
        <v>329</v>
      </c>
      <c r="Q173">
        <v>52</v>
      </c>
      <c r="R173">
        <v>467</v>
      </c>
      <c r="S173">
        <v>106</v>
      </c>
      <c r="T173">
        <v>19</v>
      </c>
      <c r="U173">
        <v>27</v>
      </c>
      <c r="V173">
        <v>152</v>
      </c>
    </row>
    <row r="174" spans="1:22" x14ac:dyDescent="0.25">
      <c r="A174">
        <v>38352</v>
      </c>
      <c r="B174">
        <v>77.024679842319401</v>
      </c>
      <c r="C174">
        <v>69.904808946467725</v>
      </c>
      <c r="D174">
        <v>101.65395874629166</v>
      </c>
      <c r="E174">
        <v>67.923169332980237</v>
      </c>
      <c r="F174">
        <v>70.398557799152996</v>
      </c>
      <c r="G174">
        <v>81.151471150211634</v>
      </c>
      <c r="H174">
        <v>51.389293344833</v>
      </c>
      <c r="I174">
        <v>55.645647717141969</v>
      </c>
      <c r="J174">
        <v>77.015340908716695</v>
      </c>
      <c r="K174">
        <v>0.62484171870294902</v>
      </c>
      <c r="L174">
        <v>100.312145454545</v>
      </c>
      <c r="M174">
        <v>2.4054948631666009</v>
      </c>
      <c r="N174">
        <v>0.52821538705181603</v>
      </c>
      <c r="O174">
        <v>0.200185341433055</v>
      </c>
      <c r="P174">
        <v>329</v>
      </c>
      <c r="Q174">
        <v>52</v>
      </c>
      <c r="R174">
        <v>467</v>
      </c>
      <c r="S174">
        <v>106</v>
      </c>
      <c r="T174">
        <v>19</v>
      </c>
      <c r="U174">
        <v>27</v>
      </c>
      <c r="V174">
        <v>152</v>
      </c>
    </row>
    <row r="175" spans="1:22" x14ac:dyDescent="0.25">
      <c r="A175">
        <v>38442</v>
      </c>
      <c r="B175">
        <v>77.519231176107169</v>
      </c>
      <c r="C175">
        <v>70.711753851160836</v>
      </c>
      <c r="D175">
        <v>101.224550821802</v>
      </c>
      <c r="E175">
        <v>68.690840572994531</v>
      </c>
      <c r="F175">
        <v>71.390648871021142</v>
      </c>
      <c r="G175">
        <v>80.604662189294956</v>
      </c>
      <c r="H175">
        <v>52.1517551844384</v>
      </c>
      <c r="I175">
        <v>56.449023556288402</v>
      </c>
      <c r="J175">
        <v>77.473805083463901</v>
      </c>
      <c r="K175">
        <v>0.62789457821978201</v>
      </c>
      <c r="L175">
        <v>100.67795468750001</v>
      </c>
      <c r="M175">
        <v>2.3903185646503933</v>
      </c>
      <c r="N175">
        <v>0.50065150605009701</v>
      </c>
      <c r="O175">
        <v>4.8524115231025303E-2</v>
      </c>
      <c r="P175">
        <v>329</v>
      </c>
      <c r="Q175">
        <v>55</v>
      </c>
      <c r="R175">
        <v>464</v>
      </c>
      <c r="S175">
        <v>106</v>
      </c>
      <c r="T175">
        <v>20</v>
      </c>
      <c r="U175">
        <v>26</v>
      </c>
      <c r="V175">
        <v>152</v>
      </c>
    </row>
    <row r="176" spans="1:22" x14ac:dyDescent="0.25">
      <c r="A176">
        <v>38533</v>
      </c>
      <c r="B176">
        <v>77.860319039965134</v>
      </c>
      <c r="C176">
        <v>71.482542510630239</v>
      </c>
      <c r="D176">
        <v>100.61472786661368</v>
      </c>
      <c r="E176">
        <v>68.823685139220927</v>
      </c>
      <c r="F176">
        <v>71.584679044364876</v>
      </c>
      <c r="G176">
        <v>80.155897015147175</v>
      </c>
      <c r="H176">
        <v>52.541890037276467</v>
      </c>
      <c r="I176">
        <v>57.440858337591798</v>
      </c>
      <c r="J176">
        <v>77.926612974031798</v>
      </c>
      <c r="K176">
        <v>0.62404102684160401</v>
      </c>
      <c r="L176">
        <v>101.57767076923101</v>
      </c>
      <c r="M176">
        <v>2.2621936183541234</v>
      </c>
      <c r="N176">
        <v>0.50804321100112604</v>
      </c>
      <c r="O176">
        <v>0.204065629477542</v>
      </c>
      <c r="P176">
        <v>329</v>
      </c>
      <c r="Q176">
        <v>55</v>
      </c>
      <c r="R176">
        <v>464</v>
      </c>
      <c r="S176">
        <v>106</v>
      </c>
      <c r="T176">
        <v>20</v>
      </c>
      <c r="U176">
        <v>26</v>
      </c>
      <c r="V176">
        <v>152</v>
      </c>
    </row>
    <row r="177" spans="1:22" x14ac:dyDescent="0.25">
      <c r="A177">
        <v>38625</v>
      </c>
      <c r="B177">
        <v>78.392641647215498</v>
      </c>
      <c r="C177">
        <v>72.329300982486799</v>
      </c>
      <c r="D177">
        <v>100.07117850201189</v>
      </c>
      <c r="E177">
        <v>68.937238070698058</v>
      </c>
      <c r="F177">
        <v>71.487850246053981</v>
      </c>
      <c r="G177">
        <v>80.839757344550961</v>
      </c>
      <c r="H177">
        <v>52.691778596856601</v>
      </c>
      <c r="I177">
        <v>60.297134294160365</v>
      </c>
      <c r="J177">
        <v>78.429892117686506</v>
      </c>
      <c r="K177">
        <v>0.64005400942808899</v>
      </c>
      <c r="L177">
        <v>99.734880303030295</v>
      </c>
      <c r="M177">
        <v>2.2761535969954032</v>
      </c>
      <c r="N177">
        <v>0.70017615103754105</v>
      </c>
      <c r="O177">
        <v>0.242344274322987</v>
      </c>
      <c r="P177">
        <v>329</v>
      </c>
      <c r="Q177">
        <v>55</v>
      </c>
      <c r="R177">
        <v>464</v>
      </c>
      <c r="S177">
        <v>106</v>
      </c>
      <c r="T177">
        <v>20</v>
      </c>
      <c r="U177">
        <v>26</v>
      </c>
      <c r="V177">
        <v>152</v>
      </c>
    </row>
    <row r="178" spans="1:22" x14ac:dyDescent="0.25">
      <c r="A178">
        <v>38717</v>
      </c>
      <c r="B178">
        <v>78.6650109310023</v>
      </c>
      <c r="C178">
        <v>72.76231699168676</v>
      </c>
      <c r="D178">
        <v>99.588196020431226</v>
      </c>
      <c r="E178">
        <v>69.148767012309762</v>
      </c>
      <c r="F178">
        <v>71.487766538913363</v>
      </c>
      <c r="G178">
        <v>80.757559259722939</v>
      </c>
      <c r="H178">
        <v>53.78196520630194</v>
      </c>
      <c r="I178">
        <v>62.2130789827755</v>
      </c>
      <c r="J178">
        <v>78.650455282462801</v>
      </c>
      <c r="K178">
        <v>0.64257239123518295</v>
      </c>
      <c r="L178">
        <v>99.510515384615402</v>
      </c>
      <c r="M178">
        <v>2.3383760137173226</v>
      </c>
      <c r="N178">
        <v>0.64873933629690095</v>
      </c>
      <c r="O178">
        <v>0.150036034492979</v>
      </c>
      <c r="P178">
        <v>329</v>
      </c>
      <c r="Q178">
        <v>55</v>
      </c>
      <c r="R178">
        <v>464</v>
      </c>
      <c r="S178">
        <v>106</v>
      </c>
      <c r="T178">
        <v>20</v>
      </c>
      <c r="U178">
        <v>26</v>
      </c>
      <c r="V178">
        <v>152</v>
      </c>
    </row>
    <row r="179" spans="1:22" x14ac:dyDescent="0.25">
      <c r="A179">
        <v>38807</v>
      </c>
      <c r="B179">
        <v>79.028056405096038</v>
      </c>
      <c r="C179">
        <v>73.385241780506931</v>
      </c>
      <c r="D179">
        <v>99.218511677460256</v>
      </c>
      <c r="E179">
        <v>69.456235720820999</v>
      </c>
      <c r="F179">
        <v>71.887123990551444</v>
      </c>
      <c r="G179">
        <v>80.784701223545497</v>
      </c>
      <c r="H179">
        <v>54.031494090685165</v>
      </c>
      <c r="I179">
        <v>63.507502811969232</v>
      </c>
      <c r="J179">
        <v>78.979694161115503</v>
      </c>
      <c r="K179">
        <v>0.652090387217511</v>
      </c>
      <c r="L179">
        <v>98.760283076923102</v>
      </c>
      <c r="M179">
        <v>2.4666666666666477</v>
      </c>
      <c r="N179">
        <v>0.71062376825367302</v>
      </c>
      <c r="O179">
        <v>9.3912785774244806E-2</v>
      </c>
      <c r="P179">
        <v>341</v>
      </c>
      <c r="Q179">
        <v>67</v>
      </c>
      <c r="R179">
        <v>446</v>
      </c>
      <c r="S179">
        <v>102</v>
      </c>
      <c r="T179">
        <v>18</v>
      </c>
      <c r="U179">
        <v>26</v>
      </c>
      <c r="V179">
        <v>146</v>
      </c>
    </row>
    <row r="180" spans="1:22" x14ac:dyDescent="0.25">
      <c r="A180">
        <v>38898</v>
      </c>
      <c r="B180">
        <v>79.616100225425328</v>
      </c>
      <c r="C180">
        <v>74.005587617268034</v>
      </c>
      <c r="D180">
        <v>98.648450712308275</v>
      </c>
      <c r="E180">
        <v>69.890091453383164</v>
      </c>
      <c r="F180">
        <v>72.381509189292998</v>
      </c>
      <c r="G180">
        <v>80.348361076617337</v>
      </c>
      <c r="H180">
        <v>54.731568788130495</v>
      </c>
      <c r="I180">
        <v>67.671668071312865</v>
      </c>
      <c r="J180">
        <v>79.688483811502905</v>
      </c>
      <c r="K180">
        <v>0.65617518075692405</v>
      </c>
      <c r="L180">
        <v>100.279141538462</v>
      </c>
      <c r="M180">
        <v>2.4000000000000123</v>
      </c>
      <c r="N180">
        <v>1.0848462424740499</v>
      </c>
      <c r="O180">
        <v>0.58313714236387104</v>
      </c>
      <c r="P180">
        <v>341</v>
      </c>
      <c r="Q180">
        <v>67</v>
      </c>
      <c r="R180">
        <v>446</v>
      </c>
      <c r="S180">
        <v>102</v>
      </c>
      <c r="T180">
        <v>18</v>
      </c>
      <c r="U180">
        <v>26</v>
      </c>
      <c r="V180">
        <v>146</v>
      </c>
    </row>
    <row r="181" spans="1:22" x14ac:dyDescent="0.25">
      <c r="A181">
        <v>38990</v>
      </c>
      <c r="B181">
        <v>80.274543396524294</v>
      </c>
      <c r="C181">
        <v>74.554497667706627</v>
      </c>
      <c r="D181">
        <v>98.578686661604138</v>
      </c>
      <c r="E181">
        <v>71.285664208466599</v>
      </c>
      <c r="F181">
        <v>73.986476840642638</v>
      </c>
      <c r="G181">
        <v>80.810976586724337</v>
      </c>
      <c r="H181">
        <v>55.632163947862068</v>
      </c>
      <c r="I181">
        <v>70.050693769964226</v>
      </c>
      <c r="J181">
        <v>80.3140859444444</v>
      </c>
      <c r="K181">
        <v>0.65104403115045795</v>
      </c>
      <c r="L181">
        <v>102.332647692308</v>
      </c>
      <c r="M181">
        <v>2.2999999999999843</v>
      </c>
      <c r="N181">
        <v>1.0480109248003999</v>
      </c>
      <c r="O181">
        <v>0.20579069700496899</v>
      </c>
      <c r="P181">
        <v>341</v>
      </c>
      <c r="Q181">
        <v>67</v>
      </c>
      <c r="R181">
        <v>446</v>
      </c>
      <c r="S181">
        <v>102</v>
      </c>
      <c r="T181">
        <v>18</v>
      </c>
      <c r="U181">
        <v>26</v>
      </c>
      <c r="V181">
        <v>146</v>
      </c>
    </row>
    <row r="182" spans="1:22" x14ac:dyDescent="0.25">
      <c r="A182">
        <v>39082</v>
      </c>
      <c r="B182">
        <v>80.800427132545607</v>
      </c>
      <c r="C182">
        <v>75.456551080588838</v>
      </c>
      <c r="D182">
        <v>98.55851182358596</v>
      </c>
      <c r="E182">
        <v>72.05791184393081</v>
      </c>
      <c r="F182">
        <v>74.869558595355159</v>
      </c>
      <c r="G182">
        <v>81.596469153893167</v>
      </c>
      <c r="H182">
        <v>56.187332522586701</v>
      </c>
      <c r="I182">
        <v>69.842554979972434</v>
      </c>
      <c r="J182">
        <v>80.7676039528492</v>
      </c>
      <c r="K182">
        <v>0.64418906925003505</v>
      </c>
      <c r="L182">
        <v>103.713430769231</v>
      </c>
      <c r="M182">
        <v>2.4333333333333633</v>
      </c>
      <c r="N182">
        <v>0.81313574028850799</v>
      </c>
      <c r="O182">
        <v>-8.0932616320032805E-2</v>
      </c>
      <c r="P182">
        <v>341</v>
      </c>
      <c r="Q182">
        <v>67</v>
      </c>
      <c r="R182">
        <v>446</v>
      </c>
      <c r="S182">
        <v>102</v>
      </c>
      <c r="T182">
        <v>18</v>
      </c>
      <c r="U182">
        <v>26</v>
      </c>
      <c r="V182">
        <v>146</v>
      </c>
    </row>
    <row r="183" spans="1:22" x14ac:dyDescent="0.25">
      <c r="A183">
        <v>39172</v>
      </c>
      <c r="B183">
        <v>81.294136618175912</v>
      </c>
      <c r="C183">
        <v>76.094739715081161</v>
      </c>
      <c r="D183">
        <v>98.47129778946919</v>
      </c>
      <c r="E183">
        <v>72.551116044786497</v>
      </c>
      <c r="F183">
        <v>75.238861106674236</v>
      </c>
      <c r="G183">
        <v>81.666506596602034</v>
      </c>
      <c r="H183">
        <v>57.265354626060002</v>
      </c>
      <c r="I183">
        <v>71.130011789566865</v>
      </c>
      <c r="J183">
        <v>81.262667673769101</v>
      </c>
      <c r="K183">
        <v>0.63269312835008995</v>
      </c>
      <c r="L183">
        <v>104.730033846154</v>
      </c>
      <c r="M183">
        <v>2.5333333333333421</v>
      </c>
      <c r="N183">
        <v>0.81545309377751096</v>
      </c>
      <c r="O183">
        <v>0.110154954327973</v>
      </c>
      <c r="P183">
        <v>326</v>
      </c>
      <c r="Q183">
        <v>75</v>
      </c>
      <c r="R183">
        <v>453</v>
      </c>
      <c r="S183">
        <v>103</v>
      </c>
      <c r="T183">
        <v>18</v>
      </c>
      <c r="U183">
        <v>25</v>
      </c>
      <c r="V183">
        <v>146</v>
      </c>
    </row>
    <row r="184" spans="1:22" x14ac:dyDescent="0.25">
      <c r="A184">
        <v>39263</v>
      </c>
      <c r="B184">
        <v>81.649031387279209</v>
      </c>
      <c r="C184">
        <v>76.642439912560803</v>
      </c>
      <c r="D184">
        <v>98.272229618024468</v>
      </c>
      <c r="E184">
        <v>73.298449248593599</v>
      </c>
      <c r="F184">
        <v>76.216291536187541</v>
      </c>
      <c r="G184">
        <v>81.349848710347601</v>
      </c>
      <c r="H184">
        <v>57.844587255826099</v>
      </c>
      <c r="I184">
        <v>71.15515842146344</v>
      </c>
      <c r="J184">
        <v>81.726256142183999</v>
      </c>
      <c r="K184">
        <v>0.64008688386534296</v>
      </c>
      <c r="L184">
        <v>104.239373846154</v>
      </c>
      <c r="M184">
        <v>2.4666666666666814</v>
      </c>
      <c r="N184">
        <v>0.37404988473768203</v>
      </c>
      <c r="O184">
        <v>0.14035169197522099</v>
      </c>
      <c r="P184">
        <v>326</v>
      </c>
      <c r="Q184">
        <v>75</v>
      </c>
      <c r="R184">
        <v>453</v>
      </c>
      <c r="S184">
        <v>103</v>
      </c>
      <c r="T184">
        <v>18</v>
      </c>
      <c r="U184">
        <v>25</v>
      </c>
      <c r="V184">
        <v>146</v>
      </c>
    </row>
    <row r="185" spans="1:22" x14ac:dyDescent="0.25">
      <c r="A185">
        <v>39355</v>
      </c>
      <c r="B185">
        <v>81.704607649355637</v>
      </c>
      <c r="C185">
        <v>77.223121066424127</v>
      </c>
      <c r="D185">
        <v>97.540757784927692</v>
      </c>
      <c r="E185">
        <v>73.551211882680761</v>
      </c>
      <c r="F185">
        <v>76.301462693589997</v>
      </c>
      <c r="G185">
        <v>81.728890813466364</v>
      </c>
      <c r="H185">
        <v>58.326849903898335</v>
      </c>
      <c r="I185">
        <v>70.482016023792468</v>
      </c>
      <c r="J185">
        <v>81.7387605418172</v>
      </c>
      <c r="K185">
        <v>0.64067203317101096</v>
      </c>
      <c r="L185">
        <v>104.41271846153801</v>
      </c>
      <c r="M185">
        <v>2.4999999999999987</v>
      </c>
      <c r="N185">
        <v>4.4323022748277999E-2</v>
      </c>
      <c r="O185">
        <v>-0.11833065960497099</v>
      </c>
      <c r="P185">
        <v>326</v>
      </c>
      <c r="Q185">
        <v>75</v>
      </c>
      <c r="R185">
        <v>453</v>
      </c>
      <c r="S185">
        <v>103</v>
      </c>
      <c r="T185">
        <v>18</v>
      </c>
      <c r="U185">
        <v>25</v>
      </c>
      <c r="V185">
        <v>146</v>
      </c>
    </row>
    <row r="186" spans="1:22" x14ac:dyDescent="0.25">
      <c r="A186">
        <v>39447</v>
      </c>
      <c r="B186">
        <v>82.511309278758574</v>
      </c>
      <c r="C186">
        <v>77.976239910448101</v>
      </c>
      <c r="D186">
        <v>97.458073236449025</v>
      </c>
      <c r="E186">
        <v>75.219909973620261</v>
      </c>
      <c r="F186">
        <v>78.59689595892236</v>
      </c>
      <c r="G186">
        <v>81.927567146864604</v>
      </c>
      <c r="H186">
        <v>58.8590870525178</v>
      </c>
      <c r="I186">
        <v>73.07789982975801</v>
      </c>
      <c r="J186">
        <v>82.455030827616596</v>
      </c>
      <c r="K186">
        <v>0.65730996679913101</v>
      </c>
      <c r="L186">
        <v>101.594292424242</v>
      </c>
      <c r="M186">
        <v>2.6999999999999864</v>
      </c>
      <c r="N186">
        <v>0.33094281461280101</v>
      </c>
      <c r="O186">
        <v>0.207260368558223</v>
      </c>
      <c r="P186">
        <v>326</v>
      </c>
      <c r="Q186">
        <v>75</v>
      </c>
      <c r="R186">
        <v>453</v>
      </c>
      <c r="S186">
        <v>103</v>
      </c>
      <c r="T186">
        <v>18</v>
      </c>
      <c r="U186">
        <v>25</v>
      </c>
      <c r="V186">
        <v>146</v>
      </c>
    </row>
    <row r="187" spans="1:22" x14ac:dyDescent="0.25">
      <c r="A187">
        <v>39538</v>
      </c>
      <c r="B187">
        <v>83.213165062111045</v>
      </c>
      <c r="C187">
        <v>78.585583459078208</v>
      </c>
      <c r="D187">
        <v>96.951612827693836</v>
      </c>
      <c r="E187">
        <v>75.989538679255261</v>
      </c>
      <c r="F187">
        <v>79.533800497150992</v>
      </c>
      <c r="G187">
        <v>81.958761243828363</v>
      </c>
      <c r="H187">
        <v>59.544386405336837</v>
      </c>
      <c r="I187">
        <v>77.885301025533423</v>
      </c>
      <c r="J187">
        <v>83.221731491025807</v>
      </c>
      <c r="K187">
        <v>0.68564477605056495</v>
      </c>
      <c r="L187">
        <v>95.934953846153803</v>
      </c>
      <c r="M187">
        <v>3.3233333333333448</v>
      </c>
      <c r="N187">
        <v>0.70956108465802203</v>
      </c>
      <c r="O187">
        <v>0.46567345359179702</v>
      </c>
      <c r="P187">
        <v>323</v>
      </c>
      <c r="Q187">
        <v>73</v>
      </c>
      <c r="R187">
        <v>453</v>
      </c>
      <c r="S187">
        <v>109</v>
      </c>
      <c r="T187">
        <v>18</v>
      </c>
      <c r="U187">
        <v>24</v>
      </c>
      <c r="V187">
        <v>151</v>
      </c>
    </row>
    <row r="188" spans="1:22" x14ac:dyDescent="0.25">
      <c r="A188">
        <v>39629</v>
      </c>
      <c r="B188">
        <v>84.399628691859334</v>
      </c>
      <c r="C188">
        <v>79.538236456857987</v>
      </c>
      <c r="D188">
        <v>96.709639020967742</v>
      </c>
      <c r="E188">
        <v>78.381976088304796</v>
      </c>
      <c r="F188">
        <v>82.317852052663767</v>
      </c>
      <c r="G188">
        <v>84.883187080121772</v>
      </c>
      <c r="H188">
        <v>60.342090857511202</v>
      </c>
      <c r="I188">
        <v>82.676147502636397</v>
      </c>
      <c r="J188">
        <v>84.4783985597211</v>
      </c>
      <c r="K188">
        <v>0.71013328179353397</v>
      </c>
      <c r="L188">
        <v>93.071035384615399</v>
      </c>
      <c r="M188">
        <v>4.1266666666667335</v>
      </c>
      <c r="N188">
        <v>1.1528273888926699</v>
      </c>
      <c r="O188">
        <v>0.57749494659596201</v>
      </c>
      <c r="P188">
        <v>323</v>
      </c>
      <c r="Q188">
        <v>73</v>
      </c>
      <c r="R188">
        <v>453</v>
      </c>
      <c r="S188">
        <v>109</v>
      </c>
      <c r="T188">
        <v>18</v>
      </c>
      <c r="U188">
        <v>24</v>
      </c>
      <c r="V188">
        <v>151</v>
      </c>
    </row>
    <row r="189" spans="1:22" x14ac:dyDescent="0.25">
      <c r="A189">
        <v>39721</v>
      </c>
      <c r="B189">
        <v>85.622629523416208</v>
      </c>
      <c r="C189">
        <v>80.567896111396422</v>
      </c>
      <c r="D189">
        <v>96.458973787625538</v>
      </c>
      <c r="E189">
        <v>80.821169443942864</v>
      </c>
      <c r="F189">
        <v>85.573695749653211</v>
      </c>
      <c r="G189">
        <v>85.076922336049037</v>
      </c>
      <c r="H189">
        <v>60.969200088634068</v>
      </c>
      <c r="I189">
        <v>87.767599664419478</v>
      </c>
      <c r="J189">
        <v>85.633335277083802</v>
      </c>
      <c r="K189">
        <v>0.73340169529048804</v>
      </c>
      <c r="L189">
        <v>91.695078787878799</v>
      </c>
      <c r="M189">
        <v>4.3404589371979831</v>
      </c>
      <c r="N189">
        <v>1.7249383242570699</v>
      </c>
      <c r="O189">
        <v>0.41477957846817098</v>
      </c>
      <c r="P189">
        <v>323</v>
      </c>
      <c r="Q189">
        <v>73</v>
      </c>
      <c r="R189">
        <v>453</v>
      </c>
      <c r="S189">
        <v>109</v>
      </c>
      <c r="T189">
        <v>18</v>
      </c>
      <c r="U189">
        <v>24</v>
      </c>
      <c r="V189">
        <v>151</v>
      </c>
    </row>
    <row r="190" spans="1:22" x14ac:dyDescent="0.25">
      <c r="A190">
        <v>39813</v>
      </c>
      <c r="B190">
        <v>85.715849377221033</v>
      </c>
      <c r="C190">
        <v>81.447767693574562</v>
      </c>
      <c r="D190">
        <v>95.356926302146803</v>
      </c>
      <c r="E190">
        <v>81.793418547474204</v>
      </c>
      <c r="F190">
        <v>86.792930875848811</v>
      </c>
      <c r="G190">
        <v>85.181242076336545</v>
      </c>
      <c r="H190">
        <v>61.653547758067361</v>
      </c>
      <c r="I190">
        <v>85.991098588507043</v>
      </c>
      <c r="J190">
        <v>85.640873534576798</v>
      </c>
      <c r="K190">
        <v>0.72747031121115702</v>
      </c>
      <c r="L190">
        <v>83.942380303030305</v>
      </c>
      <c r="M190">
        <v>1.5441543026706288</v>
      </c>
      <c r="N190">
        <v>1.2851169715736199</v>
      </c>
      <c r="O190">
        <v>-0.25671941715742802</v>
      </c>
      <c r="P190">
        <v>323</v>
      </c>
      <c r="Q190">
        <v>73</v>
      </c>
      <c r="R190">
        <v>453</v>
      </c>
      <c r="S190">
        <v>109</v>
      </c>
      <c r="T190">
        <v>18</v>
      </c>
      <c r="U190">
        <v>24</v>
      </c>
      <c r="V190">
        <v>151</v>
      </c>
    </row>
    <row r="191" spans="1:22" x14ac:dyDescent="0.25">
      <c r="A191">
        <v>39903</v>
      </c>
      <c r="B191">
        <v>85.677461988931228</v>
      </c>
      <c r="C191">
        <v>81.837362894259925</v>
      </c>
      <c r="D191">
        <v>94.827625367678976</v>
      </c>
      <c r="E191">
        <v>83.009858942090389</v>
      </c>
      <c r="F191">
        <v>87.99238482121784</v>
      </c>
      <c r="G191">
        <v>87.197951546616977</v>
      </c>
      <c r="H191">
        <v>62.259307413325836</v>
      </c>
      <c r="I191">
        <v>82.010216221786067</v>
      </c>
      <c r="J191">
        <v>85.727729818347797</v>
      </c>
      <c r="K191">
        <v>0.73092000531804802</v>
      </c>
      <c r="L191">
        <v>77.790968750000005</v>
      </c>
      <c r="M191">
        <v>1.4821164021163924</v>
      </c>
      <c r="N191">
        <v>0.49581996628150798</v>
      </c>
      <c r="O191">
        <v>-0.32614814317173602</v>
      </c>
      <c r="P191">
        <v>312</v>
      </c>
      <c r="Q191">
        <v>80</v>
      </c>
      <c r="R191">
        <v>446</v>
      </c>
      <c r="S191">
        <v>118</v>
      </c>
      <c r="T191">
        <v>21</v>
      </c>
      <c r="U191">
        <v>23</v>
      </c>
      <c r="V191">
        <v>162</v>
      </c>
    </row>
    <row r="192" spans="1:22" x14ac:dyDescent="0.25">
      <c r="A192">
        <v>39994</v>
      </c>
      <c r="B192">
        <v>86.15976755532354</v>
      </c>
      <c r="C192">
        <v>82.270942096016583</v>
      </c>
      <c r="D192">
        <v>95.654937823592505</v>
      </c>
      <c r="E192">
        <v>83.220861295653535</v>
      </c>
      <c r="F192">
        <v>88.308924452653969</v>
      </c>
      <c r="G192">
        <v>87.210677618102508</v>
      </c>
      <c r="H192">
        <v>62.310963197896491</v>
      </c>
      <c r="I192">
        <v>82.036383837974157</v>
      </c>
      <c r="J192">
        <v>86.234754047421404</v>
      </c>
      <c r="K192">
        <v>0.71601344282857504</v>
      </c>
      <c r="L192">
        <v>81.3092738461538</v>
      </c>
      <c r="M192">
        <v>1.8160783232406086</v>
      </c>
      <c r="N192">
        <v>-3.3463491076020598E-3</v>
      </c>
      <c r="O192">
        <v>6.5202411569874996E-2</v>
      </c>
      <c r="P192">
        <v>312</v>
      </c>
      <c r="Q192">
        <v>80</v>
      </c>
      <c r="R192">
        <v>446</v>
      </c>
      <c r="S192">
        <v>118</v>
      </c>
      <c r="T192">
        <v>21</v>
      </c>
      <c r="U192">
        <v>23</v>
      </c>
      <c r="V192">
        <v>162</v>
      </c>
    </row>
    <row r="193" spans="1:22" x14ac:dyDescent="0.25">
      <c r="A193">
        <v>40086</v>
      </c>
      <c r="B193">
        <v>86.924358866209801</v>
      </c>
      <c r="C193">
        <v>82.818965560018796</v>
      </c>
      <c r="D193">
        <v>96.748856693679144</v>
      </c>
      <c r="E193">
        <v>83.273957539010269</v>
      </c>
      <c r="F193">
        <v>87.773256644266795</v>
      </c>
      <c r="G193">
        <v>88.565655919881635</v>
      </c>
      <c r="H193">
        <v>63.382794957694408</v>
      </c>
      <c r="I193">
        <v>84.43822912724265</v>
      </c>
      <c r="J193">
        <v>86.903555326754898</v>
      </c>
      <c r="K193">
        <v>0.71104869772248203</v>
      </c>
      <c r="L193">
        <v>82.911893939393906</v>
      </c>
      <c r="M193">
        <v>1.8710162025955688</v>
      </c>
      <c r="N193">
        <v>-0.246943476236648</v>
      </c>
      <c r="O193">
        <v>0.18136360737922499</v>
      </c>
      <c r="P193">
        <v>312</v>
      </c>
      <c r="Q193">
        <v>80</v>
      </c>
      <c r="R193">
        <v>446</v>
      </c>
      <c r="S193">
        <v>118</v>
      </c>
      <c r="T193">
        <v>21</v>
      </c>
      <c r="U193">
        <v>23</v>
      </c>
      <c r="V193">
        <v>162</v>
      </c>
    </row>
    <row r="194" spans="1:22" x14ac:dyDescent="0.25">
      <c r="A194">
        <v>40178</v>
      </c>
      <c r="B194">
        <v>87.534280115684567</v>
      </c>
      <c r="C194">
        <v>83.410496500833645</v>
      </c>
      <c r="D194">
        <v>97.120889173976664</v>
      </c>
      <c r="E194">
        <v>83.844235616954464</v>
      </c>
      <c r="F194">
        <v>88.32590778326967</v>
      </c>
      <c r="G194">
        <v>89.28787021115356</v>
      </c>
      <c r="H194">
        <v>64.12562627513833</v>
      </c>
      <c r="I194">
        <v>86.397389894562437</v>
      </c>
      <c r="J194">
        <v>87.453767874372005</v>
      </c>
      <c r="K194">
        <v>0.718035511271781</v>
      </c>
      <c r="L194">
        <v>80.353062121212105</v>
      </c>
      <c r="M194">
        <v>2.0075486250838721</v>
      </c>
      <c r="N194">
        <v>0.101321891194596</v>
      </c>
      <c r="O194">
        <v>0.13445341671153399</v>
      </c>
      <c r="P194">
        <v>312</v>
      </c>
      <c r="Q194">
        <v>80</v>
      </c>
      <c r="R194">
        <v>446</v>
      </c>
      <c r="S194">
        <v>118</v>
      </c>
      <c r="T194">
        <v>21</v>
      </c>
      <c r="U194">
        <v>23</v>
      </c>
      <c r="V194">
        <v>162</v>
      </c>
    </row>
    <row r="195" spans="1:22" x14ac:dyDescent="0.25">
      <c r="A195">
        <v>40268</v>
      </c>
      <c r="B195">
        <v>88.431032272878838</v>
      </c>
      <c r="C195">
        <v>84.379845312412996</v>
      </c>
      <c r="D195">
        <v>97.46249220497026</v>
      </c>
      <c r="E195">
        <v>85.139204142394036</v>
      </c>
      <c r="F195">
        <v>89.453891235916998</v>
      </c>
      <c r="G195">
        <v>89.55948122598636</v>
      </c>
      <c r="H195">
        <v>66.656144582256971</v>
      </c>
      <c r="I195">
        <v>87.699409046380325</v>
      </c>
      <c r="J195">
        <v>88.514134771042393</v>
      </c>
      <c r="K195">
        <v>0.73762646098512996</v>
      </c>
      <c r="L195">
        <v>79.543812500000001</v>
      </c>
      <c r="M195">
        <v>2.301390043398611</v>
      </c>
      <c r="N195">
        <v>0.50255924177984002</v>
      </c>
      <c r="O195">
        <v>0.18762675130171899</v>
      </c>
      <c r="P195">
        <v>313</v>
      </c>
      <c r="Q195">
        <v>88</v>
      </c>
      <c r="R195">
        <v>451</v>
      </c>
      <c r="S195">
        <v>108</v>
      </c>
      <c r="T195">
        <v>18</v>
      </c>
      <c r="U195">
        <v>22</v>
      </c>
      <c r="V195">
        <v>148</v>
      </c>
    </row>
    <row r="196" spans="1:22" x14ac:dyDescent="0.25">
      <c r="A196">
        <v>40359</v>
      </c>
      <c r="B196">
        <v>89.149935009377074</v>
      </c>
      <c r="C196">
        <v>85.197668340993346</v>
      </c>
      <c r="D196">
        <v>97.794868419101633</v>
      </c>
      <c r="E196">
        <v>85.883704596755891</v>
      </c>
      <c r="F196">
        <v>90.264506993479202</v>
      </c>
      <c r="G196">
        <v>90.181221743676701</v>
      </c>
      <c r="H196">
        <v>67.322785272699434</v>
      </c>
      <c r="I196">
        <v>88.993371323519867</v>
      </c>
      <c r="J196">
        <v>89.209095175361497</v>
      </c>
      <c r="K196">
        <v>0.74845947139534197</v>
      </c>
      <c r="L196">
        <v>79.899689230769198</v>
      </c>
      <c r="M196">
        <v>2.6505886564059562</v>
      </c>
      <c r="N196">
        <v>0.58031803605650401</v>
      </c>
      <c r="O196">
        <v>0.158164675972188</v>
      </c>
      <c r="P196">
        <v>313</v>
      </c>
      <c r="Q196">
        <v>88</v>
      </c>
      <c r="R196">
        <v>451</v>
      </c>
      <c r="S196">
        <v>108</v>
      </c>
      <c r="T196">
        <v>18</v>
      </c>
      <c r="U196">
        <v>22</v>
      </c>
      <c r="V196">
        <v>148</v>
      </c>
    </row>
    <row r="197" spans="1:22" x14ac:dyDescent="0.25">
      <c r="A197">
        <v>40451</v>
      </c>
      <c r="B197">
        <v>89.638294686830889</v>
      </c>
      <c r="C197">
        <v>85.933661989550004</v>
      </c>
      <c r="D197">
        <v>97.975058796536885</v>
      </c>
      <c r="E197">
        <v>86.951847807603031</v>
      </c>
      <c r="F197">
        <v>91.446251491513593</v>
      </c>
      <c r="G197">
        <v>90.86338632288313</v>
      </c>
      <c r="H197">
        <v>68.001566778590345</v>
      </c>
      <c r="I197">
        <v>88.087504676968365</v>
      </c>
      <c r="J197">
        <v>89.597693247304207</v>
      </c>
      <c r="K197">
        <v>0.74234749464842498</v>
      </c>
      <c r="L197">
        <v>81.7654454545455</v>
      </c>
      <c r="M197">
        <v>2.8352346264846378</v>
      </c>
      <c r="N197">
        <v>0.26076684740058198</v>
      </c>
      <c r="O197">
        <v>-0.12701395323713599</v>
      </c>
      <c r="P197">
        <v>313</v>
      </c>
      <c r="Q197">
        <v>88</v>
      </c>
      <c r="R197">
        <v>451</v>
      </c>
      <c r="S197">
        <v>108</v>
      </c>
      <c r="T197">
        <v>18</v>
      </c>
      <c r="U197">
        <v>22</v>
      </c>
      <c r="V197">
        <v>148</v>
      </c>
    </row>
    <row r="198" spans="1:22" x14ac:dyDescent="0.25">
      <c r="A198">
        <v>40543</v>
      </c>
      <c r="B198">
        <v>90.489806177236133</v>
      </c>
      <c r="C198">
        <v>86.591552448257588</v>
      </c>
      <c r="D198">
        <v>98.369291646594647</v>
      </c>
      <c r="E198">
        <v>88.591673818649085</v>
      </c>
      <c r="F198">
        <v>93.13460881510359</v>
      </c>
      <c r="G198">
        <v>92.78220916680867</v>
      </c>
      <c r="H198">
        <v>69.334173598667135</v>
      </c>
      <c r="I198">
        <v>90.420116042050893</v>
      </c>
      <c r="J198">
        <v>90.4101607728266</v>
      </c>
      <c r="K198">
        <v>0.75542882863199101</v>
      </c>
      <c r="L198">
        <v>80.312759090909097</v>
      </c>
      <c r="M198">
        <v>3.2715136112828467</v>
      </c>
      <c r="N198">
        <v>0.32099091782760703</v>
      </c>
      <c r="O198">
        <v>0.19462453007871</v>
      </c>
      <c r="P198">
        <v>313</v>
      </c>
      <c r="Q198">
        <v>88</v>
      </c>
      <c r="R198">
        <v>451</v>
      </c>
      <c r="S198">
        <v>108</v>
      </c>
      <c r="T198">
        <v>18</v>
      </c>
      <c r="U198">
        <v>22</v>
      </c>
      <c r="V198">
        <v>148</v>
      </c>
    </row>
    <row r="199" spans="1:22" x14ac:dyDescent="0.25">
      <c r="A199">
        <v>40633</v>
      </c>
      <c r="B199">
        <v>92.028246006294424</v>
      </c>
      <c r="C199">
        <v>87.912967080105943</v>
      </c>
      <c r="D199">
        <v>99.170306398765774</v>
      </c>
      <c r="E199">
        <v>90.012389630124503</v>
      </c>
      <c r="F199">
        <v>94.438459915867682</v>
      </c>
      <c r="G199">
        <v>93.157862915665092</v>
      </c>
      <c r="H199">
        <v>71.802037138736935</v>
      </c>
      <c r="I199">
        <v>95.633425670901943</v>
      </c>
      <c r="J199">
        <v>92.119747796089499</v>
      </c>
      <c r="K199">
        <v>0.77480731613046805</v>
      </c>
      <c r="L199">
        <v>80.801396874999995</v>
      </c>
      <c r="M199">
        <v>3.5419702495573993</v>
      </c>
      <c r="N199">
        <v>0.70267001409044105</v>
      </c>
      <c r="O199">
        <v>0.56007002109159698</v>
      </c>
      <c r="P199">
        <v>314</v>
      </c>
      <c r="Q199">
        <v>87</v>
      </c>
      <c r="R199">
        <v>439</v>
      </c>
      <c r="S199">
        <v>118</v>
      </c>
      <c r="T199">
        <v>19</v>
      </c>
      <c r="U199">
        <v>23</v>
      </c>
      <c r="V199">
        <v>160</v>
      </c>
    </row>
    <row r="200" spans="1:22" x14ac:dyDescent="0.25">
      <c r="A200">
        <v>40724</v>
      </c>
      <c r="B200">
        <v>93.071536943024171</v>
      </c>
      <c r="C200">
        <v>89.053937918689897</v>
      </c>
      <c r="D200">
        <v>99.269248788610994</v>
      </c>
      <c r="E200">
        <v>91.677961394101132</v>
      </c>
      <c r="F200">
        <v>95.451423700043904</v>
      </c>
      <c r="G200">
        <v>96.631551388411069</v>
      </c>
      <c r="H200">
        <v>74.990931545672041</v>
      </c>
      <c r="I200">
        <v>98.19389255267329</v>
      </c>
      <c r="J200">
        <v>93.115155211009593</v>
      </c>
      <c r="K200">
        <v>0.79250308454060703</v>
      </c>
      <c r="L200">
        <v>79.449792307692306</v>
      </c>
      <c r="M200">
        <v>3.375212504142874</v>
      </c>
      <c r="N200">
        <v>0.76852261598709404</v>
      </c>
      <c r="O200">
        <v>0.23219285039294399</v>
      </c>
      <c r="P200">
        <v>314</v>
      </c>
      <c r="Q200">
        <v>87</v>
      </c>
      <c r="R200">
        <v>439</v>
      </c>
      <c r="S200">
        <v>118</v>
      </c>
      <c r="T200">
        <v>19</v>
      </c>
      <c r="U200">
        <v>23</v>
      </c>
      <c r="V200">
        <v>160</v>
      </c>
    </row>
    <row r="201" spans="1:22" x14ac:dyDescent="0.25">
      <c r="A201">
        <v>40816</v>
      </c>
      <c r="B201">
        <v>93.884444201758356</v>
      </c>
      <c r="C201">
        <v>89.712905874510099</v>
      </c>
      <c r="D201">
        <v>99.557418846227847</v>
      </c>
      <c r="E201">
        <v>93.237254463578665</v>
      </c>
      <c r="F201">
        <v>97.154981546404201</v>
      </c>
      <c r="G201">
        <v>97.117781804489667</v>
      </c>
      <c r="H201">
        <v>76.509668870506928</v>
      </c>
      <c r="I201">
        <v>100.16051669288386</v>
      </c>
      <c r="J201">
        <v>93.838228902574699</v>
      </c>
      <c r="K201">
        <v>0.80330078884896206</v>
      </c>
      <c r="L201">
        <v>79.238960606060601</v>
      </c>
      <c r="M201">
        <v>3.4898805472145966</v>
      </c>
      <c r="N201">
        <v>1.05498669861284</v>
      </c>
      <c r="O201">
        <v>0.15487507420452101</v>
      </c>
      <c r="P201">
        <v>314</v>
      </c>
      <c r="Q201">
        <v>87</v>
      </c>
      <c r="R201">
        <v>439</v>
      </c>
      <c r="S201">
        <v>118</v>
      </c>
      <c r="T201">
        <v>19</v>
      </c>
      <c r="U201">
        <v>23</v>
      </c>
      <c r="V201">
        <v>160</v>
      </c>
    </row>
    <row r="202" spans="1:22" x14ac:dyDescent="0.25">
      <c r="A202">
        <v>40908</v>
      </c>
      <c r="B202">
        <v>94.672700791711677</v>
      </c>
      <c r="C202">
        <v>90.273256422834663</v>
      </c>
      <c r="D202">
        <v>99.989179662138312</v>
      </c>
      <c r="E202">
        <v>93.532438518691151</v>
      </c>
      <c r="F202">
        <v>97.130995935006737</v>
      </c>
      <c r="G202">
        <v>97.517220688463397</v>
      </c>
      <c r="H202">
        <v>77.87668627081456</v>
      </c>
      <c r="I202">
        <v>104.67349034756099</v>
      </c>
      <c r="J202">
        <v>94.600470014285307</v>
      </c>
      <c r="K202">
        <v>0.79692550841968202</v>
      </c>
      <c r="L202">
        <v>80.333807692307701</v>
      </c>
      <c r="M202">
        <v>3.2213697643305159</v>
      </c>
      <c r="N202">
        <v>1.24898176101869</v>
      </c>
      <c r="O202">
        <v>0.381362520234932</v>
      </c>
      <c r="P202">
        <v>314</v>
      </c>
      <c r="Q202">
        <v>87</v>
      </c>
      <c r="R202">
        <v>439</v>
      </c>
      <c r="S202">
        <v>118</v>
      </c>
      <c r="T202">
        <v>19</v>
      </c>
      <c r="U202">
        <v>23</v>
      </c>
      <c r="V202">
        <v>160</v>
      </c>
    </row>
    <row r="203" spans="1:22" x14ac:dyDescent="0.25">
      <c r="A203">
        <v>40999</v>
      </c>
      <c r="B203">
        <v>95.220828533021802</v>
      </c>
      <c r="C203">
        <v>90.990465446417076</v>
      </c>
      <c r="D203">
        <v>100.26857414915668</v>
      </c>
      <c r="E203">
        <v>94.339792643349242</v>
      </c>
      <c r="F203">
        <v>98.059610435736786</v>
      </c>
      <c r="G203">
        <v>98.45528822952933</v>
      </c>
      <c r="H203">
        <v>78.297775842712142</v>
      </c>
      <c r="I203">
        <v>104.58844196118766</v>
      </c>
      <c r="J203">
        <v>95.296594834362097</v>
      </c>
      <c r="K203">
        <v>0.79036304883250197</v>
      </c>
      <c r="L203">
        <v>81.185307692307703</v>
      </c>
      <c r="M203">
        <v>2.6732813585155433</v>
      </c>
      <c r="N203">
        <v>0.82772171266241201</v>
      </c>
      <c r="O203">
        <v>5.6173276616820499E-2</v>
      </c>
      <c r="P203">
        <v>299</v>
      </c>
      <c r="Q203">
        <v>102</v>
      </c>
      <c r="R203">
        <v>445</v>
      </c>
      <c r="S203">
        <v>112</v>
      </c>
      <c r="T203">
        <v>18</v>
      </c>
      <c r="U203">
        <v>24</v>
      </c>
      <c r="V203">
        <v>154</v>
      </c>
    </row>
    <row r="204" spans="1:22" x14ac:dyDescent="0.25">
      <c r="A204">
        <v>41090</v>
      </c>
      <c r="B204">
        <v>95.661801589235736</v>
      </c>
      <c r="C204">
        <v>91.874666961234553</v>
      </c>
      <c r="D204">
        <v>99.992916527829777</v>
      </c>
      <c r="E204">
        <v>95.203023909993405</v>
      </c>
      <c r="F204">
        <v>98.600128903658003</v>
      </c>
      <c r="G204">
        <v>98.344902271854878</v>
      </c>
      <c r="H204">
        <v>80.928781127316668</v>
      </c>
      <c r="I204">
        <v>104.38451787906634</v>
      </c>
      <c r="J204">
        <v>95.693244690360004</v>
      </c>
      <c r="K204">
        <v>0.78233241965256906</v>
      </c>
      <c r="L204">
        <v>83.181383076923098</v>
      </c>
      <c r="M204">
        <v>2.7328072825683152</v>
      </c>
      <c r="N204">
        <v>0.54554070595886694</v>
      </c>
      <c r="O204">
        <v>-4.3636593431138501E-2</v>
      </c>
      <c r="P204">
        <v>299</v>
      </c>
      <c r="Q204">
        <v>102</v>
      </c>
      <c r="R204">
        <v>445</v>
      </c>
      <c r="S204">
        <v>112</v>
      </c>
      <c r="T204">
        <v>18</v>
      </c>
      <c r="U204">
        <v>24</v>
      </c>
      <c r="V204">
        <v>154</v>
      </c>
    </row>
    <row r="205" spans="1:22" x14ac:dyDescent="0.25">
      <c r="A205">
        <v>41182</v>
      </c>
      <c r="B205">
        <v>96.159757106247127</v>
      </c>
      <c r="C205">
        <v>92.663276461154041</v>
      </c>
      <c r="D205">
        <v>100.06941067775598</v>
      </c>
      <c r="E205">
        <v>96.120000892621292</v>
      </c>
      <c r="F205">
        <v>99.226062487439506</v>
      </c>
      <c r="G205">
        <v>98.889261550535934</v>
      </c>
      <c r="H205">
        <v>82.976582341582699</v>
      </c>
      <c r="I205">
        <v>103.68401053509801</v>
      </c>
      <c r="J205">
        <v>96.132770683416496</v>
      </c>
      <c r="K205">
        <v>0.77949894334766001</v>
      </c>
      <c r="L205">
        <v>84.087635384615396</v>
      </c>
      <c r="M205">
        <v>2.6338769922366603</v>
      </c>
      <c r="N205">
        <v>0.31575128789910001</v>
      </c>
      <c r="O205">
        <v>-7.0602534907149003E-2</v>
      </c>
      <c r="P205">
        <v>299</v>
      </c>
      <c r="Q205">
        <v>102</v>
      </c>
      <c r="R205">
        <v>445</v>
      </c>
      <c r="S205">
        <v>112</v>
      </c>
      <c r="T205">
        <v>18</v>
      </c>
      <c r="U205">
        <v>24</v>
      </c>
      <c r="V205">
        <v>154</v>
      </c>
    </row>
    <row r="206" spans="1:22" x14ac:dyDescent="0.25">
      <c r="A206">
        <v>41274</v>
      </c>
      <c r="B206">
        <v>97.162654247917999</v>
      </c>
      <c r="C206">
        <v>93.826523338900373</v>
      </c>
      <c r="D206">
        <v>100.41599137190799</v>
      </c>
      <c r="E206">
        <v>97.577218272869018</v>
      </c>
      <c r="F206">
        <v>100.720386662997</v>
      </c>
      <c r="G206">
        <v>99.479593443291932</v>
      </c>
      <c r="H206">
        <v>84.635244859279169</v>
      </c>
      <c r="I206">
        <v>105.58557801242399</v>
      </c>
      <c r="J206">
        <v>97.110964269244803</v>
      </c>
      <c r="K206">
        <v>0.78154662829000898</v>
      </c>
      <c r="L206">
        <v>83.635050000000007</v>
      </c>
      <c r="M206">
        <v>2.8395493192289751</v>
      </c>
      <c r="N206">
        <v>0.104563536497584</v>
      </c>
      <c r="O206">
        <v>0.17002043948124901</v>
      </c>
      <c r="P206">
        <v>299</v>
      </c>
      <c r="Q206">
        <v>102</v>
      </c>
      <c r="R206">
        <v>445</v>
      </c>
      <c r="S206">
        <v>112</v>
      </c>
      <c r="T206">
        <v>18</v>
      </c>
      <c r="U206">
        <v>24</v>
      </c>
      <c r="V206">
        <v>154</v>
      </c>
    </row>
    <row r="207" spans="1:22" x14ac:dyDescent="0.25">
      <c r="A207">
        <v>41364</v>
      </c>
      <c r="B207">
        <v>97.878204369286664</v>
      </c>
      <c r="C207">
        <v>94.497713062964138</v>
      </c>
      <c r="D207">
        <v>100.25492351994366</v>
      </c>
      <c r="E207">
        <v>98.933189023488126</v>
      </c>
      <c r="F207">
        <v>101.831219987024</v>
      </c>
      <c r="G207">
        <v>101.77752488879499</v>
      </c>
      <c r="H207">
        <v>85.719780021004397</v>
      </c>
      <c r="I207">
        <v>108.31118169835234</v>
      </c>
      <c r="J207">
        <v>97.925488465259704</v>
      </c>
      <c r="K207">
        <v>0.79884478823621796</v>
      </c>
      <c r="L207">
        <v>80.442884375000006</v>
      </c>
      <c r="M207">
        <v>2.7984394444998073</v>
      </c>
      <c r="N207">
        <v>0.324024369524822</v>
      </c>
      <c r="O207">
        <v>0.241460052475615</v>
      </c>
      <c r="P207">
        <v>296</v>
      </c>
      <c r="Q207">
        <v>88</v>
      </c>
      <c r="R207">
        <v>466</v>
      </c>
      <c r="S207">
        <v>106</v>
      </c>
      <c r="T207">
        <v>20</v>
      </c>
      <c r="U207">
        <v>24</v>
      </c>
      <c r="V207">
        <v>150</v>
      </c>
    </row>
    <row r="208" spans="1:22" x14ac:dyDescent="0.25">
      <c r="A208">
        <v>41455</v>
      </c>
      <c r="B208">
        <v>98.251378473589838</v>
      </c>
      <c r="C208">
        <v>95.046476257027862</v>
      </c>
      <c r="D208">
        <v>100.27978237194566</v>
      </c>
      <c r="E208">
        <v>99.859685215060438</v>
      </c>
      <c r="F208">
        <v>102.75500391936266</v>
      </c>
      <c r="G208">
        <v>101.836289917104</v>
      </c>
      <c r="H208">
        <v>87.210873548229799</v>
      </c>
      <c r="I208">
        <v>107.83201654009734</v>
      </c>
      <c r="J208">
        <v>98.272753366828596</v>
      </c>
      <c r="K208">
        <v>0.79167951163778205</v>
      </c>
      <c r="L208">
        <v>80.515092307692299</v>
      </c>
      <c r="M208">
        <v>2.5464188172083313</v>
      </c>
      <c r="N208">
        <v>0.31364041349556798</v>
      </c>
      <c r="O208">
        <v>-4.6266301499783898E-2</v>
      </c>
      <c r="P208">
        <v>296</v>
      </c>
      <c r="Q208">
        <v>88</v>
      </c>
      <c r="R208">
        <v>466</v>
      </c>
      <c r="S208">
        <v>106</v>
      </c>
      <c r="T208">
        <v>20</v>
      </c>
      <c r="U208">
        <v>24</v>
      </c>
      <c r="V208">
        <v>150</v>
      </c>
    </row>
    <row r="209" spans="1:22" x14ac:dyDescent="0.25">
      <c r="A209">
        <v>41547</v>
      </c>
      <c r="B209">
        <v>98.752854591939908</v>
      </c>
      <c r="C209">
        <v>95.572863782293311</v>
      </c>
      <c r="D209">
        <v>100.44629317566866</v>
      </c>
      <c r="E209">
        <v>100.64149809400267</v>
      </c>
      <c r="F209">
        <v>103.29671967476033</v>
      </c>
      <c r="G209">
        <v>102.71419074656801</v>
      </c>
      <c r="H209">
        <v>88.583060290652668</v>
      </c>
      <c r="I209">
        <v>108.30898115607933</v>
      </c>
      <c r="J209">
        <v>98.742078767920106</v>
      </c>
      <c r="K209">
        <v>0.79239358474646304</v>
      </c>
      <c r="L209">
        <v>81.208398484848502</v>
      </c>
      <c r="M209">
        <v>2.5748216030053293</v>
      </c>
      <c r="N209">
        <v>0.43632015937909602</v>
      </c>
      <c r="O209">
        <v>5.0228150077548703E-2</v>
      </c>
      <c r="P209">
        <v>296</v>
      </c>
      <c r="Q209">
        <v>88</v>
      </c>
      <c r="R209">
        <v>466</v>
      </c>
      <c r="S209">
        <v>106</v>
      </c>
      <c r="T209">
        <v>20</v>
      </c>
      <c r="U209">
        <v>24</v>
      </c>
      <c r="V209">
        <v>150</v>
      </c>
    </row>
    <row r="210" spans="1:22" x14ac:dyDescent="0.25">
      <c r="A210">
        <v>41639</v>
      </c>
      <c r="B210">
        <v>99.16645698771913</v>
      </c>
      <c r="C210">
        <v>96.228078680329631</v>
      </c>
      <c r="D210">
        <v>100.78376977819967</v>
      </c>
      <c r="E210">
        <v>101.17449901115033</v>
      </c>
      <c r="F210">
        <v>103.58088696547502</v>
      </c>
      <c r="G210">
        <v>102.56867208326467</v>
      </c>
      <c r="H210">
        <v>90.447371162377706</v>
      </c>
      <c r="I210">
        <v>107.92752093511767</v>
      </c>
      <c r="J210">
        <v>99.137279807018302</v>
      </c>
      <c r="K210">
        <v>0.77685805948687903</v>
      </c>
      <c r="L210">
        <v>83.550871212121194</v>
      </c>
      <c r="M210">
        <v>2.8319255146371365</v>
      </c>
      <c r="N210">
        <v>0.22219070211023301</v>
      </c>
      <c r="O210">
        <v>-3.9462920803342003E-2</v>
      </c>
      <c r="P210">
        <v>296</v>
      </c>
      <c r="Q210">
        <v>88</v>
      </c>
      <c r="R210">
        <v>466</v>
      </c>
      <c r="S210">
        <v>106</v>
      </c>
      <c r="T210">
        <v>20</v>
      </c>
      <c r="U210">
        <v>24</v>
      </c>
      <c r="V210">
        <v>150</v>
      </c>
    </row>
    <row r="211" spans="1:22" x14ac:dyDescent="0.25">
      <c r="A211">
        <v>41729</v>
      </c>
      <c r="B211">
        <v>99.615965019554665</v>
      </c>
      <c r="C211">
        <v>96.761795187350572</v>
      </c>
      <c r="D211">
        <v>100.74134078545767</v>
      </c>
      <c r="E211">
        <v>101.51263395869665</v>
      </c>
      <c r="F211">
        <v>103.69940747537733</v>
      </c>
      <c r="G211">
        <v>102.60369891342134</v>
      </c>
      <c r="H211">
        <v>91.971291673900566</v>
      </c>
      <c r="I211">
        <v>109.70553215533168</v>
      </c>
      <c r="J211">
        <v>99.631583657680906</v>
      </c>
      <c r="K211">
        <v>0.77005639191864195</v>
      </c>
      <c r="L211">
        <v>85.572229687499998</v>
      </c>
      <c r="M211">
        <v>2.2293252935517471</v>
      </c>
      <c r="N211">
        <v>9.8094031068240703E-2</v>
      </c>
      <c r="O211">
        <v>0.118953558534671</v>
      </c>
      <c r="P211">
        <v>303</v>
      </c>
      <c r="Q211">
        <v>80</v>
      </c>
      <c r="R211">
        <v>460</v>
      </c>
      <c r="S211">
        <v>112</v>
      </c>
      <c r="T211">
        <v>20</v>
      </c>
      <c r="U211">
        <v>25</v>
      </c>
      <c r="V211">
        <v>157</v>
      </c>
    </row>
    <row r="212" spans="1:22" x14ac:dyDescent="0.25">
      <c r="A212">
        <v>41820</v>
      </c>
      <c r="B212">
        <v>99.965838125717156</v>
      </c>
      <c r="C212">
        <v>97.447287714361963</v>
      </c>
      <c r="D212">
        <v>101.19548548535266</v>
      </c>
      <c r="E212">
        <v>101.10270726469498</v>
      </c>
      <c r="F212">
        <v>102.71213136249001</v>
      </c>
      <c r="G212">
        <v>102.60684242225399</v>
      </c>
      <c r="H212">
        <v>93.613842075338894</v>
      </c>
      <c r="I212">
        <v>108.99814611378167</v>
      </c>
      <c r="J212">
        <v>99.977142779752299</v>
      </c>
      <c r="K212">
        <v>0.76186138184852603</v>
      </c>
      <c r="L212">
        <v>86.910458461538497</v>
      </c>
      <c r="M212">
        <v>2.056924231171823</v>
      </c>
      <c r="N212">
        <v>0.10587156808661601</v>
      </c>
      <c r="O212">
        <v>-3.9039395433083303E-2</v>
      </c>
      <c r="P212">
        <v>303</v>
      </c>
      <c r="Q212">
        <v>80</v>
      </c>
      <c r="R212">
        <v>460</v>
      </c>
      <c r="S212">
        <v>112</v>
      </c>
      <c r="T212">
        <v>20</v>
      </c>
      <c r="U212">
        <v>25</v>
      </c>
      <c r="V212">
        <v>157</v>
      </c>
    </row>
    <row r="213" spans="1:22" x14ac:dyDescent="0.25">
      <c r="A213">
        <v>41912</v>
      </c>
      <c r="B213">
        <v>100.15677739650266</v>
      </c>
      <c r="C213">
        <v>97.959458747727567</v>
      </c>
      <c r="D213">
        <v>101.00929650617768</v>
      </c>
      <c r="E213">
        <v>101.19990884372199</v>
      </c>
      <c r="F213">
        <v>102.32972761473133</v>
      </c>
      <c r="G213">
        <v>102.08085754246467</v>
      </c>
      <c r="H213">
        <v>95.727338342374765</v>
      </c>
      <c r="I213">
        <v>108.44621183848399</v>
      </c>
      <c r="J213">
        <v>100.162977213931</v>
      </c>
      <c r="K213">
        <v>0.75226035278899805</v>
      </c>
      <c r="L213">
        <v>88.037404545454507</v>
      </c>
      <c r="M213">
        <v>2.1248729237613553</v>
      </c>
      <c r="N213">
        <v>3.7153210251410003E-2</v>
      </c>
      <c r="O213">
        <v>-1.7614852146566599E-2</v>
      </c>
      <c r="P213">
        <v>303</v>
      </c>
      <c r="Q213">
        <v>80</v>
      </c>
      <c r="R213">
        <v>460</v>
      </c>
      <c r="S213">
        <v>112</v>
      </c>
      <c r="T213">
        <v>20</v>
      </c>
      <c r="U213">
        <v>25</v>
      </c>
      <c r="V213">
        <v>157</v>
      </c>
    </row>
    <row r="214" spans="1:22" x14ac:dyDescent="0.25">
      <c r="A214">
        <v>42004</v>
      </c>
      <c r="B214">
        <v>100.07191441089135</v>
      </c>
      <c r="C214">
        <v>98.543422853539013</v>
      </c>
      <c r="D214">
        <v>100.49867292423799</v>
      </c>
      <c r="E214">
        <v>101.34937351147433</v>
      </c>
      <c r="F214">
        <v>101.90270688934201</v>
      </c>
      <c r="G214">
        <v>102.878615332145</v>
      </c>
      <c r="H214">
        <v>97.585296483620894</v>
      </c>
      <c r="I214">
        <v>105.70751267500732</v>
      </c>
      <c r="J214">
        <v>100.062422966814</v>
      </c>
      <c r="K214">
        <v>0.74632537520411302</v>
      </c>
      <c r="L214">
        <v>87.311537878787902</v>
      </c>
      <c r="M214">
        <v>1.7035599242558022</v>
      </c>
      <c r="N214">
        <v>-0.13202299430424599</v>
      </c>
      <c r="O214">
        <v>-0.210741219358592</v>
      </c>
      <c r="P214">
        <v>303</v>
      </c>
      <c r="Q214">
        <v>80</v>
      </c>
      <c r="R214">
        <v>460</v>
      </c>
      <c r="S214">
        <v>112</v>
      </c>
      <c r="T214">
        <v>20</v>
      </c>
      <c r="U214">
        <v>25</v>
      </c>
      <c r="V214">
        <v>157</v>
      </c>
    </row>
    <row r="215" spans="1:22" x14ac:dyDescent="0.25">
      <c r="A215">
        <v>42094</v>
      </c>
      <c r="B215">
        <v>99.755632787090562</v>
      </c>
      <c r="C215">
        <v>99.111039798440231</v>
      </c>
      <c r="D215">
        <v>100.21652259142411</v>
      </c>
      <c r="E215">
        <v>100.36849154654267</v>
      </c>
      <c r="F215">
        <v>100.68630581811134</v>
      </c>
      <c r="G215">
        <v>100.86594542534101</v>
      </c>
      <c r="H215">
        <v>98.714854790735032</v>
      </c>
      <c r="I215">
        <v>100.82974492430633</v>
      </c>
      <c r="J215">
        <v>99.740973780307399</v>
      </c>
      <c r="K215">
        <v>0.72680000070606599</v>
      </c>
      <c r="L215">
        <v>89.392121875000001</v>
      </c>
      <c r="M215">
        <v>1.1817637648378063</v>
      </c>
      <c r="N215">
        <v>-0.67043039392008297</v>
      </c>
      <c r="O215">
        <v>-0.39290195513478698</v>
      </c>
      <c r="P215">
        <v>303</v>
      </c>
      <c r="Q215">
        <v>76</v>
      </c>
      <c r="R215">
        <v>468</v>
      </c>
      <c r="S215">
        <v>110</v>
      </c>
      <c r="T215">
        <v>19</v>
      </c>
      <c r="U215">
        <v>24</v>
      </c>
      <c r="V215">
        <v>153</v>
      </c>
    </row>
    <row r="216" spans="1:22" x14ac:dyDescent="0.25">
      <c r="A216">
        <v>42185</v>
      </c>
      <c r="B216">
        <v>99.962623598589502</v>
      </c>
      <c r="C216">
        <v>99.576148438704664</v>
      </c>
      <c r="D216">
        <v>100.00497941655489</v>
      </c>
      <c r="E216">
        <v>100.17230383339533</v>
      </c>
      <c r="F216">
        <v>100.35619812088034</v>
      </c>
      <c r="G216">
        <v>100.54274488878302</v>
      </c>
      <c r="H216">
        <v>99.287739181330423</v>
      </c>
      <c r="I216">
        <v>101.88314359924034</v>
      </c>
      <c r="J216">
        <v>99.9740506397914</v>
      </c>
      <c r="K216">
        <v>0.72070090592318703</v>
      </c>
      <c r="L216">
        <v>91.205161538461496</v>
      </c>
      <c r="M216">
        <v>1.1947961687177484</v>
      </c>
      <c r="N216">
        <v>-0.50994347456409705</v>
      </c>
      <c r="O216">
        <v>0.11255125087073201</v>
      </c>
      <c r="P216">
        <v>303</v>
      </c>
      <c r="Q216">
        <v>76</v>
      </c>
      <c r="R216">
        <v>468</v>
      </c>
      <c r="S216">
        <v>110</v>
      </c>
      <c r="T216">
        <v>19</v>
      </c>
      <c r="U216">
        <v>24</v>
      </c>
      <c r="V216">
        <v>153</v>
      </c>
    </row>
    <row r="217" spans="1:22" x14ac:dyDescent="0.25">
      <c r="A217">
        <v>42277</v>
      </c>
      <c r="B217">
        <v>100.13001772567468</v>
      </c>
      <c r="C217">
        <v>100.26240995605899</v>
      </c>
      <c r="D217">
        <v>100.00264360420393</v>
      </c>
      <c r="E217">
        <v>99.895477823443045</v>
      </c>
      <c r="F217">
        <v>99.79550176561402</v>
      </c>
      <c r="G217">
        <v>99.805491883149145</v>
      </c>
      <c r="H217">
        <v>100.32517757628733</v>
      </c>
      <c r="I217">
        <v>99.959338478605204</v>
      </c>
      <c r="J217">
        <v>100.14053571658999</v>
      </c>
      <c r="K217">
        <v>0.71483241580357104</v>
      </c>
      <c r="L217">
        <v>92.868804545454594</v>
      </c>
      <c r="M217">
        <v>1.4668407504949574</v>
      </c>
      <c r="N217">
        <v>-0.60863214371339502</v>
      </c>
      <c r="O217">
        <v>-0.116694425304383</v>
      </c>
      <c r="P217">
        <v>303</v>
      </c>
      <c r="Q217">
        <v>76</v>
      </c>
      <c r="R217">
        <v>468</v>
      </c>
      <c r="S217">
        <v>110</v>
      </c>
      <c r="T217">
        <v>19</v>
      </c>
      <c r="U217">
        <v>24</v>
      </c>
      <c r="V217">
        <v>153</v>
      </c>
    </row>
    <row r="218" spans="1:22" x14ac:dyDescent="0.25">
      <c r="A218">
        <v>42369</v>
      </c>
      <c r="B218">
        <v>100.13180041585167</v>
      </c>
      <c r="C218">
        <v>101.03828066760633</v>
      </c>
      <c r="D218">
        <v>99.774836953145766</v>
      </c>
      <c r="E218">
        <v>99.558799446286272</v>
      </c>
      <c r="F218">
        <v>99.150770780724528</v>
      </c>
      <c r="G218">
        <v>98.665856625776954</v>
      </c>
      <c r="H218">
        <v>101.75459475617431</v>
      </c>
      <c r="I218">
        <v>97.165613855363333</v>
      </c>
      <c r="J218">
        <v>100.14443986331101</v>
      </c>
      <c r="K218">
        <v>0.70507772014187198</v>
      </c>
      <c r="L218">
        <v>92.134557575757597</v>
      </c>
      <c r="M218">
        <v>1.2905237090286479</v>
      </c>
      <c r="N218">
        <v>-0.61794357561025104</v>
      </c>
      <c r="O218">
        <v>-0.218829887052228</v>
      </c>
      <c r="P218">
        <v>303</v>
      </c>
      <c r="Q218">
        <v>76</v>
      </c>
      <c r="R218">
        <v>468</v>
      </c>
      <c r="S218">
        <v>110</v>
      </c>
      <c r="T218">
        <v>19</v>
      </c>
      <c r="U218">
        <v>24</v>
      </c>
      <c r="V218">
        <v>153</v>
      </c>
    </row>
    <row r="219" spans="1:22" x14ac:dyDescent="0.25">
      <c r="A219">
        <v>42460</v>
      </c>
      <c r="B219">
        <v>100.133489818812</v>
      </c>
      <c r="C219">
        <v>101.63112738985866</v>
      </c>
      <c r="D219">
        <v>99.608929671352641</v>
      </c>
      <c r="E219">
        <v>98.872707165271251</v>
      </c>
      <c r="F219">
        <v>98.164825487484862</v>
      </c>
      <c r="G219">
        <v>97.542297449576765</v>
      </c>
      <c r="H219">
        <v>102.86857682741932</v>
      </c>
      <c r="I219">
        <v>95.365136992549097</v>
      </c>
      <c r="J219">
        <v>100.093931219314</v>
      </c>
      <c r="K219">
        <v>0.72125814315421499</v>
      </c>
      <c r="L219">
        <v>86.998107692307698</v>
      </c>
      <c r="M219">
        <v>1.4081096049117914</v>
      </c>
      <c r="N219">
        <v>-0.425228377492884</v>
      </c>
      <c r="O219">
        <v>-0.196273681624174</v>
      </c>
      <c r="P219">
        <v>305</v>
      </c>
      <c r="Q219">
        <v>67</v>
      </c>
      <c r="R219">
        <v>483</v>
      </c>
      <c r="S219">
        <v>103</v>
      </c>
      <c r="T219">
        <v>19</v>
      </c>
      <c r="U219">
        <v>23</v>
      </c>
      <c r="V219">
        <v>145</v>
      </c>
    </row>
    <row r="220" spans="1:22" x14ac:dyDescent="0.25">
      <c r="A220">
        <v>42551</v>
      </c>
      <c r="B220">
        <v>100.31947375560632</v>
      </c>
      <c r="C220">
        <v>102.171692471244</v>
      </c>
      <c r="D220">
        <v>99.2159855091666</v>
      </c>
      <c r="E220">
        <v>98.48501779648133</v>
      </c>
      <c r="F220">
        <v>97.580678786642167</v>
      </c>
      <c r="G220">
        <v>96.31966917445807</v>
      </c>
      <c r="H220">
        <v>104.016084212427</v>
      </c>
      <c r="I220">
        <v>96.8491934681375</v>
      </c>
      <c r="J220">
        <v>100.33085845991801</v>
      </c>
      <c r="K220">
        <v>0.73626310989779298</v>
      </c>
      <c r="L220">
        <v>85.581083076923093</v>
      </c>
      <c r="M220">
        <v>1.5354544995855299</v>
      </c>
      <c r="N220">
        <v>-0.37357259263352899</v>
      </c>
      <c r="O220">
        <v>0.16448627630259699</v>
      </c>
      <c r="P220">
        <v>305</v>
      </c>
      <c r="Q220">
        <v>67</v>
      </c>
      <c r="R220">
        <v>483</v>
      </c>
      <c r="S220">
        <v>103</v>
      </c>
      <c r="T220">
        <v>19</v>
      </c>
      <c r="U220">
        <v>23</v>
      </c>
      <c r="V220">
        <v>145</v>
      </c>
    </row>
    <row r="221" spans="1:22" x14ac:dyDescent="0.25">
      <c r="A221">
        <v>42643</v>
      </c>
      <c r="B221">
        <v>100.82481509832233</v>
      </c>
      <c r="C221">
        <v>102.97930867263966</v>
      </c>
      <c r="D221">
        <v>99.172353616571925</v>
      </c>
      <c r="E221">
        <v>98.706664288254828</v>
      </c>
      <c r="F221">
        <v>97.440009421386776</v>
      </c>
      <c r="G221">
        <v>96.302258368281045</v>
      </c>
      <c r="H221">
        <v>105.933670642178</v>
      </c>
      <c r="I221">
        <v>97.784261523339822</v>
      </c>
      <c r="J221">
        <v>100.84211070442799</v>
      </c>
      <c r="K221">
        <v>0.766086099222828</v>
      </c>
      <c r="L221">
        <v>78.850371212121203</v>
      </c>
      <c r="M221">
        <v>1.7661002699234809</v>
      </c>
      <c r="N221">
        <v>-0.16392502505228099</v>
      </c>
      <c r="O221">
        <v>9.3194942011814802E-2</v>
      </c>
      <c r="P221">
        <v>305</v>
      </c>
      <c r="Q221">
        <v>67</v>
      </c>
      <c r="R221">
        <v>483</v>
      </c>
      <c r="S221">
        <v>103</v>
      </c>
      <c r="T221">
        <v>19</v>
      </c>
      <c r="U221">
        <v>23</v>
      </c>
      <c r="V221">
        <v>145</v>
      </c>
    </row>
    <row r="222" spans="1:22" x14ac:dyDescent="0.25">
      <c r="A222">
        <v>42735</v>
      </c>
      <c r="B222">
        <v>101.35186664603434</v>
      </c>
      <c r="C222">
        <v>103.43266050427299</v>
      </c>
      <c r="D222">
        <v>99.731752332473789</v>
      </c>
      <c r="E222">
        <v>98.872277310440268</v>
      </c>
      <c r="F222">
        <v>97.339348637610328</v>
      </c>
      <c r="G222">
        <v>97.007124293648772</v>
      </c>
      <c r="H222">
        <v>106.76438524670732</v>
      </c>
      <c r="I222">
        <v>100.00842211959575</v>
      </c>
      <c r="J222">
        <v>101.37727529972901</v>
      </c>
      <c r="K222">
        <v>0.78559038900338896</v>
      </c>
      <c r="L222">
        <v>76.623536923076898</v>
      </c>
      <c r="M222">
        <v>2.4293341619440096</v>
      </c>
      <c r="N222">
        <v>0.19889993586245699</v>
      </c>
      <c r="O222">
        <v>0.144100722711589</v>
      </c>
      <c r="P222">
        <v>305</v>
      </c>
      <c r="Q222">
        <v>67</v>
      </c>
      <c r="R222">
        <v>483</v>
      </c>
      <c r="S222">
        <v>103</v>
      </c>
      <c r="T222">
        <v>19</v>
      </c>
      <c r="U222">
        <v>23</v>
      </c>
      <c r="V222">
        <v>145</v>
      </c>
    </row>
    <row r="223" spans="1:22" x14ac:dyDescent="0.25">
      <c r="A223">
        <v>42825</v>
      </c>
      <c r="B223">
        <v>102.29072148417767</v>
      </c>
      <c r="C223">
        <v>104.16574844695931</v>
      </c>
      <c r="D223">
        <v>100.32431772350587</v>
      </c>
      <c r="E223">
        <v>100.01716640617356</v>
      </c>
      <c r="F223">
        <v>98.469796587441408</v>
      </c>
      <c r="G223">
        <v>97.889312835343688</v>
      </c>
      <c r="H223">
        <v>108.38779638595433</v>
      </c>
      <c r="I223">
        <v>103.5530457314</v>
      </c>
      <c r="J223">
        <v>102.233675240322</v>
      </c>
      <c r="K223">
        <v>0.79643989370686996</v>
      </c>
      <c r="L223">
        <v>77.053801538461499</v>
      </c>
      <c r="M223">
        <v>2.5776958521780435</v>
      </c>
      <c r="N223">
        <v>0.55056420967961694</v>
      </c>
      <c r="O223">
        <v>0.148333381346754</v>
      </c>
      <c r="P223">
        <v>313.33333333333331</v>
      </c>
      <c r="Q223">
        <v>66.333333333333329</v>
      </c>
      <c r="R223">
        <v>475.33333333333331</v>
      </c>
      <c r="S223">
        <v>102.66666666666667</v>
      </c>
      <c r="T223">
        <v>19.666666666666668</v>
      </c>
      <c r="U223">
        <v>22.666666666666668</v>
      </c>
      <c r="V223">
        <v>145</v>
      </c>
    </row>
    <row r="224" spans="1:22" x14ac:dyDescent="0.25">
      <c r="A224">
        <v>42916</v>
      </c>
      <c r="B224">
        <v>103.078107156494</v>
      </c>
      <c r="C224">
        <v>105.061771391146</v>
      </c>
      <c r="D224">
        <v>101.16649714443766</v>
      </c>
      <c r="E224">
        <v>101.23327770850166</v>
      </c>
      <c r="F224">
        <v>99.492434787397642</v>
      </c>
      <c r="G224">
        <v>99.075892579948189</v>
      </c>
      <c r="H224">
        <v>110.413144859841</v>
      </c>
      <c r="I224">
        <v>102.40742771068601</v>
      </c>
      <c r="J224">
        <v>103.090096344523</v>
      </c>
      <c r="K224">
        <v>0.79618408814021602</v>
      </c>
      <c r="L224">
        <v>77.968176923076896</v>
      </c>
      <c r="M224">
        <v>2.5814129404766706</v>
      </c>
      <c r="N224">
        <v>0.38598699929055602</v>
      </c>
      <c r="O224">
        <v>3.52988700838464E-3</v>
      </c>
      <c r="P224">
        <v>312</v>
      </c>
      <c r="Q224">
        <v>67</v>
      </c>
      <c r="R224">
        <v>475</v>
      </c>
      <c r="S224">
        <v>103</v>
      </c>
      <c r="T224">
        <v>20</v>
      </c>
      <c r="U224">
        <v>23</v>
      </c>
      <c r="V224">
        <v>146</v>
      </c>
    </row>
    <row r="225" spans="1:22" x14ac:dyDescent="0.25">
      <c r="A225">
        <v>43008</v>
      </c>
      <c r="B225">
        <v>103.64314014108032</v>
      </c>
      <c r="C225">
        <v>105.71176823488101</v>
      </c>
      <c r="D225">
        <v>101.61593641104533</v>
      </c>
      <c r="E225">
        <v>101.81678087546034</v>
      </c>
      <c r="F225">
        <v>99.909845665063088</v>
      </c>
      <c r="G225">
        <v>99.60222576777214</v>
      </c>
      <c r="H225">
        <v>111.81790391896266</v>
      </c>
      <c r="I225">
        <v>102.44660614568433</v>
      </c>
      <c r="J225">
        <v>103.66947598665099</v>
      </c>
      <c r="K225">
        <v>0.79936167572472205</v>
      </c>
      <c r="L225">
        <v>76.548027692307699</v>
      </c>
      <c r="M225">
        <v>2.5453003999512136</v>
      </c>
      <c r="N225">
        <v>0.33037874466038097</v>
      </c>
      <c r="O225">
        <v>3.7966343152193403E-2</v>
      </c>
      <c r="P225">
        <v>312</v>
      </c>
      <c r="Q225">
        <v>67</v>
      </c>
      <c r="R225">
        <v>475</v>
      </c>
      <c r="S225">
        <v>103</v>
      </c>
      <c r="T225">
        <v>20</v>
      </c>
      <c r="U225">
        <v>23</v>
      </c>
      <c r="V225">
        <v>146</v>
      </c>
    </row>
    <row r="226" spans="1:22" x14ac:dyDescent="0.25">
      <c r="A226">
        <v>43100</v>
      </c>
      <c r="B226">
        <v>104.42514916507599</v>
      </c>
      <c r="C226">
        <v>106.23712720059832</v>
      </c>
      <c r="D226">
        <v>102.24479571733666</v>
      </c>
      <c r="E226">
        <v>103.07894664460666</v>
      </c>
      <c r="F226">
        <v>101.25666960001233</v>
      </c>
      <c r="G226">
        <v>99.75402409166152</v>
      </c>
      <c r="H226">
        <v>113.51340915161866</v>
      </c>
      <c r="I226">
        <v>105.162171100789</v>
      </c>
      <c r="J226">
        <v>104.455453723315</v>
      </c>
      <c r="K226">
        <v>0.80579439262368302</v>
      </c>
      <c r="L226">
        <v>77.708216923076904</v>
      </c>
      <c r="M226">
        <v>2.7170212072523583</v>
      </c>
      <c r="N226">
        <v>0.33802634456306002</v>
      </c>
      <c r="O226">
        <v>0.14910290843450899</v>
      </c>
      <c r="P226">
        <v>312</v>
      </c>
      <c r="Q226">
        <v>67</v>
      </c>
      <c r="R226">
        <v>475</v>
      </c>
      <c r="S226">
        <v>103</v>
      </c>
      <c r="T226">
        <v>20</v>
      </c>
      <c r="U226">
        <v>23</v>
      </c>
      <c r="V226">
        <v>146</v>
      </c>
    </row>
    <row r="227" spans="1:22" x14ac:dyDescent="0.25">
      <c r="A227">
        <v>43190</v>
      </c>
      <c r="B227">
        <v>105.07830633175031</v>
      </c>
      <c r="C227">
        <v>106.84352480592867</v>
      </c>
      <c r="D227">
        <v>102.60423698833932</v>
      </c>
      <c r="E227">
        <v>103.73972690662868</v>
      </c>
      <c r="F227">
        <v>101.67692960922902</v>
      </c>
      <c r="G227">
        <v>99.91807672034507</v>
      </c>
      <c r="H227">
        <v>116.01780429054334</v>
      </c>
      <c r="I227">
        <v>107.57945237941033</v>
      </c>
      <c r="J227">
        <v>104.998311713889</v>
      </c>
      <c r="K227">
        <v>0.81529753488664503</v>
      </c>
      <c r="L227">
        <v>79.033741538461499</v>
      </c>
      <c r="M227">
        <v>2.4396786818528224</v>
      </c>
      <c r="N227">
        <v>0.24733463127710101</v>
      </c>
      <c r="O227">
        <v>5.4503903268826599E-2</v>
      </c>
      <c r="P227">
        <v>311.66666666666669</v>
      </c>
      <c r="Q227">
        <v>64.666666666666671</v>
      </c>
      <c r="R227">
        <v>481</v>
      </c>
      <c r="S227">
        <v>101</v>
      </c>
      <c r="T227">
        <v>19.666666666666668</v>
      </c>
      <c r="U227">
        <v>22</v>
      </c>
      <c r="V227">
        <v>142.66666666666669</v>
      </c>
    </row>
    <row r="228" spans="1:22" x14ac:dyDescent="0.25">
      <c r="A228">
        <v>43281</v>
      </c>
      <c r="B228">
        <v>105.56474582955633</v>
      </c>
      <c r="C228">
        <v>107.41384559290634</v>
      </c>
      <c r="D228">
        <v>102.91320704023001</v>
      </c>
      <c r="E228">
        <v>104.06474181882066</v>
      </c>
      <c r="F228">
        <v>101.77099681092902</v>
      </c>
      <c r="G228">
        <v>99.720037234909057</v>
      </c>
      <c r="H228">
        <v>118.05846295492934</v>
      </c>
      <c r="I228">
        <v>108.69293740124967</v>
      </c>
      <c r="J228">
        <v>105.59874310155099</v>
      </c>
      <c r="K228">
        <v>0.81863826660980799</v>
      </c>
      <c r="L228">
        <v>79.101027692307696</v>
      </c>
      <c r="M228">
        <v>2.4860103785103598</v>
      </c>
      <c r="N228">
        <v>0.40714614504868402</v>
      </c>
      <c r="O228">
        <v>0.16437025473436201</v>
      </c>
      <c r="P228">
        <v>311</v>
      </c>
      <c r="Q228">
        <v>65</v>
      </c>
      <c r="R228">
        <v>481</v>
      </c>
      <c r="S228">
        <v>101</v>
      </c>
      <c r="T228">
        <v>20</v>
      </c>
      <c r="U228">
        <v>22</v>
      </c>
      <c r="V228">
        <v>143</v>
      </c>
    </row>
    <row r="229" spans="1:22" x14ac:dyDescent="0.25">
      <c r="A229">
        <v>43373</v>
      </c>
      <c r="B229">
        <v>106.24111830317599</v>
      </c>
      <c r="C229">
        <v>108.25622904895333</v>
      </c>
      <c r="D229">
        <v>102.849024366881</v>
      </c>
      <c r="E229">
        <v>104.47243524284534</v>
      </c>
      <c r="F229">
        <v>101.96865580305767</v>
      </c>
      <c r="G229">
        <v>99.976991198166061</v>
      </c>
      <c r="H229">
        <v>119.75310510822634</v>
      </c>
      <c r="I229">
        <v>111.74228545577701</v>
      </c>
      <c r="J229">
        <v>106.264776934575</v>
      </c>
      <c r="K229">
        <v>0.827664917308371</v>
      </c>
      <c r="L229">
        <v>77.813970769230806</v>
      </c>
      <c r="M229">
        <v>2.6759360893479318</v>
      </c>
      <c r="N229">
        <v>0.59026787322204399</v>
      </c>
      <c r="O229">
        <v>0.21968415645398701</v>
      </c>
      <c r="P229">
        <v>311</v>
      </c>
      <c r="Q229">
        <v>65</v>
      </c>
      <c r="R229">
        <v>481</v>
      </c>
      <c r="S229">
        <v>101</v>
      </c>
      <c r="T229">
        <v>20</v>
      </c>
      <c r="U229">
        <v>22</v>
      </c>
      <c r="V229">
        <v>143</v>
      </c>
    </row>
    <row r="230" spans="1:22" x14ac:dyDescent="0.25">
      <c r="A230">
        <v>43465</v>
      </c>
      <c r="B230">
        <v>106.79819467718634</v>
      </c>
      <c r="C230">
        <v>108.863811690649</v>
      </c>
      <c r="D230">
        <v>103.19250248918267</v>
      </c>
      <c r="E230">
        <v>104.96451236826</v>
      </c>
      <c r="F230">
        <v>101.96227264327433</v>
      </c>
      <c r="G230">
        <v>100.266200933883</v>
      </c>
      <c r="H230">
        <v>122.71904686377233</v>
      </c>
      <c r="I230">
        <v>113.99764934990235</v>
      </c>
      <c r="J230">
        <v>106.82547362140301</v>
      </c>
      <c r="K230">
        <v>0.82610064085679102</v>
      </c>
      <c r="L230">
        <v>77.843365151515201</v>
      </c>
      <c r="M230">
        <v>2.7140589507350836</v>
      </c>
      <c r="N230">
        <v>0.53549829449636599</v>
      </c>
      <c r="O230">
        <v>9.5964640682364502E-2</v>
      </c>
      <c r="P230">
        <v>311</v>
      </c>
      <c r="Q230">
        <v>65</v>
      </c>
      <c r="R230">
        <v>481</v>
      </c>
      <c r="S230">
        <v>101</v>
      </c>
      <c r="T230">
        <v>20</v>
      </c>
      <c r="U230">
        <v>22</v>
      </c>
      <c r="V230">
        <v>143</v>
      </c>
    </row>
    <row r="231" spans="1:22" x14ac:dyDescent="0.25">
      <c r="A231">
        <v>43555</v>
      </c>
      <c r="B231">
        <v>107.07065987406367</v>
      </c>
      <c r="C231">
        <v>109.50362203026934</v>
      </c>
      <c r="D231">
        <v>103.54776466208834</v>
      </c>
      <c r="E231">
        <v>105.88237163900699</v>
      </c>
      <c r="F231">
        <v>102.66410131178965</v>
      </c>
      <c r="G231">
        <v>100.896818387238</v>
      </c>
      <c r="H231">
        <v>125.21584018877734</v>
      </c>
      <c r="I231">
        <v>109.33760901339868</v>
      </c>
      <c r="J231">
        <v>106.96537965736999</v>
      </c>
      <c r="K231">
        <v>0.82186357580014402</v>
      </c>
      <c r="L231">
        <v>78.730029687499993</v>
      </c>
      <c r="M231">
        <v>2.7331364493732195</v>
      </c>
      <c r="N231">
        <v>0.111501420298973</v>
      </c>
      <c r="O231">
        <v>-0.324727992496813</v>
      </c>
      <c r="P231">
        <v>318.33333333333331</v>
      </c>
      <c r="Q231">
        <v>61.666666666666664</v>
      </c>
      <c r="R231">
        <v>480</v>
      </c>
      <c r="S231">
        <v>100</v>
      </c>
      <c r="T231">
        <v>19</v>
      </c>
      <c r="U231">
        <v>21</v>
      </c>
      <c r="V231">
        <v>140</v>
      </c>
    </row>
    <row r="232" spans="1:22" x14ac:dyDescent="0.25">
      <c r="A232">
        <v>43646</v>
      </c>
      <c r="B232">
        <v>107.70041211587333</v>
      </c>
      <c r="C232">
        <v>110.25025651536366</v>
      </c>
      <c r="D232">
        <v>103.31881835658901</v>
      </c>
      <c r="E232">
        <v>105.96247233678935</v>
      </c>
      <c r="F232">
        <v>102.90181489149199</v>
      </c>
      <c r="G232">
        <v>100.39083237761901</v>
      </c>
      <c r="H232">
        <v>125.29006150804834</v>
      </c>
      <c r="I232">
        <v>115.30591783247799</v>
      </c>
      <c r="J232">
        <v>107.77555903789001</v>
      </c>
      <c r="K232">
        <v>0.82949036029431999</v>
      </c>
      <c r="L232">
        <v>78.457547692307699</v>
      </c>
      <c r="M232">
        <v>2.6212425518623172</v>
      </c>
      <c r="N232">
        <v>0.40244228624181999</v>
      </c>
      <c r="O232">
        <v>0.450193982701309</v>
      </c>
      <c r="P232">
        <v>318</v>
      </c>
      <c r="Q232">
        <v>61</v>
      </c>
      <c r="R232">
        <v>481</v>
      </c>
      <c r="S232">
        <v>100</v>
      </c>
      <c r="T232">
        <v>19</v>
      </c>
      <c r="U232">
        <v>21</v>
      </c>
      <c r="V232">
        <v>140</v>
      </c>
    </row>
    <row r="233" spans="1:22" x14ac:dyDescent="0.25">
      <c r="A233">
        <v>43738</v>
      </c>
      <c r="B233">
        <v>108.19067065768434</v>
      </c>
      <c r="C233">
        <v>110.88186438031533</v>
      </c>
      <c r="D233">
        <v>103.48744032378632</v>
      </c>
      <c r="E233">
        <v>106.69509169850033</v>
      </c>
      <c r="F233">
        <v>103.62425680879767</v>
      </c>
      <c r="G233">
        <v>100.92432301925366</v>
      </c>
      <c r="H233">
        <v>126.24912389103433</v>
      </c>
      <c r="I233">
        <v>114.875297330347</v>
      </c>
      <c r="J233">
        <v>108.20201446995</v>
      </c>
      <c r="K233">
        <v>0.84436390000637895</v>
      </c>
      <c r="L233">
        <v>75.795746969697007</v>
      </c>
      <c r="M233">
        <v>2.9781745842670815</v>
      </c>
      <c r="N233">
        <v>0.17462163035891601</v>
      </c>
      <c r="O233">
        <v>-8.21163442679727E-3</v>
      </c>
      <c r="P233">
        <v>318</v>
      </c>
      <c r="Q233">
        <v>61</v>
      </c>
      <c r="R233">
        <v>481</v>
      </c>
      <c r="S233">
        <v>100</v>
      </c>
      <c r="T233">
        <v>19</v>
      </c>
      <c r="U233">
        <v>21</v>
      </c>
      <c r="V233">
        <v>140</v>
      </c>
    </row>
    <row r="234" spans="1:22" x14ac:dyDescent="0.25">
      <c r="A234">
        <v>43830</v>
      </c>
      <c r="B234">
        <v>108.30435827001334</v>
      </c>
      <c r="C234">
        <v>111.43137794905333</v>
      </c>
      <c r="D234">
        <v>103.65087563153101</v>
      </c>
      <c r="E234">
        <v>106.92037383554499</v>
      </c>
      <c r="F234">
        <v>103.70219769545167</v>
      </c>
      <c r="G234">
        <v>101.56593504136465</v>
      </c>
      <c r="H234">
        <v>126.31113155636866</v>
      </c>
      <c r="I234">
        <v>112.10913678380966</v>
      </c>
      <c r="J234">
        <v>108.323574868143</v>
      </c>
      <c r="K234">
        <v>0.82504169474928601</v>
      </c>
      <c r="L234">
        <v>79.403969696969696</v>
      </c>
      <c r="M234">
        <v>2.5033196655575458</v>
      </c>
      <c r="N234">
        <v>-0.11693353700046701</v>
      </c>
      <c r="O234">
        <v>-0.19324283466898201</v>
      </c>
      <c r="P234">
        <v>318</v>
      </c>
      <c r="Q234">
        <v>61</v>
      </c>
      <c r="R234">
        <v>481</v>
      </c>
      <c r="S234">
        <v>100</v>
      </c>
      <c r="T234">
        <v>19</v>
      </c>
      <c r="U234">
        <v>21</v>
      </c>
      <c r="V234">
        <v>140</v>
      </c>
    </row>
    <row r="235" spans="1:22" x14ac:dyDescent="0.25">
      <c r="A235">
        <v>43921</v>
      </c>
      <c r="B235">
        <v>108.90634649909633</v>
      </c>
      <c r="C235">
        <v>112.20774949701099</v>
      </c>
      <c r="D235">
        <v>103.98833715920932</v>
      </c>
      <c r="E235">
        <v>107.27607337307568</v>
      </c>
      <c r="F235">
        <v>104.05376184878433</v>
      </c>
      <c r="G235">
        <v>101.86987851832366</v>
      </c>
      <c r="H235">
        <v>126.67811277124234</v>
      </c>
      <c r="I235">
        <v>112.88803408675399</v>
      </c>
      <c r="J235">
        <v>108.769487200033</v>
      </c>
      <c r="K235">
        <v>0.81896626934969596</v>
      </c>
      <c r="L235">
        <v>79.231538461538506</v>
      </c>
      <c r="M235">
        <v>2.6753569594618285</v>
      </c>
      <c r="N235">
        <v>0.18927622328845001</v>
      </c>
      <c r="O235">
        <v>-5.2128643277585103E-2</v>
      </c>
      <c r="P235">
        <v>308.33333333333331</v>
      </c>
      <c r="Q235">
        <v>63.666666666666664</v>
      </c>
      <c r="R235">
        <v>489.33333333333331</v>
      </c>
      <c r="S235">
        <v>99</v>
      </c>
      <c r="T235">
        <v>19.666666666666668</v>
      </c>
      <c r="U235">
        <v>20</v>
      </c>
      <c r="V235">
        <v>138.66666666666669</v>
      </c>
    </row>
    <row r="236" spans="1:22" x14ac:dyDescent="0.25">
      <c r="A236">
        <v>44012</v>
      </c>
      <c r="B236">
        <v>108.303362615308</v>
      </c>
      <c r="C236">
        <v>112.324651874241</v>
      </c>
      <c r="D236">
        <v>103.80857337539202</v>
      </c>
      <c r="E236">
        <v>107.74754140122501</v>
      </c>
      <c r="F236">
        <v>104.34346429090067</v>
      </c>
      <c r="G236">
        <v>102.44296494218133</v>
      </c>
      <c r="H236">
        <v>128.61565162153101</v>
      </c>
      <c r="I236">
        <v>102.54472067931165</v>
      </c>
      <c r="J236">
        <v>108.439368781261</v>
      </c>
      <c r="K236">
        <v>0.80862292439016603</v>
      </c>
      <c r="L236">
        <v>77.416984615384607</v>
      </c>
      <c r="M236">
        <v>3.0786650622291059</v>
      </c>
      <c r="N236">
        <v>-0.70211571573449605</v>
      </c>
      <c r="O236">
        <v>-0.45655752598020999</v>
      </c>
      <c r="P236">
        <v>307</v>
      </c>
      <c r="Q236">
        <v>64</v>
      </c>
      <c r="R236">
        <v>490</v>
      </c>
      <c r="S236">
        <v>99</v>
      </c>
      <c r="T236">
        <v>20</v>
      </c>
      <c r="U236">
        <v>20</v>
      </c>
      <c r="V236">
        <v>139</v>
      </c>
    </row>
    <row r="237" spans="1:22" x14ac:dyDescent="0.25">
      <c r="A237">
        <v>44104</v>
      </c>
      <c r="B237">
        <v>108.84607786104732</v>
      </c>
      <c r="C237">
        <v>112.44563472779366</v>
      </c>
      <c r="D237">
        <v>104.624947573298</v>
      </c>
      <c r="E237">
        <v>107.63909292525334</v>
      </c>
      <c r="F237">
        <v>103.96241815718167</v>
      </c>
      <c r="G237">
        <v>101.79012873180933</v>
      </c>
      <c r="H237">
        <v>130.62274333271469</v>
      </c>
      <c r="I237">
        <v>104.98447309946266</v>
      </c>
      <c r="J237">
        <v>108.829736313296</v>
      </c>
      <c r="K237">
        <v>0.810392277477061</v>
      </c>
      <c r="L237">
        <v>77.450487878787897</v>
      </c>
      <c r="M237">
        <v>3.1319434989789481</v>
      </c>
      <c r="N237">
        <v>-0.57563884899936701</v>
      </c>
      <c r="O237">
        <v>0.118900887754049</v>
      </c>
      <c r="P237">
        <v>307</v>
      </c>
      <c r="Q237">
        <v>64</v>
      </c>
      <c r="R237">
        <v>490</v>
      </c>
      <c r="S237">
        <v>99</v>
      </c>
      <c r="T237">
        <v>20</v>
      </c>
      <c r="U237">
        <v>20</v>
      </c>
      <c r="V237">
        <v>139</v>
      </c>
    </row>
    <row r="238" spans="1:22" x14ac:dyDescent="0.25">
      <c r="A238">
        <v>44196</v>
      </c>
      <c r="B238">
        <v>108.88690430044467</v>
      </c>
      <c r="C238">
        <v>113.02038140705299</v>
      </c>
      <c r="D238">
        <v>104.88812615868066</v>
      </c>
      <c r="E238">
        <v>107.30487809386567</v>
      </c>
      <c r="F238">
        <v>103.19449116217601</v>
      </c>
      <c r="G238">
        <v>101.93470330339267</v>
      </c>
      <c r="H238">
        <v>131.91327139222167</v>
      </c>
      <c r="I238">
        <v>102.07040266952434</v>
      </c>
      <c r="J238">
        <v>108.888599619003</v>
      </c>
      <c r="K238">
        <v>0.82076763633163197</v>
      </c>
      <c r="L238">
        <v>77.959993939393897</v>
      </c>
      <c r="M238">
        <v>3.4145577808828897</v>
      </c>
      <c r="N238">
        <v>-0.57586475394540204</v>
      </c>
      <c r="O238">
        <v>-0.193774322000975</v>
      </c>
      <c r="P238">
        <v>307</v>
      </c>
      <c r="Q238">
        <v>64</v>
      </c>
      <c r="R238">
        <v>490</v>
      </c>
      <c r="S238">
        <v>99</v>
      </c>
      <c r="T238">
        <v>20</v>
      </c>
      <c r="U238">
        <v>20</v>
      </c>
      <c r="V238">
        <v>139</v>
      </c>
    </row>
    <row r="239" spans="1:22" x14ac:dyDescent="0.25">
      <c r="A239">
        <v>44286</v>
      </c>
      <c r="B239">
        <v>109.62443116872799</v>
      </c>
      <c r="C239">
        <v>114.02558918908967</v>
      </c>
      <c r="D239">
        <v>104.74841692999367</v>
      </c>
      <c r="E239">
        <v>107.48109772562434</v>
      </c>
      <c r="F239">
        <v>103.17080170780234</v>
      </c>
      <c r="G239">
        <v>102.19877984144865</v>
      </c>
      <c r="H239">
        <v>133.15248097733135</v>
      </c>
      <c r="I239">
        <v>106.37111543444666</v>
      </c>
      <c r="J239">
        <v>109.501363734799</v>
      </c>
      <c r="K239">
        <v>0.81629886389552497</v>
      </c>
      <c r="L239">
        <v>80.480732812499994</v>
      </c>
      <c r="M239">
        <v>2.9821807365306072</v>
      </c>
      <c r="N239">
        <v>-0.348601630197937</v>
      </c>
      <c r="O239">
        <v>0.17080172065947599</v>
      </c>
      <c r="P239">
        <v>348.33333333333331</v>
      </c>
      <c r="Q239">
        <v>59.666666666666664</v>
      </c>
      <c r="R239">
        <v>433.33333333333331</v>
      </c>
      <c r="S239">
        <v>114</v>
      </c>
      <c r="T239">
        <v>22.666666666666668</v>
      </c>
      <c r="U239">
        <v>22</v>
      </c>
      <c r="V239">
        <v>158.66666666666666</v>
      </c>
    </row>
    <row r="240" spans="1:22" x14ac:dyDescent="0.25">
      <c r="A240">
        <v>44377</v>
      </c>
      <c r="B240">
        <v>110.44978593428367</v>
      </c>
      <c r="C240">
        <v>114.37272770811234</v>
      </c>
      <c r="D240">
        <v>105.85979112598267</v>
      </c>
      <c r="E240">
        <v>107.77476832443467</v>
      </c>
      <c r="F240">
        <v>103.53597468448567</v>
      </c>
      <c r="G240">
        <v>103.32417392394166</v>
      </c>
      <c r="H240">
        <v>132.45914330683036</v>
      </c>
      <c r="I240">
        <v>111.47824915505699</v>
      </c>
      <c r="J240">
        <v>110.613080184569</v>
      </c>
      <c r="K240">
        <v>0.82433035561079504</v>
      </c>
      <c r="L240">
        <v>81.787815384615399</v>
      </c>
      <c r="M240">
        <v>2.7653976909254645</v>
      </c>
      <c r="N240">
        <v>0.54964160198908096</v>
      </c>
      <c r="O240">
        <v>0.45347528115059499</v>
      </c>
      <c r="P240">
        <v>347</v>
      </c>
      <c r="Q240">
        <v>60</v>
      </c>
      <c r="R240">
        <v>434</v>
      </c>
      <c r="S240">
        <v>114</v>
      </c>
      <c r="T240">
        <v>23</v>
      </c>
      <c r="U240">
        <v>22</v>
      </c>
      <c r="V240">
        <v>159</v>
      </c>
    </row>
    <row r="241" spans="1:22" x14ac:dyDescent="0.25">
      <c r="A241">
        <v>44469</v>
      </c>
      <c r="B241">
        <v>111.87199334694968</v>
      </c>
      <c r="C241">
        <v>115.143371709628</v>
      </c>
      <c r="D241">
        <v>107.74891577984067</v>
      </c>
      <c r="E241">
        <v>108.42010374180366</v>
      </c>
      <c r="F241">
        <v>104.09365584180433</v>
      </c>
      <c r="G241">
        <v>103.39592544728633</v>
      </c>
      <c r="H241">
        <v>134.15344996532698</v>
      </c>
      <c r="I241">
        <v>115.32827381164232</v>
      </c>
      <c r="J241">
        <v>111.822515807565</v>
      </c>
      <c r="K241">
        <v>0.83992954942113196</v>
      </c>
      <c r="L241">
        <v>81.774842424242394</v>
      </c>
      <c r="M241">
        <v>3.4330399377282408</v>
      </c>
      <c r="N241">
        <v>0.580538015574526</v>
      </c>
      <c r="O241">
        <v>0.14217114750364401</v>
      </c>
      <c r="P241">
        <v>347</v>
      </c>
      <c r="Q241">
        <v>60</v>
      </c>
      <c r="R241">
        <v>434</v>
      </c>
      <c r="S241">
        <v>114</v>
      </c>
      <c r="T241">
        <v>23</v>
      </c>
      <c r="U241">
        <v>22</v>
      </c>
      <c r="V241">
        <v>159</v>
      </c>
    </row>
    <row r="242" spans="1:22" x14ac:dyDescent="0.25">
      <c r="A242">
        <v>44561</v>
      </c>
      <c r="B242">
        <v>114.25306744932533</v>
      </c>
      <c r="C242">
        <v>116.76302625711266</v>
      </c>
      <c r="D242">
        <v>109.67549652028868</v>
      </c>
      <c r="E242">
        <v>110.39334148594567</v>
      </c>
      <c r="F242">
        <v>105.91460997218799</v>
      </c>
      <c r="G242">
        <v>104.10666918788034</v>
      </c>
      <c r="H242">
        <v>138.27029888760299</v>
      </c>
      <c r="I242">
        <v>126.88976627866468</v>
      </c>
      <c r="J242">
        <v>114.237890257296</v>
      </c>
      <c r="K242">
        <v>0.89390208248498604</v>
      </c>
      <c r="L242">
        <v>81.611703030303005</v>
      </c>
      <c r="M242">
        <v>5.1936780789271362</v>
      </c>
      <c r="N242">
        <v>1.4272711973059899</v>
      </c>
      <c r="O242">
        <v>0.63228111747361804</v>
      </c>
      <c r="P242">
        <v>347</v>
      </c>
      <c r="Q242">
        <v>60</v>
      </c>
      <c r="R242">
        <v>434</v>
      </c>
      <c r="S242">
        <v>114</v>
      </c>
      <c r="T242">
        <v>23</v>
      </c>
      <c r="U242">
        <v>22</v>
      </c>
      <c r="V242">
        <v>159</v>
      </c>
    </row>
    <row r="243" spans="1:22" x14ac:dyDescent="0.25">
      <c r="A243">
        <v>44651</v>
      </c>
      <c r="B243">
        <v>116.49437909453967</v>
      </c>
      <c r="C243">
        <v>118.19773272860134</v>
      </c>
      <c r="D243">
        <v>112.12398274956865</v>
      </c>
      <c r="E243">
        <v>112.63036972856032</v>
      </c>
      <c r="F243">
        <v>108.48169373394467</v>
      </c>
      <c r="G243">
        <v>104.05011901519934</v>
      </c>
      <c r="H243">
        <v>141.15794942272467</v>
      </c>
      <c r="I243">
        <v>132.05596111427903</v>
      </c>
      <c r="J243">
        <v>116.398638086178</v>
      </c>
      <c r="K243">
        <v>0.92184313282267805</v>
      </c>
      <c r="L243">
        <v>82.334651562499999</v>
      </c>
      <c r="M243">
        <v>6.6732619097853254</v>
      </c>
      <c r="N243">
        <v>1.47498838130139</v>
      </c>
      <c r="O243">
        <v>0.224820323383816</v>
      </c>
      <c r="P243">
        <v>331.33333333333331</v>
      </c>
      <c r="Q243">
        <v>67</v>
      </c>
      <c r="R243">
        <v>436.66666666666669</v>
      </c>
      <c r="S243">
        <v>115.66666666666667</v>
      </c>
      <c r="T243">
        <v>26.333333333333332</v>
      </c>
      <c r="U243">
        <v>23</v>
      </c>
      <c r="V243">
        <v>165</v>
      </c>
    </row>
    <row r="244" spans="1:22" x14ac:dyDescent="0.25">
      <c r="A244">
        <v>44742</v>
      </c>
      <c r="B244">
        <v>120.48508528790366</v>
      </c>
      <c r="C244">
        <v>119.95711784402799</v>
      </c>
      <c r="D244">
        <v>113.43538883551601</v>
      </c>
      <c r="E244">
        <v>115.56914639817933</v>
      </c>
      <c r="F244">
        <v>112.15563187398099</v>
      </c>
      <c r="G244">
        <v>104.806103774509</v>
      </c>
      <c r="H244">
        <v>143.007143380673</v>
      </c>
      <c r="I244">
        <v>171.24752002418504</v>
      </c>
      <c r="J244">
        <v>120.676964265745</v>
      </c>
      <c r="K244">
        <v>0.98383656619553195</v>
      </c>
      <c r="L244">
        <v>80.184107692307705</v>
      </c>
      <c r="M244">
        <v>8.7447876447877011</v>
      </c>
      <c r="N244">
        <v>3.3583088320854499</v>
      </c>
      <c r="O244">
        <v>2.2888186897604901</v>
      </c>
      <c r="P244">
        <v>330</v>
      </c>
      <c r="Q244">
        <v>67</v>
      </c>
      <c r="R244">
        <v>437</v>
      </c>
      <c r="S244">
        <v>116</v>
      </c>
      <c r="T244">
        <v>27</v>
      </c>
      <c r="U244">
        <v>23</v>
      </c>
      <c r="V244">
        <v>166</v>
      </c>
    </row>
    <row r="245" spans="1:22" x14ac:dyDescent="0.25">
      <c r="A245">
        <v>44834</v>
      </c>
      <c r="B245">
        <v>123.092655676498</v>
      </c>
      <c r="C245">
        <v>121.93038479780267</v>
      </c>
      <c r="D245">
        <v>114.97338346875132</v>
      </c>
      <c r="E245">
        <v>120.35673521909234</v>
      </c>
      <c r="F245">
        <v>118.01815436538732</v>
      </c>
      <c r="G245">
        <v>106.37793133113432</v>
      </c>
      <c r="H245">
        <v>145.19121688029801</v>
      </c>
      <c r="I245">
        <v>177.48507078919064</v>
      </c>
      <c r="J245">
        <v>122.995270577592</v>
      </c>
      <c r="K245">
        <v>1.0233011494340301</v>
      </c>
      <c r="L245">
        <v>78.172721212121203</v>
      </c>
      <c r="M245">
        <v>8.9090090090090914</v>
      </c>
      <c r="N245">
        <v>3.3339333644410498</v>
      </c>
      <c r="O245">
        <v>0.13877735543773001</v>
      </c>
      <c r="P245">
        <v>330</v>
      </c>
      <c r="Q245">
        <v>67</v>
      </c>
      <c r="R245">
        <v>437</v>
      </c>
      <c r="S245">
        <v>116</v>
      </c>
      <c r="T245">
        <v>27</v>
      </c>
      <c r="U245">
        <v>23</v>
      </c>
      <c r="V245">
        <v>166</v>
      </c>
    </row>
    <row r="246" spans="1:22" x14ac:dyDescent="0.25">
      <c r="A246">
        <v>44926</v>
      </c>
      <c r="B246">
        <v>126.57249077978565</v>
      </c>
      <c r="C246">
        <v>124.33443847729801</v>
      </c>
      <c r="D246">
        <v>116.605202296355</v>
      </c>
      <c r="E246">
        <v>124.62848092163368</v>
      </c>
      <c r="F246">
        <v>123.35004826728168</v>
      </c>
      <c r="G246">
        <v>107.95521631247334</v>
      </c>
      <c r="H246">
        <v>145.93076459690067</v>
      </c>
      <c r="I246">
        <v>197.85529267705101</v>
      </c>
      <c r="J246">
        <v>126.54644360022201</v>
      </c>
      <c r="K246">
        <v>1.01216531698448</v>
      </c>
      <c r="L246">
        <v>78.101493846153801</v>
      </c>
      <c r="M246">
        <v>7.2128482156615119</v>
      </c>
      <c r="N246">
        <v>3.73152831160392</v>
      </c>
      <c r="O246">
        <v>1.02568077887582</v>
      </c>
      <c r="P246">
        <v>330</v>
      </c>
      <c r="Q246">
        <v>67</v>
      </c>
      <c r="R246">
        <v>437</v>
      </c>
      <c r="S246">
        <v>116</v>
      </c>
      <c r="T246">
        <v>27</v>
      </c>
      <c r="U246">
        <v>23</v>
      </c>
      <c r="V246">
        <v>166</v>
      </c>
    </row>
    <row r="247" spans="1:22" x14ac:dyDescent="0.25">
      <c r="A247">
        <v>45016</v>
      </c>
      <c r="B247">
        <v>128.38716869753435</v>
      </c>
      <c r="C247">
        <v>125.86144301761266</v>
      </c>
      <c r="D247">
        <v>118.51394146473801</v>
      </c>
      <c r="E247">
        <v>128.62755721879668</v>
      </c>
      <c r="F247">
        <v>128.03620505103001</v>
      </c>
      <c r="G247">
        <v>110.11820535447266</v>
      </c>
      <c r="H247">
        <v>148.02952185889964</v>
      </c>
      <c r="I247">
        <v>193.04977581573766</v>
      </c>
      <c r="J247">
        <v>128.34142996117501</v>
      </c>
      <c r="K247">
        <v>1.0215437277533299</v>
      </c>
      <c r="L247">
        <v>78.168284615384593</v>
      </c>
      <c r="M247">
        <v>5.4496808271530108</v>
      </c>
      <c r="N247">
        <v>3.21017686418904</v>
      </c>
      <c r="O247">
        <v>-0.17012066426360101</v>
      </c>
      <c r="P247">
        <v>294.66666666666669</v>
      </c>
      <c r="Q247">
        <v>80</v>
      </c>
      <c r="R247">
        <v>465</v>
      </c>
      <c r="S247">
        <v>118.33333333333333</v>
      </c>
      <c r="T247">
        <v>21</v>
      </c>
      <c r="U247">
        <v>21</v>
      </c>
      <c r="V247">
        <v>160.33333333333331</v>
      </c>
    </row>
    <row r="248" spans="1:22" x14ac:dyDescent="0.25">
      <c r="A248">
        <v>45107</v>
      </c>
      <c r="B248">
        <v>130.56138712395398</v>
      </c>
      <c r="C248">
        <v>128.47449609462467</v>
      </c>
      <c r="D248">
        <v>120.85429497306298</v>
      </c>
      <c r="E248">
        <v>133.49217878399133</v>
      </c>
      <c r="F248">
        <v>132.56217876159201</v>
      </c>
      <c r="G248">
        <v>112.114838383828</v>
      </c>
      <c r="H248">
        <v>159.04024520112731</v>
      </c>
      <c r="I248">
        <v>183.75726900744965</v>
      </c>
      <c r="J248">
        <v>130.74946319922401</v>
      </c>
      <c r="K248">
        <v>1.00005844742037</v>
      </c>
      <c r="L248">
        <v>80.456900000000005</v>
      </c>
      <c r="M248">
        <v>4.9659010810981856</v>
      </c>
      <c r="N248">
        <v>0.70170723997551099</v>
      </c>
      <c r="O248">
        <v>-0.231251350162267</v>
      </c>
      <c r="P248">
        <v>293</v>
      </c>
      <c r="Q248">
        <v>80</v>
      </c>
      <c r="R248">
        <v>466</v>
      </c>
      <c r="S248">
        <v>119</v>
      </c>
      <c r="T248">
        <v>21</v>
      </c>
      <c r="U248">
        <v>21</v>
      </c>
      <c r="V248">
        <v>161</v>
      </c>
    </row>
    <row r="249" spans="1:22" x14ac:dyDescent="0.25">
      <c r="A249">
        <v>45199</v>
      </c>
      <c r="B249">
        <v>131.35178086867901</v>
      </c>
      <c r="C249">
        <v>130.48216816175366</v>
      </c>
      <c r="D249">
        <v>121.02668559150034</v>
      </c>
      <c r="E249">
        <v>135.43663586923799</v>
      </c>
      <c r="F249">
        <v>133.90766615943767</v>
      </c>
      <c r="G249">
        <v>115.79947132789233</v>
      </c>
      <c r="H249">
        <v>162.59407559120734</v>
      </c>
      <c r="I249">
        <v>171.49723514857797</v>
      </c>
      <c r="J249">
        <v>131.21387847850599</v>
      </c>
      <c r="K249">
        <v>0.98423499823385696</v>
      </c>
      <c r="L249">
        <v>82.197903076923097</v>
      </c>
      <c r="M249">
        <v>4.3007323969777262</v>
      </c>
      <c r="N249">
        <v>-0.16340187781012599</v>
      </c>
      <c r="O249">
        <v>-0.673433352934243</v>
      </c>
      <c r="P249">
        <v>293</v>
      </c>
      <c r="Q249">
        <v>80</v>
      </c>
      <c r="R249">
        <v>466</v>
      </c>
      <c r="S249">
        <v>119</v>
      </c>
      <c r="T249">
        <v>21</v>
      </c>
      <c r="U249">
        <v>21</v>
      </c>
      <c r="V249">
        <v>161</v>
      </c>
    </row>
    <row r="250" spans="1:22" x14ac:dyDescent="0.25">
      <c r="A250">
        <v>45291</v>
      </c>
      <c r="B250">
        <v>131.90742868082333</v>
      </c>
      <c r="C250">
        <v>132.33914338104398</v>
      </c>
      <c r="D250">
        <v>120.81283188458333</v>
      </c>
      <c r="E250">
        <v>136.65815991549266</v>
      </c>
      <c r="F250">
        <v>134.56146663509199</v>
      </c>
      <c r="G250">
        <v>118.01076709177534</v>
      </c>
      <c r="H250">
        <v>165.53417244105165</v>
      </c>
      <c r="I250">
        <v>164.99782673189367</v>
      </c>
      <c r="J250">
        <v>131.88052879150999</v>
      </c>
      <c r="K250">
        <v>0.99409752445047195</v>
      </c>
      <c r="L250">
        <v>81.178133846153798</v>
      </c>
      <c r="M250">
        <v>3.8582721147576735</v>
      </c>
      <c r="N250">
        <v>-1.3678165112816401</v>
      </c>
      <c r="O250">
        <v>-0.21694556148073699</v>
      </c>
      <c r="P250">
        <v>293</v>
      </c>
      <c r="Q250">
        <v>80</v>
      </c>
      <c r="R250">
        <v>466</v>
      </c>
      <c r="S250">
        <v>119</v>
      </c>
      <c r="T250">
        <v>21</v>
      </c>
      <c r="U250">
        <v>21</v>
      </c>
      <c r="V250">
        <v>161</v>
      </c>
    </row>
    <row r="251" spans="1:22" x14ac:dyDescent="0.25">
      <c r="A251">
        <v>45382</v>
      </c>
      <c r="B251">
        <v>132.94843116884735</v>
      </c>
      <c r="C251">
        <v>133.75886718003835</v>
      </c>
      <c r="D251">
        <v>120.91458822342501</v>
      </c>
      <c r="E251">
        <v>137.67280155287366</v>
      </c>
      <c r="F251">
        <v>134.87068887930101</v>
      </c>
      <c r="G251">
        <v>118.88041870657833</v>
      </c>
      <c r="H251">
        <v>171.54211892933236</v>
      </c>
      <c r="I251">
        <v>165.90492516430066</v>
      </c>
      <c r="J251">
        <v>132.95382336549201</v>
      </c>
      <c r="K251">
        <v>0.98573900024007299</v>
      </c>
      <c r="L251">
        <v>82.5681923076923</v>
      </c>
      <c r="M251">
        <v>3.6255376960251078</v>
      </c>
      <c r="N251">
        <v>-1.0717785266822</v>
      </c>
      <c r="O251">
        <v>4.3541846025459997E-2</v>
      </c>
      <c r="P251">
        <v>286.49313333333339</v>
      </c>
      <c r="Q251">
        <v>71.188066666666657</v>
      </c>
      <c r="R251">
        <v>490.4566333333334</v>
      </c>
      <c r="S251">
        <v>113.06706666666666</v>
      </c>
      <c r="T251">
        <v>20.664833333333334</v>
      </c>
      <c r="U251">
        <v>18.130266666666667</v>
      </c>
      <c r="V251">
        <v>151.86216666666667</v>
      </c>
    </row>
    <row r="252" spans="1:22" x14ac:dyDescent="0.25">
      <c r="A252">
        <v>45473</v>
      </c>
      <c r="B252">
        <v>133.24691582971434</v>
      </c>
      <c r="C252">
        <v>135.807487639561</v>
      </c>
      <c r="D252">
        <v>120.983232584186</v>
      </c>
      <c r="E252">
        <v>138.14194228561868</v>
      </c>
      <c r="F252">
        <v>135.26029032285135</v>
      </c>
      <c r="G252">
        <v>118.618104054439</v>
      </c>
      <c r="H252">
        <v>174.69183378053467</v>
      </c>
      <c r="I252">
        <v>154.08732720665034</v>
      </c>
      <c r="J252">
        <v>133.42686731999399</v>
      </c>
      <c r="K252">
        <v>0.99610252238445296</v>
      </c>
      <c r="L252">
        <v>82.944390769230793</v>
      </c>
      <c r="M252">
        <v>2.979353541970323</v>
      </c>
      <c r="N252">
        <v>-1.2261098957021399</v>
      </c>
      <c r="O252">
        <v>-0.40443614577732501</v>
      </c>
      <c r="P252">
        <v>285.86950000000007</v>
      </c>
      <c r="Q252">
        <v>71.750699999999995</v>
      </c>
      <c r="R252">
        <v>490.08380000000005</v>
      </c>
      <c r="S252">
        <v>113.14640000000001</v>
      </c>
      <c r="T252">
        <v>20.931000000000001</v>
      </c>
      <c r="U252">
        <v>18.218599999999999</v>
      </c>
      <c r="V252">
        <v>152.29600000000002</v>
      </c>
    </row>
    <row r="253" spans="1:22" x14ac:dyDescent="0.25">
      <c r="A253">
        <v>45565</v>
      </c>
      <c r="B253">
        <v>134.02113951227832</v>
      </c>
      <c r="C253">
        <v>137.24167755432401</v>
      </c>
      <c r="D253">
        <v>121.26116177752665</v>
      </c>
      <c r="E253">
        <v>139.04979349184765</v>
      </c>
      <c r="F253">
        <v>135.96104514689134</v>
      </c>
      <c r="G253">
        <v>118.89478155606633</v>
      </c>
      <c r="H253">
        <v>178.04940428229733</v>
      </c>
      <c r="I253">
        <v>148.602268953947</v>
      </c>
      <c r="J253">
        <v>133.86174972626199</v>
      </c>
      <c r="K253">
        <v>0.97405812511554302</v>
      </c>
      <c r="L253">
        <v>84.302587878787904</v>
      </c>
      <c r="M253">
        <v>2.9717312535901965</v>
      </c>
      <c r="N253">
        <v>-0.96369939332577004</v>
      </c>
      <c r="O253">
        <v>-0.39830475465660198</v>
      </c>
      <c r="P253">
        <v>285.86950000000007</v>
      </c>
      <c r="Q253">
        <v>71.750699999999995</v>
      </c>
      <c r="R253">
        <v>490.08380000000005</v>
      </c>
      <c r="S253">
        <v>113.14640000000001</v>
      </c>
      <c r="T253">
        <v>20.931000000000001</v>
      </c>
      <c r="U253">
        <v>18.218599999999999</v>
      </c>
      <c r="V253">
        <v>152.29600000000002</v>
      </c>
    </row>
    <row r="254" spans="1:22" x14ac:dyDescent="0.25">
      <c r="A254">
        <v>45657</v>
      </c>
      <c r="B254">
        <v>135.21692150454535</v>
      </c>
      <c r="C254">
        <v>138.73512918149299</v>
      </c>
      <c r="D254">
        <v>121.95064728995</v>
      </c>
      <c r="E254">
        <v>140.6494084587417</v>
      </c>
      <c r="F254">
        <v>137.18250796092101</v>
      </c>
      <c r="G254">
        <v>119.71565409241767</v>
      </c>
      <c r="H254">
        <v>182.63413734439936</v>
      </c>
      <c r="I254">
        <v>151.46663061603667</v>
      </c>
      <c r="J254">
        <v>135.17362578586099</v>
      </c>
      <c r="K254">
        <v>0.97624661192587803</v>
      </c>
      <c r="L254">
        <v>84.621425757575807</v>
      </c>
      <c r="M254">
        <v>3.468785277541127</v>
      </c>
      <c r="N254">
        <v>-0.58156090930256898</v>
      </c>
      <c r="O254">
        <v>0.16500605812762401</v>
      </c>
      <c r="P254">
        <v>285.86950000000007</v>
      </c>
      <c r="Q254">
        <v>71.750699999999995</v>
      </c>
      <c r="R254">
        <v>490.08380000000005</v>
      </c>
      <c r="S254">
        <v>113.14640000000001</v>
      </c>
      <c r="T254">
        <v>20.931000000000001</v>
      </c>
      <c r="U254">
        <v>18.218599999999999</v>
      </c>
      <c r="V254">
        <v>152.29600000000002</v>
      </c>
    </row>
    <row r="255" spans="1:22" x14ac:dyDescent="0.25">
      <c r="A255">
        <v>45747</v>
      </c>
      <c r="B255">
        <v>136.66636322417534</v>
      </c>
      <c r="C255">
        <v>140.36418737698366</v>
      </c>
      <c r="D255">
        <v>122.41564888421966</v>
      </c>
      <c r="E255">
        <v>142.83718215793434</v>
      </c>
      <c r="F255">
        <v>139.24581727100133</v>
      </c>
      <c r="G255">
        <v>121.28173307555301</v>
      </c>
      <c r="H255">
        <v>186.68218521967401</v>
      </c>
      <c r="I255">
        <v>153.63014026696965</v>
      </c>
      <c r="J255">
        <v>136.72048345699301</v>
      </c>
      <c r="K255">
        <v>0.99895086639782105</v>
      </c>
      <c r="L255">
        <v>84.062595312499994</v>
      </c>
      <c r="M255">
        <v>3.8021957884789486</v>
      </c>
      <c r="N255">
        <v>-0.518303217993346</v>
      </c>
      <c r="O255">
        <v>0.107917584062745</v>
      </c>
      <c r="P255">
        <v>287.15600000000001</v>
      </c>
      <c r="Q255">
        <v>61.402300000000004</v>
      </c>
      <c r="R255">
        <v>500.89830000000001</v>
      </c>
      <c r="S255">
        <v>112.20923333333333</v>
      </c>
      <c r="T255">
        <v>19.879166666666666</v>
      </c>
      <c r="U255">
        <v>18.454999999999998</v>
      </c>
      <c r="V255">
        <v>150.54340000000002</v>
      </c>
    </row>
    <row r="256" spans="1:22" x14ac:dyDescent="0.25">
      <c r="A256">
        <v>45838</v>
      </c>
      <c r="B256">
        <v>137.87719142171133</v>
      </c>
      <c r="C256">
        <v>142.46948558894698</v>
      </c>
      <c r="D256">
        <v>122.76407304939568</v>
      </c>
      <c r="E256">
        <v>144.468705122405</v>
      </c>
      <c r="F256">
        <v>140.85289772657967</v>
      </c>
      <c r="G256">
        <v>123.38669147618701</v>
      </c>
      <c r="H256">
        <v>188.655395162697</v>
      </c>
      <c r="I256">
        <v>152.76916417597667</v>
      </c>
      <c r="J256">
        <v>138.03988302570099</v>
      </c>
      <c r="K256">
        <v>0.99251729977824699</v>
      </c>
      <c r="L256">
        <v>85.4313261538462</v>
      </c>
      <c r="M256">
        <v>4.011042611251681</v>
      </c>
      <c r="N256">
        <v>-8.0156162901135294E-2</v>
      </c>
      <c r="O256">
        <v>4.1047258462795402E-2</v>
      </c>
      <c r="P256">
        <v>286.36329999999998</v>
      </c>
      <c r="Q256">
        <v>61.652700000000003</v>
      </c>
      <c r="R256">
        <v>500.83539999999999</v>
      </c>
      <c r="S256">
        <v>112.5699</v>
      </c>
      <c r="T256">
        <v>20.052600000000002</v>
      </c>
      <c r="U256">
        <v>18.5261</v>
      </c>
      <c r="V256">
        <v>151.14859999999999</v>
      </c>
    </row>
    <row r="257" spans="1:22" x14ac:dyDescent="0.25">
      <c r="A257">
        <v>45930</v>
      </c>
      <c r="B257">
        <v>139.09545717782768</v>
      </c>
      <c r="C257">
        <v>143.78240380057602</v>
      </c>
      <c r="D257">
        <v>123.18031748475732</v>
      </c>
      <c r="E257">
        <v>146.14273136936666</v>
      </c>
      <c r="F257">
        <v>142.54855925628667</v>
      </c>
      <c r="G257">
        <v>123.57445647162565</v>
      </c>
      <c r="H257">
        <v>192.27285372944732</v>
      </c>
      <c r="I257">
        <v>152.42786105279069</v>
      </c>
      <c r="J257">
        <v>138.929155953021</v>
      </c>
      <c r="K257">
        <v>0.98609274706816596</v>
      </c>
      <c r="L257">
        <v>85.000674242424196</v>
      </c>
      <c r="M257">
        <v>3.9691108090385026</v>
      </c>
      <c r="N257">
        <v>0.17385582924148901</v>
      </c>
      <c r="O257">
        <v>-0.14024893238342001</v>
      </c>
      <c r="P257">
        <v>286.36329999999998</v>
      </c>
      <c r="Q257">
        <v>61.652700000000003</v>
      </c>
      <c r="R257">
        <v>500.83539999999999</v>
      </c>
      <c r="S257">
        <v>112.5699</v>
      </c>
      <c r="T257">
        <v>20.052600000000002</v>
      </c>
      <c r="U257">
        <v>18.5261</v>
      </c>
      <c r="V257">
        <v>151.14859999999999</v>
      </c>
    </row>
    <row r="258" spans="1:22" x14ac:dyDescent="0.25">
      <c r="A258">
        <v>46022</v>
      </c>
      <c r="B258">
        <v>139.84769778751667</v>
      </c>
      <c r="C258">
        <v>144.98449505097366</v>
      </c>
      <c r="D258">
        <v>123.40676558081833</v>
      </c>
      <c r="E258">
        <v>147.21304703282601</v>
      </c>
      <c r="F258">
        <v>143.43158365664303</v>
      </c>
      <c r="G258">
        <v>124.406993625732</v>
      </c>
      <c r="H258">
        <v>193.70000748203401</v>
      </c>
      <c r="I258">
        <v>154.36457447399667</v>
      </c>
      <c r="J258">
        <v>139.784107563296</v>
      </c>
      <c r="K258">
        <v>1.0048143678035899</v>
      </c>
      <c r="L258">
        <v>84.160324242424196</v>
      </c>
      <c r="M258">
        <v>3.8470567349792795</v>
      </c>
      <c r="N258">
        <v>0.1119962</v>
      </c>
      <c r="O258">
        <v>9.7460178220928104E-2</v>
      </c>
      <c r="P258">
        <v>286.36329999999998</v>
      </c>
      <c r="Q258">
        <v>61.652700000000003</v>
      </c>
      <c r="R258">
        <v>500.83539999999999</v>
      </c>
      <c r="S258">
        <v>112.5699</v>
      </c>
      <c r="T258">
        <v>20.052600000000002</v>
      </c>
      <c r="U258">
        <v>18.5261</v>
      </c>
      <c r="V258">
        <v>151.14859999999999</v>
      </c>
    </row>
    <row r="259" spans="1:22" x14ac:dyDescent="0.25">
      <c r="A259">
        <v>46112</v>
      </c>
      <c r="B259">
        <v>140.89011318576533</v>
      </c>
      <c r="C259">
        <v>146.55774137733101</v>
      </c>
      <c r="D259">
        <v>123.576506834233</v>
      </c>
      <c r="E259">
        <v>147.97730557310334</v>
      </c>
      <c r="F259">
        <v>144.19076339892868</v>
      </c>
      <c r="G259">
        <v>123.052083490431</v>
      </c>
      <c r="H259">
        <v>198.54377838412969</v>
      </c>
      <c r="I259">
        <v>155.57223430815199</v>
      </c>
      <c r="J259">
        <v>140.96859532877701</v>
      </c>
      <c r="K259">
        <v>1.0026831227361801</v>
      </c>
      <c r="L259">
        <v>84.782439062500004</v>
      </c>
      <c r="M259">
        <v>4.1639091291217634</v>
      </c>
      <c r="N259">
        <v>8.20304116706497E-2</v>
      </c>
      <c r="O259">
        <v>8.1472436362840003E-2</v>
      </c>
      <c r="P259">
        <v>277.11993333333328</v>
      </c>
      <c r="Q259">
        <v>58.344600000000007</v>
      </c>
      <c r="R259">
        <v>518.13319999999987</v>
      </c>
      <c r="S259">
        <v>109.45673333333333</v>
      </c>
      <c r="T259">
        <v>20.782733333333333</v>
      </c>
      <c r="U259">
        <v>16.162800000000001</v>
      </c>
      <c r="V259">
        <v>146.40226666666666</v>
      </c>
    </row>
    <row r="260" spans="1:22" x14ac:dyDescent="0.25">
      <c r="A260">
        <v>46203</v>
      </c>
      <c r="B260">
        <v>142.17688398956633</v>
      </c>
      <c r="C260">
        <v>147.61775133787967</v>
      </c>
      <c r="D260">
        <v>123.96744171654666</v>
      </c>
      <c r="E260">
        <v>149.50397975256399</v>
      </c>
      <c r="F260">
        <v>145.93077251103333</v>
      </c>
      <c r="G260">
        <v>123.61603258953666</v>
      </c>
      <c r="H260">
        <v>201.25939295992498</v>
      </c>
      <c r="I260">
        <v>165.17818160477432</v>
      </c>
      <c r="J260">
        <v>142.34484745777499</v>
      </c>
      <c r="K260">
        <v>1.03470568254168</v>
      </c>
      <c r="L260">
        <v>83.852547542572495</v>
      </c>
      <c r="M260">
        <v>5.4104651194166893</v>
      </c>
      <c r="N260">
        <v>0.46770181567943597</v>
      </c>
      <c r="O260">
        <v>0.41784976947829</v>
      </c>
      <c r="P260">
        <v>276.51159999999993</v>
      </c>
      <c r="Q260">
        <v>58.350900000000003</v>
      </c>
      <c r="R260">
        <v>518.36659999999995</v>
      </c>
      <c r="S260">
        <v>109.60590000000001</v>
      </c>
      <c r="T260">
        <v>20.937899999999999</v>
      </c>
      <c r="U260">
        <v>16.2271</v>
      </c>
      <c r="V260">
        <v>146.77090000000001</v>
      </c>
    </row>
    <row r="261" spans="1:22" x14ac:dyDescent="0.25">
      <c r="A261">
        <v>46295</v>
      </c>
      <c r="B261">
        <v>143.739508018078</v>
      </c>
      <c r="C261">
        <v>148.92058350320198</v>
      </c>
      <c r="D261">
        <v>124.47896005002734</v>
      </c>
      <c r="E261">
        <v>151.74457930821367</v>
      </c>
      <c r="F261">
        <v>148.39397242089967</v>
      </c>
      <c r="G261">
        <v>124.52848919332399</v>
      </c>
      <c r="H261">
        <v>203.06582905204769</v>
      </c>
      <c r="I261">
        <v>168.52415136763133</v>
      </c>
      <c r="J261">
        <v>143.576397728773</v>
      </c>
      <c r="K261">
        <v>1.03126921064787</v>
      </c>
      <c r="L261">
        <v>83.739870212059401</v>
      </c>
      <c r="M261">
        <v>4.9139696600199789</v>
      </c>
      <c r="N261">
        <v>0.62946641974350404</v>
      </c>
      <c r="O261">
        <v>2.7533676138149901E-2</v>
      </c>
      <c r="P261">
        <v>276.51159999999993</v>
      </c>
      <c r="Q261">
        <v>58.350900000000003</v>
      </c>
      <c r="R261">
        <v>518.36659999999995</v>
      </c>
      <c r="S261">
        <v>109.60590000000001</v>
      </c>
      <c r="T261">
        <v>20.937899999999999</v>
      </c>
      <c r="U261">
        <v>16.2271</v>
      </c>
      <c r="V261">
        <v>146.77090000000001</v>
      </c>
    </row>
    <row r="262" spans="1:22" x14ac:dyDescent="0.25">
      <c r="A262">
        <v>46387</v>
      </c>
      <c r="B262">
        <v>144.99550409639835</v>
      </c>
      <c r="C262">
        <v>150.69589000548399</v>
      </c>
      <c r="D262">
        <v>125.00435843674568</v>
      </c>
      <c r="E262">
        <v>155.70181660089335</v>
      </c>
      <c r="F262">
        <v>151.43452849278165</v>
      </c>
      <c r="G262">
        <v>124.92840642016832</v>
      </c>
      <c r="H262">
        <v>220.13614424077198</v>
      </c>
      <c r="I262">
        <v>166.03112379057998</v>
      </c>
      <c r="J262">
        <v>144.90812892177101</v>
      </c>
      <c r="K262">
        <v>1.02108565765283</v>
      </c>
      <c r="L262">
        <v>83.626772015095</v>
      </c>
      <c r="M262">
        <v>4.0011512098701685</v>
      </c>
      <c r="N262">
        <v>0.43966995093679601</v>
      </c>
      <c r="O262">
        <v>-8.6012428087150206E-2</v>
      </c>
      <c r="P262">
        <v>276.51159999999993</v>
      </c>
      <c r="Q262">
        <v>58.350900000000003</v>
      </c>
      <c r="R262">
        <v>518.36659999999995</v>
      </c>
      <c r="S262">
        <v>109.60590000000001</v>
      </c>
      <c r="T262">
        <v>20.937899999999999</v>
      </c>
      <c r="U262">
        <v>16.2271</v>
      </c>
      <c r="V262">
        <v>146.77090000000001</v>
      </c>
    </row>
    <row r="263" spans="1:22" x14ac:dyDescent="0.25">
      <c r="A263">
        <v>46477</v>
      </c>
      <c r="I263">
        <v>164.99159620008598</v>
      </c>
      <c r="J263">
        <v>145.85027265183999</v>
      </c>
      <c r="K263">
        <v>1.0159086217453499</v>
      </c>
      <c r="L263">
        <v>83.511782227374596</v>
      </c>
      <c r="M263">
        <v>3.3715300668176842</v>
      </c>
      <c r="N263">
        <v>0.35352551299761398</v>
      </c>
      <c r="O263">
        <v>1.81903390419846E-4</v>
      </c>
      <c r="P263">
        <v>277.11993333333328</v>
      </c>
      <c r="Q263">
        <v>58.344600000000007</v>
      </c>
      <c r="R263">
        <v>518.13319999999987</v>
      </c>
      <c r="S263">
        <v>109.45673333333333</v>
      </c>
      <c r="T263">
        <v>20.782733333333333</v>
      </c>
      <c r="U263">
        <v>16.162800000000001</v>
      </c>
      <c r="V263">
        <v>146.40226666666666</v>
      </c>
    </row>
    <row r="264" spans="1:22" x14ac:dyDescent="0.25">
      <c r="A264">
        <v>46568</v>
      </c>
      <c r="I264">
        <v>162.6478364146233</v>
      </c>
      <c r="J264">
        <v>146.61458563050601</v>
      </c>
      <c r="K264">
        <v>1.0126519664022899</v>
      </c>
      <c r="L264">
        <v>83.394217743676407</v>
      </c>
      <c r="M264">
        <v>2.9319715449134089</v>
      </c>
      <c r="N264">
        <v>-0.10110608693769101</v>
      </c>
      <c r="O264">
        <v>-3.4253926787450102E-2</v>
      </c>
      <c r="P264">
        <v>276.51159999999993</v>
      </c>
      <c r="Q264">
        <v>58.350900000000003</v>
      </c>
      <c r="R264">
        <v>518.36659999999995</v>
      </c>
      <c r="S264">
        <v>109.60590000000001</v>
      </c>
      <c r="T264">
        <v>20.937899999999999</v>
      </c>
      <c r="U264">
        <v>16.2271</v>
      </c>
      <c r="V264">
        <v>146.77090000000001</v>
      </c>
    </row>
    <row r="265" spans="1:22" x14ac:dyDescent="0.25">
      <c r="A265">
        <v>46660</v>
      </c>
      <c r="I265">
        <v>161.60506776520634</v>
      </c>
      <c r="J265">
        <v>147.160073363885</v>
      </c>
      <c r="K265">
        <v>1.01034866830139</v>
      </c>
      <c r="L265">
        <v>83.272276764652105</v>
      </c>
      <c r="M265">
        <v>2.624058833894372</v>
      </c>
      <c r="N265">
        <v>-0.23265208863300799</v>
      </c>
      <c r="O265">
        <v>-0.10587901821204999</v>
      </c>
      <c r="P265">
        <v>276.51159999999993</v>
      </c>
      <c r="Q265">
        <v>58.350900000000003</v>
      </c>
      <c r="R265">
        <v>518.36659999999995</v>
      </c>
      <c r="S265">
        <v>109.60590000000001</v>
      </c>
      <c r="T265">
        <v>20.937899999999999</v>
      </c>
      <c r="U265">
        <v>16.2271</v>
      </c>
      <c r="V265">
        <v>146.77090000000001</v>
      </c>
    </row>
    <row r="266" spans="1:22" x14ac:dyDescent="0.25">
      <c r="A266">
        <v>46752</v>
      </c>
      <c r="I266">
        <v>159.57272865145001</v>
      </c>
      <c r="J266">
        <v>147.70275880738399</v>
      </c>
      <c r="K266">
        <v>1.00825272538385</v>
      </c>
      <c r="L266">
        <v>83.146696505323803</v>
      </c>
      <c r="M266">
        <v>2.4687156565697737</v>
      </c>
      <c r="N266">
        <v>-0.22557547231543701</v>
      </c>
      <c r="O266">
        <v>-8.0643982069679904E-2</v>
      </c>
      <c r="P266">
        <v>276.51159999999993</v>
      </c>
      <c r="Q266">
        <v>58.350900000000003</v>
      </c>
      <c r="R266">
        <v>518.36659999999995</v>
      </c>
      <c r="S266">
        <v>109.60590000000001</v>
      </c>
      <c r="T266">
        <v>20.937899999999999</v>
      </c>
      <c r="U266">
        <v>16.2271</v>
      </c>
      <c r="V266">
        <v>146.77090000000001</v>
      </c>
    </row>
    <row r="267" spans="1:22" x14ac:dyDescent="0.25">
      <c r="A267">
        <v>46843</v>
      </c>
      <c r="I267">
        <v>157.00167776002502</v>
      </c>
      <c r="J267">
        <v>148.23762334590799</v>
      </c>
      <c r="K267">
        <v>1.00659242366188</v>
      </c>
      <c r="L267">
        <v>83.019750750202704</v>
      </c>
      <c r="M267">
        <v>2.4272584547421974</v>
      </c>
      <c r="N267">
        <v>-0.292579106135544</v>
      </c>
      <c r="O267">
        <v>-7.1473628390959901E-2</v>
      </c>
      <c r="P267">
        <v>277.11993333333328</v>
      </c>
      <c r="Q267">
        <v>58.344600000000007</v>
      </c>
      <c r="R267">
        <v>518.13319999999987</v>
      </c>
      <c r="S267">
        <v>109.45673333333333</v>
      </c>
      <c r="T267">
        <v>20.782733333333333</v>
      </c>
      <c r="U267">
        <v>16.162800000000001</v>
      </c>
      <c r="V267">
        <v>146.40226666666666</v>
      </c>
    </row>
    <row r="268" spans="1:22" x14ac:dyDescent="0.25">
      <c r="A268">
        <v>46934</v>
      </c>
      <c r="I268">
        <v>154.98879882385665</v>
      </c>
      <c r="J268">
        <v>149.02794682730701</v>
      </c>
      <c r="K268">
        <v>1.00503851607327</v>
      </c>
      <c r="L268">
        <v>82.893671077881507</v>
      </c>
      <c r="M268">
        <v>2.4505337246023733</v>
      </c>
      <c r="N268">
        <v>-0.27639477261600398</v>
      </c>
      <c r="O268">
        <v>-2.1510396662669899E-2</v>
      </c>
      <c r="P268">
        <v>276.51159999999993</v>
      </c>
      <c r="Q268">
        <v>58.350900000000003</v>
      </c>
      <c r="R268">
        <v>518.36659999999995</v>
      </c>
      <c r="S268">
        <v>109.60590000000001</v>
      </c>
      <c r="T268">
        <v>20.937899999999999</v>
      </c>
      <c r="U268">
        <v>16.2271</v>
      </c>
      <c r="V268">
        <v>146.77090000000001</v>
      </c>
    </row>
    <row r="269" spans="1:22" x14ac:dyDescent="0.25">
      <c r="A269">
        <v>47026</v>
      </c>
      <c r="I269">
        <v>156.01777770224967</v>
      </c>
      <c r="J269">
        <v>149.62609821928601</v>
      </c>
      <c r="K269">
        <v>1.0036277909031399</v>
      </c>
      <c r="L269">
        <v>82.769687239930306</v>
      </c>
      <c r="M269">
        <v>2.4399426350808717</v>
      </c>
      <c r="N269">
        <v>-0.18992010659112199</v>
      </c>
      <c r="O269">
        <v>-1.9383107023809999E-2</v>
      </c>
      <c r="P269">
        <v>276.51159999999993</v>
      </c>
      <c r="Q269">
        <v>58.350900000000003</v>
      </c>
      <c r="R269">
        <v>518.36659999999995</v>
      </c>
      <c r="S269">
        <v>109.60590000000001</v>
      </c>
      <c r="T269">
        <v>20.937899999999999</v>
      </c>
      <c r="U269">
        <v>16.2271</v>
      </c>
      <c r="V269">
        <v>146.77090000000001</v>
      </c>
    </row>
    <row r="270" spans="1:22" x14ac:dyDescent="0.25">
      <c r="A270">
        <v>47118</v>
      </c>
      <c r="I270">
        <v>156.41787406037233</v>
      </c>
      <c r="J270">
        <v>150.239139540514</v>
      </c>
      <c r="K270">
        <v>1.00235794119012</v>
      </c>
      <c r="L270">
        <v>82.648532501598893</v>
      </c>
      <c r="M270">
        <v>2.4724757454078841</v>
      </c>
      <c r="N270">
        <v>-0.117011613692185</v>
      </c>
      <c r="O270">
        <v>-7.6941422171599499E-3</v>
      </c>
      <c r="P270">
        <v>276.51159999999993</v>
      </c>
      <c r="Q270">
        <v>58.350900000000003</v>
      </c>
      <c r="R270">
        <v>518.36659999999995</v>
      </c>
      <c r="S270">
        <v>109.60590000000001</v>
      </c>
      <c r="T270">
        <v>20.937899999999999</v>
      </c>
      <c r="U270">
        <v>16.2271</v>
      </c>
      <c r="V270">
        <v>146.77090000000001</v>
      </c>
    </row>
    <row r="271" spans="1:22" x14ac:dyDescent="0.25">
      <c r="A271">
        <v>47208</v>
      </c>
      <c r="I271">
        <v>155.56522251420802</v>
      </c>
      <c r="J271">
        <v>150.84127839502901</v>
      </c>
      <c r="K271">
        <v>1.00106999055868</v>
      </c>
      <c r="L271">
        <v>82.530537938462103</v>
      </c>
      <c r="M271">
        <v>2.5381252562448622</v>
      </c>
      <c r="N271">
        <v>-5.67299892812883E-2</v>
      </c>
      <c r="O271">
        <v>-9.1409025819499095E-3</v>
      </c>
      <c r="P271">
        <v>277.11993333333328</v>
      </c>
      <c r="Q271">
        <v>58.344600000000007</v>
      </c>
      <c r="R271">
        <v>518.13319999999987</v>
      </c>
      <c r="S271">
        <v>109.45673333333333</v>
      </c>
      <c r="T271">
        <v>20.782733333333333</v>
      </c>
      <c r="U271">
        <v>16.162800000000001</v>
      </c>
      <c r="V271">
        <v>146.40226666666666</v>
      </c>
    </row>
    <row r="272" spans="1:22" x14ac:dyDescent="0.25">
      <c r="A272">
        <v>47299</v>
      </c>
      <c r="I272">
        <v>155.56522251420802</v>
      </c>
      <c r="J272">
        <v>151.581874361823</v>
      </c>
      <c r="K272">
        <v>0.99979892453025199</v>
      </c>
      <c r="L272">
        <v>82.415651645429406</v>
      </c>
      <c r="M272">
        <v>2.6576871518365146</v>
      </c>
      <c r="N272">
        <v>5.0718542367155998E-2</v>
      </c>
      <c r="O272">
        <v>9.1481009494209994E-2</v>
      </c>
      <c r="P272">
        <v>276.51159999999993</v>
      </c>
      <c r="Q272">
        <v>58.350900000000003</v>
      </c>
      <c r="R272">
        <v>518.36659999999995</v>
      </c>
      <c r="S272">
        <v>109.60590000000001</v>
      </c>
      <c r="T272">
        <v>20.937899999999999</v>
      </c>
      <c r="U272">
        <v>16.2271</v>
      </c>
      <c r="V272">
        <v>146.77090000000001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M23</vt:lpstr>
      <vt:lpstr>A23</vt:lpstr>
      <vt:lpstr>N23</vt:lpstr>
      <vt:lpstr>F24</vt:lpstr>
      <vt:lpstr>M24</vt:lpstr>
      <vt:lpstr>A24</vt:lpstr>
      <vt:lpstr>N24</vt:lpstr>
      <vt:lpstr>F25</vt:lpstr>
      <vt:lpstr>M25</vt:lpstr>
      <vt:lpstr>A25</vt:lpstr>
      <vt:lpstr>N25</vt:lpstr>
      <vt:lpstr>F26</vt:lpstr>
      <vt:lpstr>M26</vt:lpstr>
      <vt:lpstr>Sheet1</vt:lpstr>
      <vt:lpstr>Sheet2</vt:lpstr>
      <vt:lpstr>Sheet3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Karasoy Can, Gokce</dc:creator>
  <cp:lastModifiedBy>Karasoy Can, Gokce</cp:lastModifiedBy>
  <dcterms:created xsi:type="dcterms:W3CDTF">2026-06-04T09:50:19Z</dcterms:created>
  <dcterms:modified xsi:type="dcterms:W3CDTF">2026-06-12T09:35:39Z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2139918218</vt:i4>
  </property>
  <property fmtid="{D5CDD505-2E9C-101B-9397-08002B2CF9AE}" pid="3" name="_NewReviewCycle">
    <vt:lpwstr/>
  </property>
  <property fmtid="{D5CDD505-2E9C-101B-9397-08002B2CF9AE}" pid="4" name="_EmailSubject">
    <vt:lpwstr>data_set vintages</vt:lpwstr>
  </property>
  <property fmtid="{D5CDD505-2E9C-101B-9397-08002B2CF9AE}" pid="5" name="_AuthorEmail">
    <vt:lpwstr>Rebecca.Piggott@bankofengland.co.uk</vt:lpwstr>
  </property>
  <property fmtid="{D5CDD505-2E9C-101B-9397-08002B2CF9AE}" pid="6" name="_AuthorEmailDisplayName">
    <vt:lpwstr>Piggott, Rebecca</vt:lpwstr>
  </property>
  <property fmtid="{D5CDD505-2E9C-101B-9397-08002B2CF9AE}" pid="7" name="_ReviewingToolsShownOnce">
    <vt:lpwstr/>
  </property>
</Properties>
</file>